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6"/>
  </bookViews>
  <sheets>
    <sheet name="Paramètres" sheetId="1" r:id="rId1"/>
    <sheet name="Rebouclage" sheetId="5" r:id="rId2"/>
    <sheet name="Visu totale" sheetId="4" r:id="rId3"/>
    <sheet name="M2N" sheetId="8" r:id="rId4"/>
    <sheet name="M2B" sheetId="10" r:id="rId5"/>
    <sheet name="M2C" sheetId="7" r:id="rId6"/>
    <sheet name="M2D" sheetId="6" r:id="rId7"/>
    <sheet name="M5F" sheetId="11" r:id="rId8"/>
  </sheets>
  <functionGroups builtInGroupCount="18"/>
  <definedNames>
    <definedName name="_xlnm._FilterDatabase" localSheetId="2" hidden="1">'Visu totale'!$A$75:$BL$129</definedName>
    <definedName name="anneeFin">Paramètres!$E$9</definedName>
    <definedName name="anneeIni">Paramètres!$E$8</definedName>
    <definedName name="anneeInit">Paramètres!$E$8</definedName>
    <definedName name="avion1">Rebouclage!$D$2</definedName>
    <definedName name="avion2">'Visu totale'!$D$2</definedName>
    <definedName name="avion3">M2N!$D$3</definedName>
    <definedName name="avion4">M2B!$F$3</definedName>
    <definedName name="avion5">M2C!$F$3</definedName>
    <definedName name="avion6">M2D!$G$3</definedName>
    <definedName name="avion7">M5F!$F$3</definedName>
    <definedName name="Avion8">#REF!</definedName>
    <definedName name="ecart">Paramètres!$C$14</definedName>
    <definedName name="ecart_2">Paramètres!$C$15</definedName>
    <definedName name="indicateur">Paramètres!$I$10</definedName>
    <definedName name="init">Paramètres!$I$8</definedName>
    <definedName name="moisFin">Paramètres!$D$9</definedName>
    <definedName name="moisIni">Paramètres!$D$8</definedName>
    <definedName name="moisInit">Paramètres!$D$8</definedName>
    <definedName name="parameters">Paramètres!$I$7</definedName>
    <definedName name="Pumois">Paramètres!$L$6</definedName>
    <definedName name="solution">Paramètres!$I$9</definedName>
    <definedName name="Vmax">Paramètres!$L$7</definedName>
    <definedName name="vmo">L8C12</definedName>
    <definedName name="Vmois">Paramètres!$L$8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3" i="11" l="1"/>
  <c r="BM3" i="11"/>
  <c r="BL3" i="11"/>
  <c r="BK3" i="11"/>
  <c r="BJ3" i="11"/>
  <c r="BI3" i="11"/>
  <c r="BH3" i="11"/>
  <c r="BG3" i="11"/>
  <c r="BF3" i="11"/>
  <c r="BE3" i="11"/>
  <c r="BD3" i="11"/>
  <c r="BC2" i="11"/>
  <c r="BC3" i="11"/>
  <c r="BB3" i="11"/>
  <c r="BA3" i="11"/>
  <c r="AZ3" i="11"/>
  <c r="AY3" i="11"/>
  <c r="AX3" i="11"/>
  <c r="AW3" i="11"/>
  <c r="AV3" i="11"/>
  <c r="AU3" i="11"/>
  <c r="AT3" i="11"/>
  <c r="AS3" i="11"/>
  <c r="AR3" i="11"/>
  <c r="AQ2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2" i="11"/>
  <c r="AE3" i="11"/>
  <c r="AD3" i="11"/>
  <c r="AC3" i="11"/>
  <c r="AB3" i="11"/>
  <c r="AA3" i="11"/>
  <c r="Z3" i="11"/>
  <c r="Y3" i="11"/>
  <c r="X3" i="11"/>
  <c r="W3" i="11"/>
  <c r="V3" i="11"/>
  <c r="U3" i="11"/>
  <c r="T3" i="11"/>
  <c r="S2" i="11"/>
  <c r="S3" i="11"/>
  <c r="R3" i="11"/>
  <c r="Q3" i="11"/>
  <c r="P3" i="11"/>
  <c r="O3" i="11"/>
  <c r="N3" i="11"/>
  <c r="M3" i="11"/>
  <c r="L3" i="11"/>
  <c r="K3" i="11"/>
  <c r="J3" i="11"/>
  <c r="I3" i="11"/>
  <c r="H3" i="11"/>
  <c r="G2" i="11"/>
  <c r="G3" i="11"/>
  <c r="BO3" i="6"/>
  <c r="BN3" i="6"/>
  <c r="BM3" i="6"/>
  <c r="BL3" i="6"/>
  <c r="BK3" i="6"/>
  <c r="BJ3" i="6"/>
  <c r="BI3" i="6"/>
  <c r="BH3" i="6"/>
  <c r="BG3" i="6"/>
  <c r="BF3" i="6"/>
  <c r="BE3" i="6"/>
  <c r="BC2" i="6"/>
  <c r="BD3" i="6"/>
  <c r="BC3" i="6"/>
  <c r="BB3" i="6"/>
  <c r="BA3" i="6"/>
  <c r="AZ3" i="6"/>
  <c r="AY3" i="6"/>
  <c r="AX3" i="6"/>
  <c r="AW3" i="6"/>
  <c r="AV3" i="6"/>
  <c r="AU3" i="6"/>
  <c r="AT3" i="6"/>
  <c r="AS3" i="6"/>
  <c r="AQ2" i="6"/>
  <c r="AR3" i="6"/>
  <c r="AQ3" i="6"/>
  <c r="AP3" i="6"/>
  <c r="AO3" i="6"/>
  <c r="AN3" i="6"/>
  <c r="AM3" i="6"/>
  <c r="AL3" i="6"/>
  <c r="AK3" i="6"/>
  <c r="AJ3" i="6"/>
  <c r="AI3" i="6"/>
  <c r="AH3" i="6"/>
  <c r="AG3" i="6"/>
  <c r="AE2" i="6"/>
  <c r="AF3" i="6"/>
  <c r="AE3" i="6"/>
  <c r="AD3" i="6"/>
  <c r="AC3" i="6"/>
  <c r="AB3" i="6"/>
  <c r="AA3" i="6"/>
  <c r="Z3" i="6"/>
  <c r="Y3" i="6"/>
  <c r="X3" i="6"/>
  <c r="W3" i="6"/>
  <c r="V3" i="6"/>
  <c r="U3" i="6"/>
  <c r="S2" i="6"/>
  <c r="T3" i="6"/>
  <c r="S3" i="6"/>
  <c r="R3" i="6"/>
  <c r="Q3" i="6"/>
  <c r="P3" i="6"/>
  <c r="O3" i="6"/>
  <c r="N3" i="6"/>
  <c r="M3" i="6"/>
  <c r="L3" i="6"/>
  <c r="K3" i="6"/>
  <c r="J3" i="6"/>
  <c r="I3" i="6"/>
  <c r="H2" i="6"/>
  <c r="H3" i="6"/>
  <c r="BN3" i="7"/>
  <c r="BM3" i="7"/>
  <c r="BL3" i="7"/>
  <c r="BK3" i="7"/>
  <c r="BJ3" i="7"/>
  <c r="BI3" i="7"/>
  <c r="BH3" i="7"/>
  <c r="BG3" i="7"/>
  <c r="BF3" i="7"/>
  <c r="BE3" i="7"/>
  <c r="BD3" i="7"/>
  <c r="BB2" i="7"/>
  <c r="BC3" i="7"/>
  <c r="BB3" i="7"/>
  <c r="BA3" i="7"/>
  <c r="AZ3" i="7"/>
  <c r="AY3" i="7"/>
  <c r="AX3" i="7"/>
  <c r="AW3" i="7"/>
  <c r="AV3" i="7"/>
  <c r="AU3" i="7"/>
  <c r="AT3" i="7"/>
  <c r="AS3" i="7"/>
  <c r="AR3" i="7"/>
  <c r="AP2" i="7"/>
  <c r="AQ3" i="7"/>
  <c r="AP3" i="7"/>
  <c r="AO3" i="7"/>
  <c r="AN3" i="7"/>
  <c r="AM3" i="7"/>
  <c r="AL3" i="7"/>
  <c r="AK3" i="7"/>
  <c r="AJ3" i="7"/>
  <c r="AI3" i="7"/>
  <c r="AH3" i="7"/>
  <c r="AG3" i="7"/>
  <c r="AF3" i="7"/>
  <c r="AD2" i="7"/>
  <c r="AE3" i="7"/>
  <c r="AD3" i="7"/>
  <c r="AC3" i="7"/>
  <c r="AB3" i="7"/>
  <c r="AA3" i="7"/>
  <c r="Z3" i="7"/>
  <c r="Y3" i="7"/>
  <c r="X3" i="7"/>
  <c r="W3" i="7"/>
  <c r="V3" i="7"/>
  <c r="U3" i="7"/>
  <c r="T3" i="7"/>
  <c r="R2" i="7"/>
  <c r="S3" i="7"/>
  <c r="R3" i="7"/>
  <c r="Q3" i="7"/>
  <c r="P3" i="7"/>
  <c r="O3" i="7"/>
  <c r="N3" i="7"/>
  <c r="M3" i="7"/>
  <c r="L3" i="7"/>
  <c r="K3" i="7"/>
  <c r="J3" i="7"/>
  <c r="I3" i="7"/>
  <c r="H3" i="7"/>
  <c r="G2" i="7"/>
  <c r="G3" i="7"/>
  <c r="BN3" i="10"/>
  <c r="BM3" i="10"/>
  <c r="BL3" i="10"/>
  <c r="BK3" i="10"/>
  <c r="BJ3" i="10"/>
  <c r="BI3" i="10"/>
  <c r="BH3" i="10"/>
  <c r="BG3" i="10"/>
  <c r="BF3" i="10"/>
  <c r="BE3" i="10"/>
  <c r="BD3" i="10"/>
  <c r="BC2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2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2" i="10"/>
  <c r="AE3" i="10"/>
  <c r="AD3" i="10"/>
  <c r="AC3" i="10"/>
  <c r="AB3" i="10"/>
  <c r="AA3" i="10"/>
  <c r="Z3" i="10"/>
  <c r="Y3" i="10"/>
  <c r="X3" i="10"/>
  <c r="W3" i="10"/>
  <c r="V3" i="10"/>
  <c r="U3" i="10"/>
  <c r="T3" i="10"/>
  <c r="S2" i="10"/>
  <c r="S3" i="10"/>
  <c r="R3" i="10"/>
  <c r="Q3" i="10"/>
  <c r="P3" i="10"/>
  <c r="O3" i="10"/>
  <c r="N3" i="10"/>
  <c r="M3" i="10"/>
  <c r="L3" i="10"/>
  <c r="K3" i="10"/>
  <c r="J3" i="10"/>
  <c r="I3" i="10"/>
  <c r="H3" i="10"/>
  <c r="G2" i="10"/>
  <c r="G3" i="10"/>
  <c r="BL3" i="8"/>
  <c r="BK3" i="8"/>
  <c r="BJ3" i="8"/>
  <c r="BI3" i="8"/>
  <c r="BH3" i="8"/>
  <c r="BG3" i="8"/>
  <c r="BF3" i="8"/>
  <c r="BE3" i="8"/>
  <c r="BD3" i="8"/>
  <c r="BC3" i="8"/>
  <c r="BB3" i="8"/>
  <c r="BA2" i="8"/>
  <c r="BA3" i="8"/>
  <c r="AZ3" i="8"/>
  <c r="AY3" i="8"/>
  <c r="AX3" i="8"/>
  <c r="AW3" i="8"/>
  <c r="AV3" i="8"/>
  <c r="AU3" i="8"/>
  <c r="AT3" i="8"/>
  <c r="AS3" i="8"/>
  <c r="AR3" i="8"/>
  <c r="AQ3" i="8"/>
  <c r="AP3" i="8"/>
  <c r="AO2" i="8"/>
  <c r="AO3" i="8"/>
  <c r="AN3" i="8"/>
  <c r="AM3" i="8"/>
  <c r="AL3" i="8"/>
  <c r="AK3" i="8"/>
  <c r="AJ3" i="8"/>
  <c r="AI3" i="8"/>
  <c r="AH3" i="8"/>
  <c r="AG3" i="8"/>
  <c r="AF3" i="8"/>
  <c r="AE3" i="8"/>
  <c r="AD3" i="8"/>
  <c r="AC2" i="8"/>
  <c r="AC3" i="8"/>
  <c r="AB3" i="8"/>
  <c r="AA3" i="8"/>
  <c r="Z3" i="8"/>
  <c r="Y3" i="8"/>
  <c r="X3" i="8"/>
  <c r="W3" i="8"/>
  <c r="V3" i="8"/>
  <c r="U3" i="8"/>
  <c r="T3" i="8"/>
  <c r="S3" i="8"/>
  <c r="R3" i="8"/>
  <c r="Q2" i="8"/>
  <c r="Q3" i="8"/>
  <c r="P3" i="8"/>
  <c r="O3" i="8"/>
  <c r="N3" i="8"/>
  <c r="M3" i="8"/>
  <c r="L3" i="8"/>
  <c r="K3" i="8"/>
  <c r="J3" i="8"/>
  <c r="I3" i="8"/>
  <c r="H3" i="8"/>
  <c r="G3" i="8"/>
  <c r="F3" i="8"/>
  <c r="E2" i="8"/>
  <c r="E3" i="8"/>
  <c r="BL2" i="4"/>
  <c r="BK2" i="4"/>
  <c r="BJ2" i="4"/>
  <c r="BI2" i="4"/>
  <c r="BH2" i="4"/>
  <c r="BG2" i="4"/>
  <c r="BF2" i="4"/>
  <c r="BE2" i="4"/>
  <c r="BD2" i="4"/>
  <c r="BC2" i="4"/>
  <c r="BB2" i="4"/>
  <c r="BA1" i="4"/>
  <c r="BA2" i="4"/>
  <c r="AZ2" i="4"/>
  <c r="AY2" i="4"/>
  <c r="AX2" i="4"/>
  <c r="AW2" i="4"/>
  <c r="AV2" i="4"/>
  <c r="AU2" i="4"/>
  <c r="AT2" i="4"/>
  <c r="AS2" i="4"/>
  <c r="AR2" i="4"/>
  <c r="AQ2" i="4"/>
  <c r="AP2" i="4"/>
  <c r="AO1" i="4"/>
  <c r="AO2" i="4"/>
  <c r="AN2" i="4"/>
  <c r="AM2" i="4"/>
  <c r="AL2" i="4"/>
  <c r="AK2" i="4"/>
  <c r="AJ2" i="4"/>
  <c r="AI2" i="4"/>
  <c r="AH2" i="4"/>
  <c r="AG2" i="4"/>
  <c r="AF2" i="4"/>
  <c r="AE2" i="4"/>
  <c r="AD2" i="4"/>
  <c r="AC1" i="4"/>
  <c r="AC2" i="4"/>
  <c r="AB2" i="4"/>
  <c r="AA2" i="4"/>
  <c r="Z2" i="4"/>
  <c r="Y2" i="4"/>
  <c r="X2" i="4"/>
  <c r="W2" i="4"/>
  <c r="V2" i="4"/>
  <c r="U2" i="4"/>
  <c r="T2" i="4"/>
  <c r="S2" i="4"/>
  <c r="R2" i="4"/>
  <c r="Q1" i="4"/>
  <c r="Q2" i="4"/>
  <c r="P2" i="4"/>
  <c r="O2" i="4"/>
  <c r="N2" i="4"/>
  <c r="M2" i="4"/>
  <c r="L2" i="4"/>
  <c r="K2" i="4"/>
  <c r="J2" i="4"/>
  <c r="I2" i="4"/>
  <c r="H2" i="4"/>
  <c r="G2" i="4"/>
  <c r="F2" i="4"/>
  <c r="E1" i="4"/>
  <c r="E2" i="4"/>
  <c r="BL2" i="5"/>
  <c r="BK2" i="5"/>
  <c r="BJ2" i="5"/>
  <c r="BI2" i="5"/>
  <c r="BH2" i="5"/>
  <c r="BG2" i="5"/>
  <c r="BF2" i="5"/>
  <c r="BE2" i="5"/>
  <c r="BD2" i="5"/>
  <c r="BC2" i="5"/>
  <c r="BB2" i="5"/>
  <c r="BA1" i="5"/>
  <c r="BA2" i="5"/>
  <c r="AZ2" i="5"/>
  <c r="AY2" i="5"/>
  <c r="AX2" i="5"/>
  <c r="AW2" i="5"/>
  <c r="AV2" i="5"/>
  <c r="AU2" i="5"/>
  <c r="AT2" i="5"/>
  <c r="AS2" i="5"/>
  <c r="AR2" i="5"/>
  <c r="AQ2" i="5"/>
  <c r="AP2" i="5"/>
  <c r="AO1" i="5"/>
  <c r="AO2" i="5"/>
  <c r="AN2" i="5"/>
  <c r="AM2" i="5"/>
  <c r="AL2" i="5"/>
  <c r="AK2" i="5"/>
  <c r="AJ2" i="5"/>
  <c r="AI2" i="5"/>
  <c r="AH2" i="5"/>
  <c r="AG2" i="5"/>
  <c r="AF2" i="5"/>
  <c r="AE2" i="5"/>
  <c r="AD2" i="5"/>
  <c r="AC1" i="5"/>
  <c r="AC2" i="5"/>
  <c r="AB2" i="5"/>
  <c r="AA2" i="5"/>
  <c r="Z2" i="5"/>
  <c r="Y2" i="5"/>
  <c r="X2" i="5"/>
  <c r="W2" i="5"/>
  <c r="V2" i="5"/>
  <c r="U2" i="5"/>
  <c r="T2" i="5"/>
  <c r="S2" i="5"/>
  <c r="R2" i="5"/>
  <c r="Q1" i="5"/>
  <c r="Q2" i="5"/>
  <c r="P2" i="5"/>
  <c r="O2" i="5"/>
  <c r="N2" i="5"/>
  <c r="M2" i="5"/>
  <c r="L2" i="5"/>
  <c r="K2" i="5"/>
  <c r="J2" i="5"/>
  <c r="I2" i="5"/>
  <c r="H2" i="5"/>
  <c r="G2" i="5"/>
  <c r="F2" i="5"/>
  <c r="E1" i="5"/>
  <c r="E2" i="5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DK32" i="11"/>
  <c r="DL32" i="11"/>
  <c r="DM32" i="11"/>
  <c r="DN32" i="11"/>
  <c r="DO32" i="11"/>
  <c r="DP32" i="11"/>
  <c r="DQ32" i="11"/>
  <c r="DR32" i="11"/>
  <c r="DS32" i="11"/>
  <c r="DT32" i="11"/>
  <c r="DU32" i="11"/>
  <c r="DV3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DN22" i="11"/>
  <c r="DO22" i="11"/>
  <c r="DP22" i="11"/>
  <c r="DQ22" i="11"/>
  <c r="DR22" i="11"/>
  <c r="DS22" i="11"/>
  <c r="DT22" i="11"/>
  <c r="DU22" i="11"/>
  <c r="DV22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DK23" i="11"/>
  <c r="DL23" i="11"/>
  <c r="DM23" i="11"/>
  <c r="DN23" i="11"/>
  <c r="DO23" i="11"/>
  <c r="DP23" i="11"/>
  <c r="DQ23" i="11"/>
  <c r="DR23" i="11"/>
  <c r="DS23" i="11"/>
  <c r="DT23" i="11"/>
  <c r="DU23" i="11"/>
  <c r="DV23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DK24" i="11"/>
  <c r="DL24" i="11"/>
  <c r="DM24" i="11"/>
  <c r="DN24" i="11"/>
  <c r="DO24" i="11"/>
  <c r="DP24" i="11"/>
  <c r="DQ24" i="11"/>
  <c r="DR24" i="11"/>
  <c r="DS24" i="11"/>
  <c r="DT24" i="11"/>
  <c r="DU24" i="11"/>
  <c r="DV24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DK25" i="11"/>
  <c r="DL25" i="11"/>
  <c r="DM25" i="11"/>
  <c r="DN25" i="11"/>
  <c r="DO25" i="11"/>
  <c r="DP25" i="11"/>
  <c r="DQ25" i="11"/>
  <c r="DR25" i="11"/>
  <c r="DS25" i="11"/>
  <c r="DT25" i="11"/>
  <c r="DU25" i="11"/>
  <c r="DV25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DK26" i="11"/>
  <c r="DL26" i="11"/>
  <c r="DM26" i="11"/>
  <c r="DN26" i="11"/>
  <c r="DO26" i="11"/>
  <c r="DP26" i="11"/>
  <c r="DQ26" i="11"/>
  <c r="DR26" i="11"/>
  <c r="DS26" i="11"/>
  <c r="DT26" i="11"/>
  <c r="DU26" i="11"/>
  <c r="DV26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DK29" i="11"/>
  <c r="DL29" i="11"/>
  <c r="DM29" i="11"/>
  <c r="DN29" i="11"/>
  <c r="DO29" i="11"/>
  <c r="DP29" i="11"/>
  <c r="DQ29" i="11"/>
  <c r="DR29" i="11"/>
  <c r="DS29" i="11"/>
  <c r="DT29" i="11"/>
  <c r="DU29" i="11"/>
  <c r="DV29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DK30" i="11"/>
  <c r="DL30" i="11"/>
  <c r="DM30" i="11"/>
  <c r="DN30" i="11"/>
  <c r="DO30" i="11"/>
  <c r="DP30" i="11"/>
  <c r="DQ30" i="11"/>
  <c r="DR30" i="11"/>
  <c r="DS30" i="11"/>
  <c r="DT30" i="11"/>
  <c r="DU30" i="11"/>
  <c r="DV30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DK31" i="11"/>
  <c r="DL31" i="11"/>
  <c r="DM31" i="11"/>
  <c r="DN31" i="11"/>
  <c r="DO31" i="11"/>
  <c r="DP31" i="11"/>
  <c r="DQ31" i="11"/>
  <c r="DR31" i="11"/>
  <c r="DS31" i="11"/>
  <c r="DT31" i="11"/>
  <c r="DU31" i="11"/>
  <c r="DV31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DK12" i="11"/>
  <c r="DL12" i="11"/>
  <c r="DM12" i="11"/>
  <c r="DN12" i="11"/>
  <c r="DO12" i="11"/>
  <c r="DP12" i="11"/>
  <c r="DQ12" i="11"/>
  <c r="DR12" i="11"/>
  <c r="DS12" i="11"/>
  <c r="DT12" i="11"/>
  <c r="DU12" i="11"/>
  <c r="DV12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DK13" i="11"/>
  <c r="DL13" i="11"/>
  <c r="DM13" i="11"/>
  <c r="DN13" i="11"/>
  <c r="DO13" i="11"/>
  <c r="DP13" i="11"/>
  <c r="DQ13" i="11"/>
  <c r="DR13" i="11"/>
  <c r="DS13" i="11"/>
  <c r="DT13" i="11"/>
  <c r="DU13" i="11"/>
  <c r="DV13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DK14" i="11"/>
  <c r="DL14" i="11"/>
  <c r="DM14" i="11"/>
  <c r="DN14" i="11"/>
  <c r="DO14" i="11"/>
  <c r="DP14" i="11"/>
  <c r="DQ14" i="11"/>
  <c r="DR14" i="11"/>
  <c r="DS14" i="11"/>
  <c r="DT14" i="11"/>
  <c r="DU14" i="11"/>
  <c r="DV14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DK15" i="11"/>
  <c r="DL15" i="11"/>
  <c r="DM15" i="11"/>
  <c r="DN15" i="11"/>
  <c r="DO15" i="11"/>
  <c r="DP15" i="11"/>
  <c r="DQ15" i="11"/>
  <c r="DR15" i="11"/>
  <c r="DS15" i="11"/>
  <c r="DT15" i="11"/>
  <c r="DU15" i="11"/>
  <c r="DV15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DK16" i="11"/>
  <c r="DL16" i="11"/>
  <c r="DM16" i="11"/>
  <c r="DN16" i="11"/>
  <c r="DO16" i="11"/>
  <c r="DP16" i="11"/>
  <c r="DQ16" i="11"/>
  <c r="DR16" i="11"/>
  <c r="DS16" i="11"/>
  <c r="DT16" i="11"/>
  <c r="DU16" i="11"/>
  <c r="DV16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DK17" i="11"/>
  <c r="DL17" i="11"/>
  <c r="DM17" i="11"/>
  <c r="DN17" i="11"/>
  <c r="DO17" i="11"/>
  <c r="DP17" i="11"/>
  <c r="DQ17" i="11"/>
  <c r="DR17" i="11"/>
  <c r="DS17" i="11"/>
  <c r="DT17" i="11"/>
  <c r="DU17" i="11"/>
  <c r="DV17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DK18" i="11"/>
  <c r="DL18" i="11"/>
  <c r="DM18" i="11"/>
  <c r="DN18" i="11"/>
  <c r="DO18" i="11"/>
  <c r="DP18" i="11"/>
  <c r="DQ18" i="11"/>
  <c r="DR18" i="11"/>
  <c r="DS18" i="11"/>
  <c r="DT18" i="11"/>
  <c r="DU18" i="11"/>
  <c r="DV18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DK19" i="11"/>
  <c r="DL19" i="11"/>
  <c r="DM19" i="11"/>
  <c r="DN19" i="11"/>
  <c r="DO19" i="11"/>
  <c r="DP19" i="11"/>
  <c r="DQ19" i="11"/>
  <c r="DR19" i="11"/>
  <c r="DS19" i="11"/>
  <c r="DT19" i="11"/>
  <c r="DU19" i="11"/>
  <c r="DV19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DK20" i="11"/>
  <c r="DL20" i="11"/>
  <c r="DM20" i="11"/>
  <c r="DN20" i="11"/>
  <c r="DO20" i="11"/>
  <c r="DP20" i="11"/>
  <c r="DQ20" i="11"/>
  <c r="DR20" i="11"/>
  <c r="DS20" i="11"/>
  <c r="DT20" i="11"/>
  <c r="DU20" i="11"/>
  <c r="DV20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DK21" i="11"/>
  <c r="DL21" i="11"/>
  <c r="DM21" i="11"/>
  <c r="DN21" i="11"/>
  <c r="DO21" i="11"/>
  <c r="DP21" i="11"/>
  <c r="DQ21" i="11"/>
  <c r="DR21" i="11"/>
  <c r="DS21" i="11"/>
  <c r="DT21" i="11"/>
  <c r="DU21" i="11"/>
  <c r="DV21" i="11"/>
  <c r="C15" i="1" l="1"/>
  <c r="C14" i="1"/>
  <c r="S4" i="11" l="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K4" i="11"/>
  <c r="BL4" i="11"/>
  <c r="BM4" i="11"/>
  <c r="BN4" i="11"/>
  <c r="BO4" i="11"/>
  <c r="BP4" i="11"/>
  <c r="BQ4" i="11"/>
  <c r="BR4" i="11"/>
  <c r="BS4" i="11"/>
  <c r="BT4" i="11"/>
  <c r="BU4" i="11"/>
  <c r="BV4" i="11"/>
  <c r="BW4" i="11"/>
  <c r="BX4" i="11"/>
  <c r="BY4" i="11"/>
  <c r="BZ4" i="11"/>
  <c r="CA4" i="11"/>
  <c r="CB4" i="11"/>
  <c r="CC4" i="11"/>
  <c r="CD4" i="11"/>
  <c r="CE4" i="11"/>
  <c r="CF4" i="11"/>
  <c r="CG4" i="11"/>
  <c r="CH4" i="11"/>
  <c r="CI4" i="11"/>
  <c r="CJ4" i="11"/>
  <c r="CK4" i="11"/>
  <c r="CL4" i="11"/>
  <c r="CM4" i="11"/>
  <c r="CN4" i="11"/>
  <c r="CO4" i="11"/>
  <c r="CP4" i="11"/>
  <c r="CQ4" i="11"/>
  <c r="CR4" i="11"/>
  <c r="CS4" i="11"/>
  <c r="CT4" i="11"/>
  <c r="CU4" i="11"/>
  <c r="CV4" i="11"/>
  <c r="CW4" i="11"/>
  <c r="CX4" i="11"/>
  <c r="CY4" i="11"/>
  <c r="CZ4" i="11"/>
  <c r="DA4" i="11"/>
  <c r="DB4" i="11"/>
  <c r="DC4" i="11"/>
  <c r="DD4" i="11"/>
  <c r="DE4" i="11"/>
  <c r="DF4" i="11"/>
  <c r="DG4" i="11"/>
  <c r="DH4" i="11"/>
  <c r="DI4" i="11"/>
  <c r="DJ4" i="11"/>
  <c r="DK4" i="11"/>
  <c r="DL4" i="11"/>
  <c r="DM4" i="11"/>
  <c r="DN4" i="11"/>
  <c r="DO4" i="11"/>
  <c r="DP4" i="11"/>
  <c r="DQ4" i="11"/>
  <c r="DR4" i="11"/>
  <c r="DS4" i="11"/>
  <c r="DT4" i="11"/>
  <c r="DU4" i="11"/>
  <c r="DV4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DK8" i="11"/>
  <c r="DL8" i="11"/>
  <c r="DM8" i="11"/>
  <c r="DN8" i="11"/>
  <c r="DO8" i="11"/>
  <c r="DP8" i="11"/>
  <c r="DQ8" i="11"/>
  <c r="DR8" i="11"/>
  <c r="DS8" i="11"/>
  <c r="DT8" i="11"/>
  <c r="DU8" i="11"/>
  <c r="DV8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DK9" i="11"/>
  <c r="DL9" i="11"/>
  <c r="DM9" i="11"/>
  <c r="DN9" i="11"/>
  <c r="DO9" i="11"/>
  <c r="DP9" i="11"/>
  <c r="DQ9" i="11"/>
  <c r="DR9" i="11"/>
  <c r="DS9" i="11"/>
  <c r="DT9" i="11"/>
  <c r="DU9" i="11"/>
  <c r="DV9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S4" i="6"/>
  <c r="T4" i="6"/>
  <c r="U4" i="6"/>
  <c r="V4" i="6"/>
  <c r="W4" i="6"/>
  <c r="X4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J4" i="6"/>
  <c r="BO4" i="6"/>
  <c r="BP4" i="6"/>
  <c r="BQ4" i="6"/>
  <c r="BR4" i="6"/>
  <c r="BS4" i="6"/>
  <c r="BT4" i="6"/>
  <c r="BU4" i="6"/>
  <c r="BV4" i="6"/>
  <c r="BW4" i="6"/>
  <c r="BX4" i="6"/>
  <c r="BY4" i="6"/>
  <c r="BZ4" i="6"/>
  <c r="CA4" i="6"/>
  <c r="CB4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Q4" i="6"/>
  <c r="CR4" i="6"/>
  <c r="CS4" i="6"/>
  <c r="CT4" i="6"/>
  <c r="CU4" i="6"/>
  <c r="CV4" i="6"/>
  <c r="CW4" i="6"/>
  <c r="CX4" i="6"/>
  <c r="CY4" i="6"/>
  <c r="CZ4" i="6"/>
  <c r="DA4" i="6"/>
  <c r="DB4" i="6"/>
  <c r="DC4" i="6"/>
  <c r="DD4" i="6"/>
  <c r="DE4" i="6"/>
  <c r="DF4" i="6"/>
  <c r="DG4" i="6"/>
  <c r="DH4" i="6"/>
  <c r="DI4" i="6"/>
  <c r="DJ4" i="6"/>
  <c r="DK4" i="6"/>
  <c r="DL4" i="6"/>
  <c r="DM4" i="6"/>
  <c r="DN4" i="6"/>
  <c r="DO4" i="6"/>
  <c r="DP4" i="6"/>
  <c r="DQ4" i="6"/>
  <c r="DR4" i="6"/>
  <c r="DS4" i="6"/>
  <c r="DT4" i="6"/>
  <c r="DU4" i="6"/>
  <c r="DV4" i="6"/>
  <c r="S5" i="6"/>
  <c r="T5" i="6"/>
  <c r="Y5" i="6"/>
  <c r="Z5" i="6"/>
  <c r="AA5" i="6"/>
  <c r="AB5" i="6"/>
  <c r="AG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E5" i="6"/>
  <c r="BJ5" i="6"/>
  <c r="BK5" i="6"/>
  <c r="BL5" i="6"/>
  <c r="BM5" i="6"/>
  <c r="BR5" i="6"/>
  <c r="BS5" i="6"/>
  <c r="BT5" i="6"/>
  <c r="BU5" i="6"/>
  <c r="BV5" i="6"/>
  <c r="BW5" i="6"/>
  <c r="BX5" i="6"/>
  <c r="BY5" i="6"/>
  <c r="CG5" i="6"/>
  <c r="CH5" i="6"/>
  <c r="CI5" i="6"/>
  <c r="CJ5" i="6"/>
  <c r="CK5" i="6"/>
  <c r="CL5" i="6"/>
  <c r="CM5" i="6"/>
  <c r="CN5" i="6"/>
  <c r="CO5" i="6"/>
  <c r="CP5" i="6"/>
  <c r="CQ5" i="6"/>
  <c r="CR5" i="6"/>
  <c r="CS5" i="6"/>
  <c r="CT5" i="6"/>
  <c r="CU5" i="6"/>
  <c r="CV5" i="6"/>
  <c r="CW5" i="6"/>
  <c r="CX5" i="6"/>
  <c r="CY5" i="6"/>
  <c r="CZ5" i="6"/>
  <c r="DA5" i="6"/>
  <c r="DB5" i="6"/>
  <c r="DC5" i="6"/>
  <c r="DD5" i="6"/>
  <c r="DE5" i="6"/>
  <c r="DF5" i="6"/>
  <c r="DG5" i="6"/>
  <c r="DH5" i="6"/>
  <c r="DI5" i="6"/>
  <c r="DJ5" i="6"/>
  <c r="DK5" i="6"/>
  <c r="DL5" i="6"/>
  <c r="DM5" i="6"/>
  <c r="DN5" i="6"/>
  <c r="DO5" i="6"/>
  <c r="DP5" i="6"/>
  <c r="DQ5" i="6"/>
  <c r="DR5" i="6"/>
  <c r="DS5" i="6"/>
  <c r="DT5" i="6"/>
  <c r="DU5" i="6"/>
  <c r="DV5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CL6" i="6"/>
  <c r="CM6" i="6"/>
  <c r="CN6" i="6"/>
  <c r="CO6" i="6"/>
  <c r="CP6" i="6"/>
  <c r="CQ6" i="6"/>
  <c r="CR6" i="6"/>
  <c r="CS6" i="6"/>
  <c r="CT6" i="6"/>
  <c r="CU6" i="6"/>
  <c r="CV6" i="6"/>
  <c r="CW6" i="6"/>
  <c r="CX6" i="6"/>
  <c r="CY6" i="6"/>
  <c r="CZ6" i="6"/>
  <c r="DA6" i="6"/>
  <c r="DB6" i="6"/>
  <c r="DC6" i="6"/>
  <c r="DD6" i="6"/>
  <c r="DE6" i="6"/>
  <c r="DF6" i="6"/>
  <c r="DG6" i="6"/>
  <c r="DH6" i="6"/>
  <c r="DI6" i="6"/>
  <c r="DJ6" i="6"/>
  <c r="DK6" i="6"/>
  <c r="DL6" i="6"/>
  <c r="DM6" i="6"/>
  <c r="DN6" i="6"/>
  <c r="DO6" i="6"/>
  <c r="DP6" i="6"/>
  <c r="DQ6" i="6"/>
  <c r="DR6" i="6"/>
  <c r="DS6" i="6"/>
  <c r="DT6" i="6"/>
  <c r="DU6" i="6"/>
  <c r="DV6" i="6"/>
  <c r="T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I7" i="6"/>
  <c r="BJ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S7" i="6"/>
  <c r="DT7" i="6"/>
  <c r="DU7" i="6"/>
  <c r="DV7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S9" i="6"/>
  <c r="T9" i="6"/>
  <c r="U9" i="6"/>
  <c r="V9" i="6"/>
  <c r="W9" i="6"/>
  <c r="X9" i="6"/>
  <c r="Y9" i="6"/>
  <c r="Z9" i="6"/>
  <c r="AA9" i="6"/>
  <c r="AB9" i="6"/>
  <c r="AC9" i="6"/>
  <c r="AH9" i="6"/>
  <c r="AI9" i="6"/>
  <c r="AJ9" i="6"/>
  <c r="AK9" i="6"/>
  <c r="AL9" i="6"/>
  <c r="AM9" i="6"/>
  <c r="AN9" i="6"/>
  <c r="AO9" i="6"/>
  <c r="BB9" i="6"/>
  <c r="BC9" i="6"/>
  <c r="BD9" i="6"/>
  <c r="BE9" i="6"/>
  <c r="BF9" i="6"/>
  <c r="BG9" i="6"/>
  <c r="BH9" i="6"/>
  <c r="BI9" i="6"/>
  <c r="BJ9" i="6"/>
  <c r="BK9" i="6"/>
  <c r="BL9" i="6"/>
  <c r="BM9" i="6"/>
  <c r="BN9" i="6"/>
  <c r="BO9" i="6"/>
  <c r="BP9" i="6"/>
  <c r="CE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CW9" i="6"/>
  <c r="CX9" i="6"/>
  <c r="CY9" i="6"/>
  <c r="CZ9" i="6"/>
  <c r="DA9" i="6"/>
  <c r="DB9" i="6"/>
  <c r="DC9" i="6"/>
  <c r="DD9" i="6"/>
  <c r="DE9" i="6"/>
  <c r="DF9" i="6"/>
  <c r="DG9" i="6"/>
  <c r="DH9" i="6"/>
  <c r="DI9" i="6"/>
  <c r="DJ9" i="6"/>
  <c r="DK9" i="6"/>
  <c r="DL9" i="6"/>
  <c r="DM9" i="6"/>
  <c r="DN9" i="6"/>
  <c r="DO9" i="6"/>
  <c r="DP9" i="6"/>
  <c r="DQ9" i="6"/>
  <c r="DR9" i="6"/>
  <c r="DS9" i="6"/>
  <c r="DT9" i="6"/>
  <c r="DU9" i="6"/>
  <c r="DV9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CN10" i="6"/>
  <c r="CO10" i="6"/>
  <c r="CP10" i="6"/>
  <c r="CQ10" i="6"/>
  <c r="CR10" i="6"/>
  <c r="CS10" i="6"/>
  <c r="CT10" i="6"/>
  <c r="CU10" i="6"/>
  <c r="CV10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DI10" i="6"/>
  <c r="DJ10" i="6"/>
  <c r="DK10" i="6"/>
  <c r="DL10" i="6"/>
  <c r="DM10" i="6"/>
  <c r="DN10" i="6"/>
  <c r="DO10" i="6"/>
  <c r="DP10" i="6"/>
  <c r="DQ10" i="6"/>
  <c r="DR10" i="6"/>
  <c r="DS10" i="6"/>
  <c r="DT10" i="6"/>
  <c r="DU10" i="6"/>
  <c r="DV10" i="6"/>
  <c r="S11" i="6"/>
  <c r="T11" i="6"/>
  <c r="U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Q11" i="6"/>
  <c r="BV11" i="6"/>
  <c r="BW11" i="6"/>
  <c r="BX11" i="6"/>
  <c r="BY11" i="6"/>
  <c r="BZ11" i="6"/>
  <c r="CA11" i="6"/>
  <c r="CB11" i="6"/>
  <c r="CC11" i="6"/>
  <c r="CD11" i="6"/>
  <c r="CE11" i="6"/>
  <c r="CF11" i="6"/>
  <c r="CG11" i="6"/>
  <c r="CH11" i="6"/>
  <c r="CI11" i="6"/>
  <c r="CJ11" i="6"/>
  <c r="CK11" i="6"/>
  <c r="CL11" i="6"/>
  <c r="CM11" i="6"/>
  <c r="CN11" i="6"/>
  <c r="CO11" i="6"/>
  <c r="CP11" i="6"/>
  <c r="CQ11" i="6"/>
  <c r="CR11" i="6"/>
  <c r="CS11" i="6"/>
  <c r="CT11" i="6"/>
  <c r="CU11" i="6"/>
  <c r="CV11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DI11" i="6"/>
  <c r="DJ11" i="6"/>
  <c r="DK11" i="6"/>
  <c r="DL11" i="6"/>
  <c r="DM11" i="6"/>
  <c r="DN11" i="6"/>
  <c r="DO11" i="6"/>
  <c r="DP11" i="6"/>
  <c r="DQ11" i="6"/>
  <c r="DR11" i="6"/>
  <c r="DS11" i="6"/>
  <c r="DT11" i="6"/>
  <c r="DU11" i="6"/>
  <c r="DV11" i="6"/>
  <c r="S12" i="6"/>
  <c r="X12" i="6"/>
  <c r="AC12" i="6"/>
  <c r="AD12" i="6"/>
  <c r="AE12" i="6"/>
  <c r="AF12" i="6"/>
  <c r="AG12" i="6"/>
  <c r="AH12" i="6"/>
  <c r="AI12" i="6"/>
  <c r="AJ12" i="6"/>
  <c r="AK12" i="6"/>
  <c r="AL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I12" i="6"/>
  <c r="BR12" i="6"/>
  <c r="BS12" i="6"/>
  <c r="BT12" i="6"/>
  <c r="BU12" i="6"/>
  <c r="BV12" i="6"/>
  <c r="BW12" i="6"/>
  <c r="BX12" i="6"/>
  <c r="BY12" i="6"/>
  <c r="BZ12" i="6"/>
  <c r="CA12" i="6"/>
  <c r="CB12" i="6"/>
  <c r="CC12" i="6"/>
  <c r="CD12" i="6"/>
  <c r="CG12" i="6"/>
  <c r="CH12" i="6"/>
  <c r="CI12" i="6"/>
  <c r="CJ12" i="6"/>
  <c r="CK12" i="6"/>
  <c r="CL12" i="6"/>
  <c r="CM12" i="6"/>
  <c r="CN12" i="6"/>
  <c r="CO12" i="6"/>
  <c r="CP12" i="6"/>
  <c r="CQ12" i="6"/>
  <c r="CR12" i="6"/>
  <c r="CS12" i="6"/>
  <c r="CT12" i="6"/>
  <c r="CU12" i="6"/>
  <c r="CV12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DI12" i="6"/>
  <c r="DJ12" i="6"/>
  <c r="DK12" i="6"/>
  <c r="DL12" i="6"/>
  <c r="DM12" i="6"/>
  <c r="DN12" i="6"/>
  <c r="DO12" i="6"/>
  <c r="DP12" i="6"/>
  <c r="DQ12" i="6"/>
  <c r="DR12" i="6"/>
  <c r="DS12" i="6"/>
  <c r="DT12" i="6"/>
  <c r="DU12" i="6"/>
  <c r="DV12" i="6"/>
  <c r="V13" i="6"/>
  <c r="W13" i="6"/>
  <c r="X13" i="6"/>
  <c r="Y13" i="6"/>
  <c r="Z13" i="6"/>
  <c r="AA13" i="6"/>
  <c r="AB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BF13" i="6"/>
  <c r="BG13" i="6"/>
  <c r="BH13" i="6"/>
  <c r="BI13" i="6"/>
  <c r="BJ13" i="6"/>
  <c r="BK13" i="6"/>
  <c r="BL13" i="6"/>
  <c r="BM13" i="6"/>
  <c r="BN13" i="6"/>
  <c r="BO13" i="6"/>
  <c r="BP13" i="6"/>
  <c r="BQ13" i="6"/>
  <c r="BR13" i="6"/>
  <c r="BS13" i="6"/>
  <c r="CE13" i="6"/>
  <c r="CF13" i="6"/>
  <c r="CG13" i="6"/>
  <c r="CH13" i="6"/>
  <c r="CI13" i="6"/>
  <c r="CJ13" i="6"/>
  <c r="CK13" i="6"/>
  <c r="CL13" i="6"/>
  <c r="CM13" i="6"/>
  <c r="CN13" i="6"/>
  <c r="CO13" i="6"/>
  <c r="CP13" i="6"/>
  <c r="CQ13" i="6"/>
  <c r="CR13" i="6"/>
  <c r="CS13" i="6"/>
  <c r="CT13" i="6"/>
  <c r="CU13" i="6"/>
  <c r="CV13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DI13" i="6"/>
  <c r="DJ13" i="6"/>
  <c r="DK13" i="6"/>
  <c r="DL13" i="6"/>
  <c r="DM13" i="6"/>
  <c r="DN13" i="6"/>
  <c r="DO13" i="6"/>
  <c r="DP13" i="6"/>
  <c r="DQ13" i="6"/>
  <c r="DR13" i="6"/>
  <c r="DS13" i="6"/>
  <c r="DT13" i="6"/>
  <c r="DU13" i="6"/>
  <c r="DV13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BL14" i="6"/>
  <c r="BM14" i="6"/>
  <c r="BN14" i="6"/>
  <c r="BO14" i="6"/>
  <c r="BP14" i="6"/>
  <c r="BQ14" i="6"/>
  <c r="BR14" i="6"/>
  <c r="BS14" i="6"/>
  <c r="BT14" i="6"/>
  <c r="BU14" i="6"/>
  <c r="BV14" i="6"/>
  <c r="BW14" i="6"/>
  <c r="BX14" i="6"/>
  <c r="BY14" i="6"/>
  <c r="BZ14" i="6"/>
  <c r="CA14" i="6"/>
  <c r="CB14" i="6"/>
  <c r="CC14" i="6"/>
  <c r="CD14" i="6"/>
  <c r="CE14" i="6"/>
  <c r="CF14" i="6"/>
  <c r="CG14" i="6"/>
  <c r="CH14" i="6"/>
  <c r="CI14" i="6"/>
  <c r="CJ14" i="6"/>
  <c r="CK14" i="6"/>
  <c r="CL14" i="6"/>
  <c r="CM14" i="6"/>
  <c r="CN14" i="6"/>
  <c r="CO14" i="6"/>
  <c r="CP14" i="6"/>
  <c r="CQ14" i="6"/>
  <c r="CR14" i="6"/>
  <c r="CS14" i="6"/>
  <c r="CT14" i="6"/>
  <c r="CU14" i="6"/>
  <c r="CV14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DI14" i="6"/>
  <c r="DJ14" i="6"/>
  <c r="DK14" i="6"/>
  <c r="DL14" i="6"/>
  <c r="DM14" i="6"/>
  <c r="DN14" i="6"/>
  <c r="DO14" i="6"/>
  <c r="DP14" i="6"/>
  <c r="DQ14" i="6"/>
  <c r="DR14" i="6"/>
  <c r="DS14" i="6"/>
  <c r="DT14" i="6"/>
  <c r="DU14" i="6"/>
  <c r="DV14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BL15" i="6"/>
  <c r="BM15" i="6"/>
  <c r="BN15" i="6"/>
  <c r="BO15" i="6"/>
  <c r="BP15" i="6"/>
  <c r="BQ15" i="6"/>
  <c r="BR15" i="6"/>
  <c r="BS15" i="6"/>
  <c r="BT15" i="6"/>
  <c r="BU15" i="6"/>
  <c r="BV15" i="6"/>
  <c r="BW15" i="6"/>
  <c r="BX15" i="6"/>
  <c r="BY15" i="6"/>
  <c r="BZ15" i="6"/>
  <c r="CA15" i="6"/>
  <c r="CB15" i="6"/>
  <c r="CC15" i="6"/>
  <c r="CD15" i="6"/>
  <c r="CE15" i="6"/>
  <c r="CF15" i="6"/>
  <c r="CG15" i="6"/>
  <c r="CH15" i="6"/>
  <c r="CI15" i="6"/>
  <c r="CJ15" i="6"/>
  <c r="CK15" i="6"/>
  <c r="CL15" i="6"/>
  <c r="CM15" i="6"/>
  <c r="CN15" i="6"/>
  <c r="CO15" i="6"/>
  <c r="CP15" i="6"/>
  <c r="CQ15" i="6"/>
  <c r="CR15" i="6"/>
  <c r="CS15" i="6"/>
  <c r="CT15" i="6"/>
  <c r="CU15" i="6"/>
  <c r="CV15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DI15" i="6"/>
  <c r="DJ15" i="6"/>
  <c r="DK15" i="6"/>
  <c r="DL15" i="6"/>
  <c r="DM15" i="6"/>
  <c r="DN15" i="6"/>
  <c r="DO15" i="6"/>
  <c r="DP15" i="6"/>
  <c r="DQ15" i="6"/>
  <c r="DR15" i="6"/>
  <c r="DS15" i="6"/>
  <c r="DT15" i="6"/>
  <c r="DU15" i="6"/>
  <c r="DV15" i="6"/>
  <c r="S16" i="6"/>
  <c r="T16" i="6"/>
  <c r="Y16" i="6"/>
  <c r="Z16" i="6"/>
  <c r="AA16" i="6"/>
  <c r="AB16" i="6"/>
  <c r="AC16" i="6"/>
  <c r="AD16" i="6"/>
  <c r="AE16" i="6"/>
  <c r="AF16" i="6"/>
  <c r="AG16" i="6"/>
  <c r="AH16" i="6"/>
  <c r="AI16" i="6"/>
  <c r="AN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H16" i="6"/>
  <c r="BI16" i="6"/>
  <c r="BR16" i="6"/>
  <c r="BS16" i="6"/>
  <c r="BT16" i="6"/>
  <c r="BU16" i="6"/>
  <c r="BV16" i="6"/>
  <c r="BW16" i="6"/>
  <c r="BX16" i="6"/>
  <c r="BY16" i="6"/>
  <c r="BZ16" i="6"/>
  <c r="CA16" i="6"/>
  <c r="CB16" i="6"/>
  <c r="CG16" i="6"/>
  <c r="CH16" i="6"/>
  <c r="CI16" i="6"/>
  <c r="CJ16" i="6"/>
  <c r="CK16" i="6"/>
  <c r="CL16" i="6"/>
  <c r="CM16" i="6"/>
  <c r="CN16" i="6"/>
  <c r="CO16" i="6"/>
  <c r="CP16" i="6"/>
  <c r="CQ16" i="6"/>
  <c r="CR16" i="6"/>
  <c r="CS16" i="6"/>
  <c r="CT16" i="6"/>
  <c r="CU16" i="6"/>
  <c r="CV16" i="6"/>
  <c r="CW16" i="6"/>
  <c r="CX16" i="6"/>
  <c r="CY16" i="6"/>
  <c r="CZ16" i="6"/>
  <c r="DA16" i="6"/>
  <c r="DB16" i="6"/>
  <c r="DC16" i="6"/>
  <c r="DD16" i="6"/>
  <c r="DE16" i="6"/>
  <c r="DF16" i="6"/>
  <c r="DG16" i="6"/>
  <c r="DH16" i="6"/>
  <c r="DI16" i="6"/>
  <c r="DJ16" i="6"/>
  <c r="DK16" i="6"/>
  <c r="DL16" i="6"/>
  <c r="DM16" i="6"/>
  <c r="DN16" i="6"/>
  <c r="DO16" i="6"/>
  <c r="DP16" i="6"/>
  <c r="DQ16" i="6"/>
  <c r="DR16" i="6"/>
  <c r="DS16" i="6"/>
  <c r="DT16" i="6"/>
  <c r="DU16" i="6"/>
  <c r="DV16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BL17" i="6"/>
  <c r="BM17" i="6"/>
  <c r="BN17" i="6"/>
  <c r="BO17" i="6"/>
  <c r="BP17" i="6"/>
  <c r="BQ17" i="6"/>
  <c r="BR17" i="6"/>
  <c r="BS17" i="6"/>
  <c r="BT17" i="6"/>
  <c r="BU17" i="6"/>
  <c r="BV17" i="6"/>
  <c r="BW17" i="6"/>
  <c r="BX17" i="6"/>
  <c r="BY17" i="6"/>
  <c r="BZ17" i="6"/>
  <c r="CA17" i="6"/>
  <c r="CB17" i="6"/>
  <c r="CC17" i="6"/>
  <c r="CD17" i="6"/>
  <c r="CE17" i="6"/>
  <c r="CF17" i="6"/>
  <c r="CG17" i="6"/>
  <c r="CH17" i="6"/>
  <c r="CI17" i="6"/>
  <c r="CJ17" i="6"/>
  <c r="CK17" i="6"/>
  <c r="CL17" i="6"/>
  <c r="CM17" i="6"/>
  <c r="CN17" i="6"/>
  <c r="CO17" i="6"/>
  <c r="CP17" i="6"/>
  <c r="CQ17" i="6"/>
  <c r="CR17" i="6"/>
  <c r="CS17" i="6"/>
  <c r="CT17" i="6"/>
  <c r="CU17" i="6"/>
  <c r="CV17" i="6"/>
  <c r="CW17" i="6"/>
  <c r="CX17" i="6"/>
  <c r="CY17" i="6"/>
  <c r="CZ17" i="6"/>
  <c r="DA17" i="6"/>
  <c r="DB17" i="6"/>
  <c r="DC17" i="6"/>
  <c r="DD17" i="6"/>
  <c r="DE17" i="6"/>
  <c r="DF17" i="6"/>
  <c r="DG17" i="6"/>
  <c r="DH17" i="6"/>
  <c r="DI17" i="6"/>
  <c r="DJ17" i="6"/>
  <c r="DK17" i="6"/>
  <c r="DL17" i="6"/>
  <c r="DM17" i="6"/>
  <c r="DN17" i="6"/>
  <c r="DO17" i="6"/>
  <c r="DP17" i="6"/>
  <c r="DQ17" i="6"/>
  <c r="DR17" i="6"/>
  <c r="DS17" i="6"/>
  <c r="DT17" i="6"/>
  <c r="DU17" i="6"/>
  <c r="DV17" i="6"/>
  <c r="S18" i="6"/>
  <c r="T18" i="6"/>
  <c r="Y18" i="6"/>
  <c r="Z18" i="6"/>
  <c r="AA18" i="6"/>
  <c r="AB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BD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G18" i="6"/>
  <c r="CH18" i="6"/>
  <c r="CI18" i="6"/>
  <c r="CJ18" i="6"/>
  <c r="CK18" i="6"/>
  <c r="CL18" i="6"/>
  <c r="CM18" i="6"/>
  <c r="CN18" i="6"/>
  <c r="CO18" i="6"/>
  <c r="CP18" i="6"/>
  <c r="CQ18" i="6"/>
  <c r="CR18" i="6"/>
  <c r="CS18" i="6"/>
  <c r="CT18" i="6"/>
  <c r="CU18" i="6"/>
  <c r="CV18" i="6"/>
  <c r="CW18" i="6"/>
  <c r="CX18" i="6"/>
  <c r="CY18" i="6"/>
  <c r="CZ18" i="6"/>
  <c r="DA18" i="6"/>
  <c r="DB18" i="6"/>
  <c r="DC18" i="6"/>
  <c r="DD18" i="6"/>
  <c r="DE18" i="6"/>
  <c r="DF18" i="6"/>
  <c r="DG18" i="6"/>
  <c r="DH18" i="6"/>
  <c r="DI18" i="6"/>
  <c r="DJ18" i="6"/>
  <c r="DK18" i="6"/>
  <c r="DL18" i="6"/>
  <c r="DM18" i="6"/>
  <c r="DN18" i="6"/>
  <c r="DO18" i="6"/>
  <c r="DP18" i="6"/>
  <c r="DQ18" i="6"/>
  <c r="DR18" i="6"/>
  <c r="DS18" i="6"/>
  <c r="DT18" i="6"/>
  <c r="DU18" i="6"/>
  <c r="DV18" i="6"/>
  <c r="S19" i="6"/>
  <c r="T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E19" i="6"/>
  <c r="BF19" i="6"/>
  <c r="BK19" i="6"/>
  <c r="BL19" i="6"/>
  <c r="BM19" i="6"/>
  <c r="BN19" i="6"/>
  <c r="BO19" i="6"/>
  <c r="BP19" i="6"/>
  <c r="BQ19" i="6"/>
  <c r="BR19" i="6"/>
  <c r="BS19" i="6"/>
  <c r="BT19" i="6"/>
  <c r="BU19" i="6"/>
  <c r="BV19" i="6"/>
  <c r="BW19" i="6"/>
  <c r="BX19" i="6"/>
  <c r="BY19" i="6"/>
  <c r="BZ19" i="6"/>
  <c r="CA19" i="6"/>
  <c r="CB19" i="6"/>
  <c r="CC19" i="6"/>
  <c r="CD19" i="6"/>
  <c r="CE19" i="6"/>
  <c r="CF19" i="6"/>
  <c r="CG19" i="6"/>
  <c r="CH19" i="6"/>
  <c r="CI19" i="6"/>
  <c r="CJ19" i="6"/>
  <c r="CK19" i="6"/>
  <c r="CL19" i="6"/>
  <c r="CM19" i="6"/>
  <c r="CN19" i="6"/>
  <c r="CO19" i="6"/>
  <c r="CP19" i="6"/>
  <c r="CQ19" i="6"/>
  <c r="CR19" i="6"/>
  <c r="CS19" i="6"/>
  <c r="CT19" i="6"/>
  <c r="CU19" i="6"/>
  <c r="CV19" i="6"/>
  <c r="CW19" i="6"/>
  <c r="CX19" i="6"/>
  <c r="CY19" i="6"/>
  <c r="CZ19" i="6"/>
  <c r="DA19" i="6"/>
  <c r="DB19" i="6"/>
  <c r="DC19" i="6"/>
  <c r="DD19" i="6"/>
  <c r="DE19" i="6"/>
  <c r="DF19" i="6"/>
  <c r="DG19" i="6"/>
  <c r="DH19" i="6"/>
  <c r="DI19" i="6"/>
  <c r="DJ19" i="6"/>
  <c r="DK19" i="6"/>
  <c r="DL19" i="6"/>
  <c r="DM19" i="6"/>
  <c r="DN19" i="6"/>
  <c r="DO19" i="6"/>
  <c r="DP19" i="6"/>
  <c r="DQ19" i="6"/>
  <c r="DR19" i="6"/>
  <c r="DS19" i="6"/>
  <c r="DT19" i="6"/>
  <c r="DU19" i="6"/>
  <c r="DV19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BL20" i="6"/>
  <c r="BM20" i="6"/>
  <c r="BN20" i="6"/>
  <c r="BO20" i="6"/>
  <c r="BP20" i="6"/>
  <c r="BQ20" i="6"/>
  <c r="BR20" i="6"/>
  <c r="BS20" i="6"/>
  <c r="BT20" i="6"/>
  <c r="BU20" i="6"/>
  <c r="BV20" i="6"/>
  <c r="BW20" i="6"/>
  <c r="BX20" i="6"/>
  <c r="BY20" i="6"/>
  <c r="BZ20" i="6"/>
  <c r="CA20" i="6"/>
  <c r="CB20" i="6"/>
  <c r="CC20" i="6"/>
  <c r="CD20" i="6"/>
  <c r="CE20" i="6"/>
  <c r="CF20" i="6"/>
  <c r="CG20" i="6"/>
  <c r="CH20" i="6"/>
  <c r="CI20" i="6"/>
  <c r="CJ20" i="6"/>
  <c r="CK20" i="6"/>
  <c r="CL20" i="6"/>
  <c r="CM20" i="6"/>
  <c r="CN20" i="6"/>
  <c r="CO20" i="6"/>
  <c r="CP20" i="6"/>
  <c r="CQ20" i="6"/>
  <c r="CR20" i="6"/>
  <c r="CS20" i="6"/>
  <c r="CT20" i="6"/>
  <c r="CU20" i="6"/>
  <c r="CV20" i="6"/>
  <c r="CW20" i="6"/>
  <c r="CX20" i="6"/>
  <c r="CY20" i="6"/>
  <c r="CZ20" i="6"/>
  <c r="DA20" i="6"/>
  <c r="DB20" i="6"/>
  <c r="DC20" i="6"/>
  <c r="DD20" i="6"/>
  <c r="DE20" i="6"/>
  <c r="DF20" i="6"/>
  <c r="DG20" i="6"/>
  <c r="DH20" i="6"/>
  <c r="DI20" i="6"/>
  <c r="DJ20" i="6"/>
  <c r="DK20" i="6"/>
  <c r="DL20" i="6"/>
  <c r="DM20" i="6"/>
  <c r="DN20" i="6"/>
  <c r="DO20" i="6"/>
  <c r="DP20" i="6"/>
  <c r="DQ20" i="6"/>
  <c r="DR20" i="6"/>
  <c r="DS20" i="6"/>
  <c r="DT20" i="6"/>
  <c r="DU20" i="6"/>
  <c r="DV20" i="6"/>
  <c r="S21" i="6"/>
  <c r="T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J21" i="6"/>
  <c r="BK21" i="6"/>
  <c r="BL21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Q21" i="6"/>
  <c r="CR21" i="6"/>
  <c r="CS21" i="6"/>
  <c r="CT21" i="6"/>
  <c r="CU21" i="6"/>
  <c r="CV21" i="6"/>
  <c r="CW21" i="6"/>
  <c r="CX21" i="6"/>
  <c r="CY21" i="6"/>
  <c r="CZ21" i="6"/>
  <c r="DA21" i="6"/>
  <c r="DB21" i="6"/>
  <c r="DC21" i="6"/>
  <c r="DD21" i="6"/>
  <c r="DE21" i="6"/>
  <c r="DF21" i="6"/>
  <c r="DG21" i="6"/>
  <c r="DH21" i="6"/>
  <c r="DI21" i="6"/>
  <c r="DJ21" i="6"/>
  <c r="DK21" i="6"/>
  <c r="DL21" i="6"/>
  <c r="DM21" i="6"/>
  <c r="DN21" i="6"/>
  <c r="DO21" i="6"/>
  <c r="DP21" i="6"/>
  <c r="DQ21" i="6"/>
  <c r="DR21" i="6"/>
  <c r="DS21" i="6"/>
  <c r="DT21" i="6"/>
  <c r="DU21" i="6"/>
  <c r="DV21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CW22" i="6"/>
  <c r="CX22" i="6"/>
  <c r="CY22" i="6"/>
  <c r="CZ22" i="6"/>
  <c r="DA22" i="6"/>
  <c r="DB22" i="6"/>
  <c r="DC22" i="6"/>
  <c r="DD22" i="6"/>
  <c r="DE22" i="6"/>
  <c r="DF22" i="6"/>
  <c r="DG22" i="6"/>
  <c r="DH22" i="6"/>
  <c r="DI22" i="6"/>
  <c r="DJ22" i="6"/>
  <c r="DK22" i="6"/>
  <c r="DL22" i="6"/>
  <c r="DM22" i="6"/>
  <c r="DN22" i="6"/>
  <c r="DO22" i="6"/>
  <c r="DP22" i="6"/>
  <c r="DQ22" i="6"/>
  <c r="DR22" i="6"/>
  <c r="DS22" i="6"/>
  <c r="DT22" i="6"/>
  <c r="DU22" i="6"/>
  <c r="DV22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Q23" i="6"/>
  <c r="CR23" i="6"/>
  <c r="CS23" i="6"/>
  <c r="CT23" i="6"/>
  <c r="CU23" i="6"/>
  <c r="CV23" i="6"/>
  <c r="CW23" i="6"/>
  <c r="CX23" i="6"/>
  <c r="CY23" i="6"/>
  <c r="CZ23" i="6"/>
  <c r="DA23" i="6"/>
  <c r="DB23" i="6"/>
  <c r="DC23" i="6"/>
  <c r="DD23" i="6"/>
  <c r="DE23" i="6"/>
  <c r="DF23" i="6"/>
  <c r="DG23" i="6"/>
  <c r="DH23" i="6"/>
  <c r="DI23" i="6"/>
  <c r="DJ23" i="6"/>
  <c r="DK23" i="6"/>
  <c r="DL23" i="6"/>
  <c r="DM23" i="6"/>
  <c r="DN23" i="6"/>
  <c r="DO23" i="6"/>
  <c r="DP23" i="6"/>
  <c r="DQ23" i="6"/>
  <c r="DR23" i="6"/>
  <c r="DS23" i="6"/>
  <c r="DT23" i="6"/>
  <c r="DU23" i="6"/>
  <c r="DV23" i="6"/>
  <c r="S24" i="6"/>
  <c r="T24" i="6"/>
  <c r="U24" i="6"/>
  <c r="V24" i="6"/>
  <c r="W24" i="6"/>
  <c r="X24" i="6"/>
  <c r="Y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T24" i="6"/>
  <c r="BU24" i="6"/>
  <c r="BV24" i="6"/>
  <c r="BW24" i="6"/>
  <c r="BX24" i="6"/>
  <c r="BY24" i="6"/>
  <c r="BZ24" i="6"/>
  <c r="CA24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Q24" i="6"/>
  <c r="CR24" i="6"/>
  <c r="CS24" i="6"/>
  <c r="CT24" i="6"/>
  <c r="CU24" i="6"/>
  <c r="CV24" i="6"/>
  <c r="CW24" i="6"/>
  <c r="CX24" i="6"/>
  <c r="CY24" i="6"/>
  <c r="CZ24" i="6"/>
  <c r="DA24" i="6"/>
  <c r="DB24" i="6"/>
  <c r="DC24" i="6"/>
  <c r="DD24" i="6"/>
  <c r="DE24" i="6"/>
  <c r="DF24" i="6"/>
  <c r="DG24" i="6"/>
  <c r="DH24" i="6"/>
  <c r="DI24" i="6"/>
  <c r="DJ24" i="6"/>
  <c r="DK24" i="6"/>
  <c r="DL24" i="6"/>
  <c r="DM24" i="6"/>
  <c r="DN24" i="6"/>
  <c r="DO24" i="6"/>
  <c r="DP24" i="6"/>
  <c r="DQ24" i="6"/>
  <c r="DR24" i="6"/>
  <c r="DS24" i="6"/>
  <c r="DT24" i="6"/>
  <c r="DU24" i="6"/>
  <c r="DV24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Q25" i="6"/>
  <c r="CR25" i="6"/>
  <c r="CS25" i="6"/>
  <c r="CT25" i="6"/>
  <c r="CU25" i="6"/>
  <c r="CV25" i="6"/>
  <c r="CW25" i="6"/>
  <c r="CX25" i="6"/>
  <c r="CY25" i="6"/>
  <c r="CZ25" i="6"/>
  <c r="DA25" i="6"/>
  <c r="DB25" i="6"/>
  <c r="DC25" i="6"/>
  <c r="DD25" i="6"/>
  <c r="DE25" i="6"/>
  <c r="DF25" i="6"/>
  <c r="DG25" i="6"/>
  <c r="DH25" i="6"/>
  <c r="DI25" i="6"/>
  <c r="DJ25" i="6"/>
  <c r="DK25" i="6"/>
  <c r="DL25" i="6"/>
  <c r="DM25" i="6"/>
  <c r="DN25" i="6"/>
  <c r="DO25" i="6"/>
  <c r="DP25" i="6"/>
  <c r="DQ25" i="6"/>
  <c r="DR25" i="6"/>
  <c r="DS25" i="6"/>
  <c r="DT25" i="6"/>
  <c r="DU25" i="6"/>
  <c r="DV25" i="6"/>
  <c r="S26" i="6"/>
  <c r="T26" i="6"/>
  <c r="U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H26" i="6"/>
  <c r="BI26" i="6"/>
  <c r="BR26" i="6"/>
  <c r="BS26" i="6"/>
  <c r="BT26" i="6"/>
  <c r="BU26" i="6"/>
  <c r="BV26" i="6"/>
  <c r="BW26" i="6"/>
  <c r="BX26" i="6"/>
  <c r="BY26" i="6"/>
  <c r="BZ26" i="6"/>
  <c r="CA26" i="6"/>
  <c r="CB26" i="6"/>
  <c r="CC26" i="6"/>
  <c r="CG26" i="6"/>
  <c r="CH26" i="6"/>
  <c r="CI26" i="6"/>
  <c r="CJ26" i="6"/>
  <c r="CK26" i="6"/>
  <c r="CL26" i="6"/>
  <c r="CM26" i="6"/>
  <c r="CN26" i="6"/>
  <c r="CO26" i="6"/>
  <c r="CP26" i="6"/>
  <c r="CQ26" i="6"/>
  <c r="CR26" i="6"/>
  <c r="CS26" i="6"/>
  <c r="CT26" i="6"/>
  <c r="CU26" i="6"/>
  <c r="CV26" i="6"/>
  <c r="CW26" i="6"/>
  <c r="CX26" i="6"/>
  <c r="CY26" i="6"/>
  <c r="CZ26" i="6"/>
  <c r="DA26" i="6"/>
  <c r="DB26" i="6"/>
  <c r="DC26" i="6"/>
  <c r="DD26" i="6"/>
  <c r="DE26" i="6"/>
  <c r="DF26" i="6"/>
  <c r="DG26" i="6"/>
  <c r="DH26" i="6"/>
  <c r="DI26" i="6"/>
  <c r="DJ26" i="6"/>
  <c r="DK26" i="6"/>
  <c r="DL26" i="6"/>
  <c r="DM26" i="6"/>
  <c r="DN26" i="6"/>
  <c r="DO26" i="6"/>
  <c r="DP26" i="6"/>
  <c r="DQ26" i="6"/>
  <c r="DR26" i="6"/>
  <c r="DS26" i="6"/>
  <c r="DT26" i="6"/>
  <c r="DU26" i="6"/>
  <c r="DV26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Q27" i="6"/>
  <c r="CR27" i="6"/>
  <c r="CS27" i="6"/>
  <c r="CT27" i="6"/>
  <c r="CU27" i="6"/>
  <c r="CV27" i="6"/>
  <c r="CW27" i="6"/>
  <c r="CX27" i="6"/>
  <c r="CY27" i="6"/>
  <c r="CZ27" i="6"/>
  <c r="DA27" i="6"/>
  <c r="DB27" i="6"/>
  <c r="DC27" i="6"/>
  <c r="DD27" i="6"/>
  <c r="DE27" i="6"/>
  <c r="DF27" i="6"/>
  <c r="DG27" i="6"/>
  <c r="DH27" i="6"/>
  <c r="DI27" i="6"/>
  <c r="DJ27" i="6"/>
  <c r="DK27" i="6"/>
  <c r="DL27" i="6"/>
  <c r="DM27" i="6"/>
  <c r="DN27" i="6"/>
  <c r="DO27" i="6"/>
  <c r="DP27" i="6"/>
  <c r="DQ27" i="6"/>
  <c r="DR27" i="6"/>
  <c r="DS27" i="6"/>
  <c r="DT27" i="6"/>
  <c r="DU27" i="6"/>
  <c r="DV27" i="6"/>
  <c r="S28" i="6"/>
  <c r="T28" i="6"/>
  <c r="U28" i="6"/>
  <c r="V28" i="6"/>
  <c r="W28" i="6"/>
  <c r="AB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BG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CB28" i="6"/>
  <c r="CC28" i="6"/>
  <c r="CD28" i="6"/>
  <c r="CE28" i="6"/>
  <c r="CG28" i="6"/>
  <c r="CH28" i="6"/>
  <c r="CI28" i="6"/>
  <c r="CJ28" i="6"/>
  <c r="CK28" i="6"/>
  <c r="CL28" i="6"/>
  <c r="CM28" i="6"/>
  <c r="CN28" i="6"/>
  <c r="CO28" i="6"/>
  <c r="CP28" i="6"/>
  <c r="CQ28" i="6"/>
  <c r="CR28" i="6"/>
  <c r="CS28" i="6"/>
  <c r="CT28" i="6"/>
  <c r="CU28" i="6"/>
  <c r="CV28" i="6"/>
  <c r="CW28" i="6"/>
  <c r="CX28" i="6"/>
  <c r="CY28" i="6"/>
  <c r="CZ28" i="6"/>
  <c r="DA28" i="6"/>
  <c r="DB28" i="6"/>
  <c r="DC28" i="6"/>
  <c r="DD28" i="6"/>
  <c r="DE28" i="6"/>
  <c r="DF28" i="6"/>
  <c r="DG28" i="6"/>
  <c r="DH28" i="6"/>
  <c r="DI28" i="6"/>
  <c r="DJ28" i="6"/>
  <c r="DK28" i="6"/>
  <c r="DL28" i="6"/>
  <c r="DM28" i="6"/>
  <c r="DN28" i="6"/>
  <c r="DO28" i="6"/>
  <c r="DP28" i="6"/>
  <c r="DQ28" i="6"/>
  <c r="DR28" i="6"/>
  <c r="DS28" i="6"/>
  <c r="DT28" i="6"/>
  <c r="DU28" i="6"/>
  <c r="DV28" i="6"/>
  <c r="S29" i="6"/>
  <c r="T29" i="6"/>
  <c r="U29" i="6"/>
  <c r="V29" i="6"/>
  <c r="AA29" i="6"/>
  <c r="AB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BF29" i="6"/>
  <c r="BG29" i="6"/>
  <c r="BH29" i="6"/>
  <c r="BI29" i="6"/>
  <c r="BJ29" i="6"/>
  <c r="BK29" i="6"/>
  <c r="BL29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CB29" i="6"/>
  <c r="CC29" i="6"/>
  <c r="CD29" i="6"/>
  <c r="CG29" i="6"/>
  <c r="CH29" i="6"/>
  <c r="CI29" i="6"/>
  <c r="CJ29" i="6"/>
  <c r="CK29" i="6"/>
  <c r="CL29" i="6"/>
  <c r="CM29" i="6"/>
  <c r="CN29" i="6"/>
  <c r="CO29" i="6"/>
  <c r="CP29" i="6"/>
  <c r="CQ29" i="6"/>
  <c r="CR29" i="6"/>
  <c r="CS29" i="6"/>
  <c r="CT29" i="6"/>
  <c r="CU29" i="6"/>
  <c r="CV29" i="6"/>
  <c r="CW29" i="6"/>
  <c r="CX29" i="6"/>
  <c r="CY29" i="6"/>
  <c r="CZ29" i="6"/>
  <c r="DA29" i="6"/>
  <c r="DB29" i="6"/>
  <c r="DC29" i="6"/>
  <c r="DD29" i="6"/>
  <c r="DE29" i="6"/>
  <c r="DF29" i="6"/>
  <c r="DG29" i="6"/>
  <c r="DH29" i="6"/>
  <c r="DI29" i="6"/>
  <c r="DJ29" i="6"/>
  <c r="DK29" i="6"/>
  <c r="DL29" i="6"/>
  <c r="DM29" i="6"/>
  <c r="DN29" i="6"/>
  <c r="DO29" i="6"/>
  <c r="DP29" i="6"/>
  <c r="DQ29" i="6"/>
  <c r="DR29" i="6"/>
  <c r="DS29" i="6"/>
  <c r="DT29" i="6"/>
  <c r="DU29" i="6"/>
  <c r="DV29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BL30" i="6"/>
  <c r="BM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M31" i="6"/>
  <c r="AN31" i="6"/>
  <c r="AO31" i="6"/>
  <c r="AP31" i="6"/>
  <c r="AQ31" i="6"/>
  <c r="AR31" i="6"/>
  <c r="AS31" i="6"/>
  <c r="AT31" i="6"/>
  <c r="AU31" i="6"/>
  <c r="AV31" i="6"/>
  <c r="AW31" i="6"/>
  <c r="BF31" i="6"/>
  <c r="BG31" i="6"/>
  <c r="BH31" i="6"/>
  <c r="BI31" i="6"/>
  <c r="BJ31" i="6"/>
  <c r="BK31" i="6"/>
  <c r="BL31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Q31" i="6"/>
  <c r="CR31" i="6"/>
  <c r="CS31" i="6"/>
  <c r="CT31" i="6"/>
  <c r="CU31" i="6"/>
  <c r="CV31" i="6"/>
  <c r="CW31" i="6"/>
  <c r="CX31" i="6"/>
  <c r="CY31" i="6"/>
  <c r="CZ31" i="6"/>
  <c r="DA31" i="6"/>
  <c r="DB31" i="6"/>
  <c r="DC31" i="6"/>
  <c r="DD31" i="6"/>
  <c r="DE31" i="6"/>
  <c r="DF31" i="6"/>
  <c r="DG31" i="6"/>
  <c r="DH31" i="6"/>
  <c r="DI31" i="6"/>
  <c r="DJ31" i="6"/>
  <c r="DK31" i="6"/>
  <c r="DL31" i="6"/>
  <c r="DM31" i="6"/>
  <c r="DN31" i="6"/>
  <c r="DO31" i="6"/>
  <c r="DP31" i="6"/>
  <c r="DQ31" i="6"/>
  <c r="DR31" i="6"/>
  <c r="DS31" i="6"/>
  <c r="DT31" i="6"/>
  <c r="DU31" i="6"/>
  <c r="DV31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CW32" i="6"/>
  <c r="CX32" i="6"/>
  <c r="CY32" i="6"/>
  <c r="CZ32" i="6"/>
  <c r="DA32" i="6"/>
  <c r="DB32" i="6"/>
  <c r="DC32" i="6"/>
  <c r="DD32" i="6"/>
  <c r="DE32" i="6"/>
  <c r="DF32" i="6"/>
  <c r="DG32" i="6"/>
  <c r="DH32" i="6"/>
  <c r="DI32" i="6"/>
  <c r="DJ32" i="6"/>
  <c r="DK32" i="6"/>
  <c r="DL32" i="6"/>
  <c r="DM32" i="6"/>
  <c r="DN32" i="6"/>
  <c r="DO32" i="6"/>
  <c r="DP32" i="6"/>
  <c r="DQ32" i="6"/>
  <c r="DR32" i="6"/>
  <c r="DS32" i="6"/>
  <c r="DT32" i="6"/>
  <c r="DU32" i="6"/>
  <c r="DV32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Q33" i="6"/>
  <c r="CR33" i="6"/>
  <c r="CS33" i="6"/>
  <c r="CT33" i="6"/>
  <c r="CU33" i="6"/>
  <c r="CV33" i="6"/>
  <c r="CW33" i="6"/>
  <c r="CX33" i="6"/>
  <c r="CY33" i="6"/>
  <c r="CZ33" i="6"/>
  <c r="DA33" i="6"/>
  <c r="DB33" i="6"/>
  <c r="DC33" i="6"/>
  <c r="DD33" i="6"/>
  <c r="DE33" i="6"/>
  <c r="DF33" i="6"/>
  <c r="DG33" i="6"/>
  <c r="DH33" i="6"/>
  <c r="DI33" i="6"/>
  <c r="DJ33" i="6"/>
  <c r="DK33" i="6"/>
  <c r="DL33" i="6"/>
  <c r="DM33" i="6"/>
  <c r="DN33" i="6"/>
  <c r="DO33" i="6"/>
  <c r="DP33" i="6"/>
  <c r="DQ33" i="6"/>
  <c r="DR33" i="6"/>
  <c r="DS33" i="6"/>
  <c r="DT33" i="6"/>
  <c r="DU33" i="6"/>
  <c r="DV33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Q34" i="6"/>
  <c r="CR34" i="6"/>
  <c r="CS34" i="6"/>
  <c r="CT34" i="6"/>
  <c r="CU34" i="6"/>
  <c r="CV34" i="6"/>
  <c r="CW34" i="6"/>
  <c r="CX34" i="6"/>
  <c r="CY34" i="6"/>
  <c r="CZ34" i="6"/>
  <c r="DA34" i="6"/>
  <c r="DB34" i="6"/>
  <c r="DC34" i="6"/>
  <c r="DD34" i="6"/>
  <c r="DE34" i="6"/>
  <c r="DF34" i="6"/>
  <c r="DG34" i="6"/>
  <c r="DH34" i="6"/>
  <c r="DI34" i="6"/>
  <c r="DJ34" i="6"/>
  <c r="DK34" i="6"/>
  <c r="DL34" i="6"/>
  <c r="DM34" i="6"/>
  <c r="DN34" i="6"/>
  <c r="DO34" i="6"/>
  <c r="DP34" i="6"/>
  <c r="DQ34" i="6"/>
  <c r="DR34" i="6"/>
  <c r="DS34" i="6"/>
  <c r="DT34" i="6"/>
  <c r="DU34" i="6"/>
  <c r="DV34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E35" i="6"/>
  <c r="BF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Q35" i="6"/>
  <c r="CR35" i="6"/>
  <c r="CS35" i="6"/>
  <c r="CT35" i="6"/>
  <c r="CU35" i="6"/>
  <c r="CV35" i="6"/>
  <c r="CW35" i="6"/>
  <c r="CX35" i="6"/>
  <c r="CY35" i="6"/>
  <c r="CZ35" i="6"/>
  <c r="DA35" i="6"/>
  <c r="DB35" i="6"/>
  <c r="DC35" i="6"/>
  <c r="DD35" i="6"/>
  <c r="DE35" i="6"/>
  <c r="DF35" i="6"/>
  <c r="DG35" i="6"/>
  <c r="DH35" i="6"/>
  <c r="DI35" i="6"/>
  <c r="DJ35" i="6"/>
  <c r="DK35" i="6"/>
  <c r="DL35" i="6"/>
  <c r="DM35" i="6"/>
  <c r="DN35" i="6"/>
  <c r="DO35" i="6"/>
  <c r="DP35" i="6"/>
  <c r="DQ35" i="6"/>
  <c r="DR35" i="6"/>
  <c r="DS35" i="6"/>
  <c r="DT35" i="6"/>
  <c r="DU35" i="6"/>
  <c r="DV35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H36" i="6"/>
  <c r="BI36" i="6"/>
  <c r="BJ36" i="6"/>
  <c r="BK36" i="6"/>
  <c r="BL36" i="6"/>
  <c r="BM36" i="6"/>
  <c r="BN36" i="6"/>
  <c r="BO36" i="6"/>
  <c r="BP36" i="6"/>
  <c r="BQ36" i="6"/>
  <c r="BR36" i="6"/>
  <c r="BS36" i="6"/>
  <c r="BT36" i="6"/>
  <c r="BU36" i="6"/>
  <c r="BV36" i="6"/>
  <c r="BW36" i="6"/>
  <c r="BX36" i="6"/>
  <c r="BY36" i="6"/>
  <c r="BZ36" i="6"/>
  <c r="CA36" i="6"/>
  <c r="CB36" i="6"/>
  <c r="CC36" i="6"/>
  <c r="CD36" i="6"/>
  <c r="CE36" i="6"/>
  <c r="CF36" i="6"/>
  <c r="CG36" i="6"/>
  <c r="CH36" i="6"/>
  <c r="CI36" i="6"/>
  <c r="CJ36" i="6"/>
  <c r="CK36" i="6"/>
  <c r="CL36" i="6"/>
  <c r="CM36" i="6"/>
  <c r="CN36" i="6"/>
  <c r="CO36" i="6"/>
  <c r="CP36" i="6"/>
  <c r="CQ36" i="6"/>
  <c r="CR36" i="6"/>
  <c r="CS36" i="6"/>
  <c r="CT36" i="6"/>
  <c r="CU36" i="6"/>
  <c r="CV36" i="6"/>
  <c r="CW36" i="6"/>
  <c r="CX36" i="6"/>
  <c r="CY36" i="6"/>
  <c r="CZ36" i="6"/>
  <c r="DA36" i="6"/>
  <c r="DB36" i="6"/>
  <c r="DC36" i="6"/>
  <c r="DD36" i="6"/>
  <c r="DE36" i="6"/>
  <c r="DF36" i="6"/>
  <c r="DG36" i="6"/>
  <c r="DH36" i="6"/>
  <c r="DI36" i="6"/>
  <c r="DJ36" i="6"/>
  <c r="DK36" i="6"/>
  <c r="DL36" i="6"/>
  <c r="DM36" i="6"/>
  <c r="DN36" i="6"/>
  <c r="DO36" i="6"/>
  <c r="DP36" i="6"/>
  <c r="DQ36" i="6"/>
  <c r="DR36" i="6"/>
  <c r="DS36" i="6"/>
  <c r="DT36" i="6"/>
  <c r="DU36" i="6"/>
  <c r="DV36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Q37" i="6"/>
  <c r="CR37" i="6"/>
  <c r="CS37" i="6"/>
  <c r="CT37" i="6"/>
  <c r="CU37" i="6"/>
  <c r="CV37" i="6"/>
  <c r="CW37" i="6"/>
  <c r="CX37" i="6"/>
  <c r="CY37" i="6"/>
  <c r="CZ37" i="6"/>
  <c r="DA37" i="6"/>
  <c r="DB37" i="6"/>
  <c r="DC37" i="6"/>
  <c r="DD37" i="6"/>
  <c r="DE37" i="6"/>
  <c r="DF37" i="6"/>
  <c r="DG37" i="6"/>
  <c r="DH37" i="6"/>
  <c r="DI37" i="6"/>
  <c r="DJ37" i="6"/>
  <c r="DK37" i="6"/>
  <c r="DL37" i="6"/>
  <c r="DM37" i="6"/>
  <c r="DN37" i="6"/>
  <c r="DO37" i="6"/>
  <c r="DP37" i="6"/>
  <c r="DQ37" i="6"/>
  <c r="DR37" i="6"/>
  <c r="DS37" i="6"/>
  <c r="DT37" i="6"/>
  <c r="DU37" i="6"/>
  <c r="DV37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CE38" i="6"/>
  <c r="CF38" i="6"/>
  <c r="CG38" i="6"/>
  <c r="CH38" i="6"/>
  <c r="CI38" i="6"/>
  <c r="CJ38" i="6"/>
  <c r="CK38" i="6"/>
  <c r="CL38" i="6"/>
  <c r="CM38" i="6"/>
  <c r="CN38" i="6"/>
  <c r="CO38" i="6"/>
  <c r="CP38" i="6"/>
  <c r="CQ38" i="6"/>
  <c r="CR38" i="6"/>
  <c r="CS38" i="6"/>
  <c r="CT38" i="6"/>
  <c r="CU38" i="6"/>
  <c r="CV38" i="6"/>
  <c r="CW38" i="6"/>
  <c r="CX38" i="6"/>
  <c r="CY38" i="6"/>
  <c r="CZ38" i="6"/>
  <c r="DA38" i="6"/>
  <c r="DB38" i="6"/>
  <c r="DC38" i="6"/>
  <c r="DD38" i="6"/>
  <c r="DE38" i="6"/>
  <c r="DF38" i="6"/>
  <c r="DG38" i="6"/>
  <c r="DH38" i="6"/>
  <c r="DI38" i="6"/>
  <c r="DJ38" i="6"/>
  <c r="DK38" i="6"/>
  <c r="DL38" i="6"/>
  <c r="DM38" i="6"/>
  <c r="DN38" i="6"/>
  <c r="DO38" i="6"/>
  <c r="DP38" i="6"/>
  <c r="DQ38" i="6"/>
  <c r="DR38" i="6"/>
  <c r="DS38" i="6"/>
  <c r="DT38" i="6"/>
  <c r="DU38" i="6"/>
  <c r="DV38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Q39" i="6"/>
  <c r="CR39" i="6"/>
  <c r="CS39" i="6"/>
  <c r="CT39" i="6"/>
  <c r="CU39" i="6"/>
  <c r="CV39" i="6"/>
  <c r="CW39" i="6"/>
  <c r="CX39" i="6"/>
  <c r="CY39" i="6"/>
  <c r="CZ39" i="6"/>
  <c r="DA39" i="6"/>
  <c r="DB39" i="6"/>
  <c r="DC39" i="6"/>
  <c r="DD39" i="6"/>
  <c r="DE39" i="6"/>
  <c r="DF39" i="6"/>
  <c r="DG39" i="6"/>
  <c r="DH39" i="6"/>
  <c r="DI39" i="6"/>
  <c r="DJ39" i="6"/>
  <c r="DK39" i="6"/>
  <c r="DL39" i="6"/>
  <c r="DM39" i="6"/>
  <c r="DN39" i="6"/>
  <c r="DO39" i="6"/>
  <c r="DP39" i="6"/>
  <c r="DQ39" i="6"/>
  <c r="DR39" i="6"/>
  <c r="DS39" i="6"/>
  <c r="DT39" i="6"/>
  <c r="DU39" i="6"/>
  <c r="DV39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CK40" i="6"/>
  <c r="CL40" i="6"/>
  <c r="CM40" i="6"/>
  <c r="CN40" i="6"/>
  <c r="CO40" i="6"/>
  <c r="CP40" i="6"/>
  <c r="CQ40" i="6"/>
  <c r="CR40" i="6"/>
  <c r="CS40" i="6"/>
  <c r="CT40" i="6"/>
  <c r="CU40" i="6"/>
  <c r="CV40" i="6"/>
  <c r="CW40" i="6"/>
  <c r="CX40" i="6"/>
  <c r="CY40" i="6"/>
  <c r="CZ40" i="6"/>
  <c r="DA40" i="6"/>
  <c r="DB40" i="6"/>
  <c r="DC40" i="6"/>
  <c r="DD40" i="6"/>
  <c r="DE40" i="6"/>
  <c r="DF40" i="6"/>
  <c r="DG40" i="6"/>
  <c r="DH40" i="6"/>
  <c r="DI40" i="6"/>
  <c r="DJ40" i="6"/>
  <c r="DK40" i="6"/>
  <c r="DL40" i="6"/>
  <c r="DM40" i="6"/>
  <c r="DN40" i="6"/>
  <c r="DO40" i="6"/>
  <c r="DP40" i="6"/>
  <c r="DQ40" i="6"/>
  <c r="DR40" i="6"/>
  <c r="DS40" i="6"/>
  <c r="DT40" i="6"/>
  <c r="DU40" i="6"/>
  <c r="DV40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Q41" i="6"/>
  <c r="CR41" i="6"/>
  <c r="CS41" i="6"/>
  <c r="CT41" i="6"/>
  <c r="CU41" i="6"/>
  <c r="CV41" i="6"/>
  <c r="CW41" i="6"/>
  <c r="CX41" i="6"/>
  <c r="CY41" i="6"/>
  <c r="CZ41" i="6"/>
  <c r="DA41" i="6"/>
  <c r="DB41" i="6"/>
  <c r="DC41" i="6"/>
  <c r="DD41" i="6"/>
  <c r="DE41" i="6"/>
  <c r="DF41" i="6"/>
  <c r="DG41" i="6"/>
  <c r="DH41" i="6"/>
  <c r="DI41" i="6"/>
  <c r="DJ41" i="6"/>
  <c r="DK41" i="6"/>
  <c r="DL41" i="6"/>
  <c r="DM41" i="6"/>
  <c r="DN41" i="6"/>
  <c r="DO41" i="6"/>
  <c r="DP41" i="6"/>
  <c r="DQ41" i="6"/>
  <c r="DR41" i="6"/>
  <c r="DS41" i="6"/>
  <c r="DT41" i="6"/>
  <c r="DU41" i="6"/>
  <c r="DV41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Q42" i="6"/>
  <c r="CR42" i="6"/>
  <c r="CS42" i="6"/>
  <c r="CT42" i="6"/>
  <c r="CU42" i="6"/>
  <c r="CV42" i="6"/>
  <c r="CW42" i="6"/>
  <c r="CX42" i="6"/>
  <c r="CY42" i="6"/>
  <c r="CZ42" i="6"/>
  <c r="DA42" i="6"/>
  <c r="DB42" i="6"/>
  <c r="DC42" i="6"/>
  <c r="DD42" i="6"/>
  <c r="DE42" i="6"/>
  <c r="DF42" i="6"/>
  <c r="DG42" i="6"/>
  <c r="DH42" i="6"/>
  <c r="DI42" i="6"/>
  <c r="DJ42" i="6"/>
  <c r="DK42" i="6"/>
  <c r="DL42" i="6"/>
  <c r="DM42" i="6"/>
  <c r="DN42" i="6"/>
  <c r="DO42" i="6"/>
  <c r="DP42" i="6"/>
  <c r="DQ42" i="6"/>
  <c r="DR42" i="6"/>
  <c r="DS42" i="6"/>
  <c r="DT42" i="6"/>
  <c r="DU42" i="6"/>
  <c r="DV42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Q43" i="6"/>
  <c r="CR43" i="6"/>
  <c r="CS43" i="6"/>
  <c r="CT43" i="6"/>
  <c r="CU43" i="6"/>
  <c r="CV43" i="6"/>
  <c r="CW43" i="6"/>
  <c r="CX43" i="6"/>
  <c r="CY43" i="6"/>
  <c r="CZ43" i="6"/>
  <c r="DA43" i="6"/>
  <c r="DB43" i="6"/>
  <c r="DC43" i="6"/>
  <c r="DD43" i="6"/>
  <c r="DE43" i="6"/>
  <c r="DF43" i="6"/>
  <c r="DG43" i="6"/>
  <c r="DH43" i="6"/>
  <c r="DI43" i="6"/>
  <c r="DJ43" i="6"/>
  <c r="DK43" i="6"/>
  <c r="DL43" i="6"/>
  <c r="DM43" i="6"/>
  <c r="DN43" i="6"/>
  <c r="DO43" i="6"/>
  <c r="DP43" i="6"/>
  <c r="DQ43" i="6"/>
  <c r="DR43" i="6"/>
  <c r="DS43" i="6"/>
  <c r="DT43" i="6"/>
  <c r="DU43" i="6"/>
  <c r="DV43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BL44" i="6"/>
  <c r="BM44" i="6"/>
  <c r="BN44" i="6"/>
  <c r="BO44" i="6"/>
  <c r="BP44" i="6"/>
  <c r="BQ44" i="6"/>
  <c r="BR44" i="6"/>
  <c r="BS44" i="6"/>
  <c r="BT44" i="6"/>
  <c r="BU44" i="6"/>
  <c r="BV44" i="6"/>
  <c r="BW44" i="6"/>
  <c r="BX44" i="6"/>
  <c r="BY44" i="6"/>
  <c r="BZ44" i="6"/>
  <c r="CA44" i="6"/>
  <c r="CB44" i="6"/>
  <c r="CC44" i="6"/>
  <c r="CD44" i="6"/>
  <c r="CE44" i="6"/>
  <c r="CF44" i="6"/>
  <c r="CG44" i="6"/>
  <c r="CH44" i="6"/>
  <c r="CI44" i="6"/>
  <c r="CJ44" i="6"/>
  <c r="CK44" i="6"/>
  <c r="CL44" i="6"/>
  <c r="CM44" i="6"/>
  <c r="CN44" i="6"/>
  <c r="CO44" i="6"/>
  <c r="CP44" i="6"/>
  <c r="CQ44" i="6"/>
  <c r="CR44" i="6"/>
  <c r="CS44" i="6"/>
  <c r="CT44" i="6"/>
  <c r="CU44" i="6"/>
  <c r="CV44" i="6"/>
  <c r="CW44" i="6"/>
  <c r="CX44" i="6"/>
  <c r="CY44" i="6"/>
  <c r="CZ44" i="6"/>
  <c r="DA44" i="6"/>
  <c r="DB44" i="6"/>
  <c r="DC44" i="6"/>
  <c r="DD44" i="6"/>
  <c r="DE44" i="6"/>
  <c r="DF44" i="6"/>
  <c r="DG44" i="6"/>
  <c r="DH44" i="6"/>
  <c r="DI44" i="6"/>
  <c r="DJ44" i="6"/>
  <c r="DK44" i="6"/>
  <c r="DL44" i="6"/>
  <c r="DM44" i="6"/>
  <c r="DN44" i="6"/>
  <c r="DO44" i="6"/>
  <c r="DP44" i="6"/>
  <c r="DQ44" i="6"/>
  <c r="DR44" i="6"/>
  <c r="DS44" i="6"/>
  <c r="DT44" i="6"/>
  <c r="DU44" i="6"/>
  <c r="DV44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5" i="6"/>
  <c r="CL45" i="6"/>
  <c r="CM45" i="6"/>
  <c r="CN45" i="6"/>
  <c r="CO45" i="6"/>
  <c r="CP45" i="6"/>
  <c r="CQ45" i="6"/>
  <c r="CR45" i="6"/>
  <c r="CS45" i="6"/>
  <c r="CT45" i="6"/>
  <c r="CU45" i="6"/>
  <c r="CV45" i="6"/>
  <c r="CW45" i="6"/>
  <c r="CX45" i="6"/>
  <c r="CY45" i="6"/>
  <c r="CZ45" i="6"/>
  <c r="DA45" i="6"/>
  <c r="DB45" i="6"/>
  <c r="DC45" i="6"/>
  <c r="DD45" i="6"/>
  <c r="DE45" i="6"/>
  <c r="DF45" i="6"/>
  <c r="DG45" i="6"/>
  <c r="DH45" i="6"/>
  <c r="DI45" i="6"/>
  <c r="DJ45" i="6"/>
  <c r="DK45" i="6"/>
  <c r="DL45" i="6"/>
  <c r="DM45" i="6"/>
  <c r="DN45" i="6"/>
  <c r="DO45" i="6"/>
  <c r="DP45" i="6"/>
  <c r="DQ45" i="6"/>
  <c r="DR45" i="6"/>
  <c r="DS45" i="6"/>
  <c r="DT45" i="6"/>
  <c r="DU45" i="6"/>
  <c r="DV45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CK46" i="6"/>
  <c r="CL46" i="6"/>
  <c r="CM46" i="6"/>
  <c r="CN46" i="6"/>
  <c r="CO46" i="6"/>
  <c r="CP46" i="6"/>
  <c r="CQ46" i="6"/>
  <c r="CR46" i="6"/>
  <c r="CS46" i="6"/>
  <c r="CT46" i="6"/>
  <c r="CU46" i="6"/>
  <c r="CV46" i="6"/>
  <c r="CW46" i="6"/>
  <c r="CX46" i="6"/>
  <c r="CY46" i="6"/>
  <c r="CZ46" i="6"/>
  <c r="DA46" i="6"/>
  <c r="DB46" i="6"/>
  <c r="DC46" i="6"/>
  <c r="DD46" i="6"/>
  <c r="DE46" i="6"/>
  <c r="DF46" i="6"/>
  <c r="DG46" i="6"/>
  <c r="DH46" i="6"/>
  <c r="DI46" i="6"/>
  <c r="DJ46" i="6"/>
  <c r="DK46" i="6"/>
  <c r="DL46" i="6"/>
  <c r="DM46" i="6"/>
  <c r="DN46" i="6"/>
  <c r="DO46" i="6"/>
  <c r="DP46" i="6"/>
  <c r="DQ46" i="6"/>
  <c r="DR46" i="6"/>
  <c r="DS46" i="6"/>
  <c r="DT46" i="6"/>
  <c r="DU46" i="6"/>
  <c r="DV46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BK47" i="6"/>
  <c r="BL47" i="6"/>
  <c r="BM47" i="6"/>
  <c r="BN47" i="6"/>
  <c r="BO47" i="6"/>
  <c r="BP47" i="6"/>
  <c r="BQ47" i="6"/>
  <c r="BR47" i="6"/>
  <c r="BS47" i="6"/>
  <c r="BT47" i="6"/>
  <c r="BU47" i="6"/>
  <c r="BV47" i="6"/>
  <c r="BW47" i="6"/>
  <c r="BX47" i="6"/>
  <c r="BY47" i="6"/>
  <c r="BZ47" i="6"/>
  <c r="CA47" i="6"/>
  <c r="CB47" i="6"/>
  <c r="CC47" i="6"/>
  <c r="CD47" i="6"/>
  <c r="CE47" i="6"/>
  <c r="CF47" i="6"/>
  <c r="CG47" i="6"/>
  <c r="CH47" i="6"/>
  <c r="CI47" i="6"/>
  <c r="CJ47" i="6"/>
  <c r="CK47" i="6"/>
  <c r="CL47" i="6"/>
  <c r="CM47" i="6"/>
  <c r="CN47" i="6"/>
  <c r="CO47" i="6"/>
  <c r="CP47" i="6"/>
  <c r="CQ47" i="6"/>
  <c r="CR47" i="6"/>
  <c r="CS47" i="6"/>
  <c r="CT47" i="6"/>
  <c r="CU47" i="6"/>
  <c r="CV47" i="6"/>
  <c r="CW47" i="6"/>
  <c r="CX47" i="6"/>
  <c r="CY47" i="6"/>
  <c r="CZ47" i="6"/>
  <c r="DA47" i="6"/>
  <c r="DB47" i="6"/>
  <c r="DC47" i="6"/>
  <c r="DD47" i="6"/>
  <c r="DE47" i="6"/>
  <c r="DF47" i="6"/>
  <c r="DG47" i="6"/>
  <c r="DH47" i="6"/>
  <c r="DI47" i="6"/>
  <c r="DJ47" i="6"/>
  <c r="DK47" i="6"/>
  <c r="DL47" i="6"/>
  <c r="DM47" i="6"/>
  <c r="DN47" i="6"/>
  <c r="DO47" i="6"/>
  <c r="DP47" i="6"/>
  <c r="DQ47" i="6"/>
  <c r="DR47" i="6"/>
  <c r="DS47" i="6"/>
  <c r="DT47" i="6"/>
  <c r="DU47" i="6"/>
  <c r="DV47" i="6"/>
  <c r="S48" i="6"/>
  <c r="T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BG48" i="6"/>
  <c r="BH48" i="6"/>
  <c r="BI48" i="6"/>
  <c r="BJ48" i="6"/>
  <c r="BK48" i="6"/>
  <c r="BL48" i="6"/>
  <c r="BM48" i="6"/>
  <c r="BN48" i="6"/>
  <c r="BO48" i="6"/>
  <c r="BP48" i="6"/>
  <c r="BQ48" i="6"/>
  <c r="BR48" i="6"/>
  <c r="BS48" i="6"/>
  <c r="BT48" i="6"/>
  <c r="BU48" i="6"/>
  <c r="BV48" i="6"/>
  <c r="BW48" i="6"/>
  <c r="BX48" i="6"/>
  <c r="BY48" i="6"/>
  <c r="BZ48" i="6"/>
  <c r="CA48" i="6"/>
  <c r="CB48" i="6"/>
  <c r="CC48" i="6"/>
  <c r="CD48" i="6"/>
  <c r="CE48" i="6"/>
  <c r="CF48" i="6"/>
  <c r="CG48" i="6"/>
  <c r="CH48" i="6"/>
  <c r="CI48" i="6"/>
  <c r="CJ48" i="6"/>
  <c r="CK48" i="6"/>
  <c r="CL48" i="6"/>
  <c r="CM48" i="6"/>
  <c r="CN48" i="6"/>
  <c r="CO48" i="6"/>
  <c r="CP48" i="6"/>
  <c r="CQ48" i="6"/>
  <c r="CR48" i="6"/>
  <c r="CS48" i="6"/>
  <c r="CT48" i="6"/>
  <c r="CU48" i="6"/>
  <c r="CV48" i="6"/>
  <c r="CW48" i="6"/>
  <c r="CX48" i="6"/>
  <c r="CY48" i="6"/>
  <c r="CZ48" i="6"/>
  <c r="DA48" i="6"/>
  <c r="DB48" i="6"/>
  <c r="DC48" i="6"/>
  <c r="DD48" i="6"/>
  <c r="DE48" i="6"/>
  <c r="DF48" i="6"/>
  <c r="DG48" i="6"/>
  <c r="DH48" i="6"/>
  <c r="DI48" i="6"/>
  <c r="DJ48" i="6"/>
  <c r="DK48" i="6"/>
  <c r="DL48" i="6"/>
  <c r="DM48" i="6"/>
  <c r="DN48" i="6"/>
  <c r="DO48" i="6"/>
  <c r="DP48" i="6"/>
  <c r="DQ48" i="6"/>
  <c r="DR48" i="6"/>
  <c r="DS48" i="6"/>
  <c r="DT48" i="6"/>
  <c r="DU48" i="6"/>
  <c r="DV48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CK49" i="6"/>
  <c r="CL49" i="6"/>
  <c r="CM49" i="6"/>
  <c r="CN49" i="6"/>
  <c r="CO49" i="6"/>
  <c r="CP49" i="6"/>
  <c r="CQ49" i="6"/>
  <c r="CR49" i="6"/>
  <c r="CS49" i="6"/>
  <c r="CT49" i="6"/>
  <c r="CU49" i="6"/>
  <c r="CV49" i="6"/>
  <c r="CW49" i="6"/>
  <c r="CX49" i="6"/>
  <c r="CY49" i="6"/>
  <c r="CZ49" i="6"/>
  <c r="DA49" i="6"/>
  <c r="DB49" i="6"/>
  <c r="DC49" i="6"/>
  <c r="DD49" i="6"/>
  <c r="DE49" i="6"/>
  <c r="DF49" i="6"/>
  <c r="DG49" i="6"/>
  <c r="DH49" i="6"/>
  <c r="DI49" i="6"/>
  <c r="DJ49" i="6"/>
  <c r="DK49" i="6"/>
  <c r="DL49" i="6"/>
  <c r="DM49" i="6"/>
  <c r="DN49" i="6"/>
  <c r="DO49" i="6"/>
  <c r="DP49" i="6"/>
  <c r="DQ49" i="6"/>
  <c r="DR49" i="6"/>
  <c r="DS49" i="6"/>
  <c r="DT49" i="6"/>
  <c r="DU49" i="6"/>
  <c r="DV49" i="6"/>
  <c r="S50" i="6"/>
  <c r="T50" i="6"/>
  <c r="U50" i="6"/>
  <c r="V50" i="6"/>
  <c r="W50" i="6"/>
  <c r="X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T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Q50" i="6"/>
  <c r="CR50" i="6"/>
  <c r="CS50" i="6"/>
  <c r="CT50" i="6"/>
  <c r="CU50" i="6"/>
  <c r="CV50" i="6"/>
  <c r="CW50" i="6"/>
  <c r="CX50" i="6"/>
  <c r="CY50" i="6"/>
  <c r="CZ50" i="6"/>
  <c r="DA50" i="6"/>
  <c r="DB50" i="6"/>
  <c r="DC50" i="6"/>
  <c r="DD50" i="6"/>
  <c r="DE50" i="6"/>
  <c r="DF50" i="6"/>
  <c r="DG50" i="6"/>
  <c r="DH50" i="6"/>
  <c r="DI50" i="6"/>
  <c r="DJ50" i="6"/>
  <c r="DK50" i="6"/>
  <c r="DL50" i="6"/>
  <c r="DM50" i="6"/>
  <c r="DN50" i="6"/>
  <c r="DO50" i="6"/>
  <c r="DP50" i="6"/>
  <c r="DQ50" i="6"/>
  <c r="DR50" i="6"/>
  <c r="DS50" i="6"/>
  <c r="DT50" i="6"/>
  <c r="DU50" i="6"/>
  <c r="DV50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Q51" i="6"/>
  <c r="CR51" i="6"/>
  <c r="CS51" i="6"/>
  <c r="CT51" i="6"/>
  <c r="CU51" i="6"/>
  <c r="CV51" i="6"/>
  <c r="CW51" i="6"/>
  <c r="CX51" i="6"/>
  <c r="CY51" i="6"/>
  <c r="CZ51" i="6"/>
  <c r="DA51" i="6"/>
  <c r="DB51" i="6"/>
  <c r="DC51" i="6"/>
  <c r="DD51" i="6"/>
  <c r="DE51" i="6"/>
  <c r="DF51" i="6"/>
  <c r="DG51" i="6"/>
  <c r="DH51" i="6"/>
  <c r="DI51" i="6"/>
  <c r="DJ51" i="6"/>
  <c r="DK51" i="6"/>
  <c r="DL51" i="6"/>
  <c r="DM51" i="6"/>
  <c r="DN51" i="6"/>
  <c r="DO51" i="6"/>
  <c r="DP51" i="6"/>
  <c r="DQ51" i="6"/>
  <c r="DR51" i="6"/>
  <c r="DS51" i="6"/>
  <c r="DT51" i="6"/>
  <c r="DU51" i="6"/>
  <c r="DV51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Q52" i="6"/>
  <c r="CR52" i="6"/>
  <c r="CS52" i="6"/>
  <c r="CT52" i="6"/>
  <c r="CU52" i="6"/>
  <c r="CV52" i="6"/>
  <c r="CW52" i="6"/>
  <c r="CX52" i="6"/>
  <c r="CY52" i="6"/>
  <c r="CZ52" i="6"/>
  <c r="DA52" i="6"/>
  <c r="DB52" i="6"/>
  <c r="DC52" i="6"/>
  <c r="DD52" i="6"/>
  <c r="DE52" i="6"/>
  <c r="DF52" i="6"/>
  <c r="DG52" i="6"/>
  <c r="DH52" i="6"/>
  <c r="DI52" i="6"/>
  <c r="DJ52" i="6"/>
  <c r="DK52" i="6"/>
  <c r="DL52" i="6"/>
  <c r="DM52" i="6"/>
  <c r="DN52" i="6"/>
  <c r="DO52" i="6"/>
  <c r="DP52" i="6"/>
  <c r="DQ52" i="6"/>
  <c r="DR52" i="6"/>
  <c r="DS52" i="6"/>
  <c r="DT52" i="6"/>
  <c r="DU52" i="6"/>
  <c r="DV52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Q53" i="6"/>
  <c r="CR53" i="6"/>
  <c r="CS53" i="6"/>
  <c r="CT53" i="6"/>
  <c r="CU53" i="6"/>
  <c r="CV53" i="6"/>
  <c r="CW53" i="6"/>
  <c r="CX53" i="6"/>
  <c r="CY53" i="6"/>
  <c r="CZ53" i="6"/>
  <c r="DA53" i="6"/>
  <c r="DB53" i="6"/>
  <c r="DC53" i="6"/>
  <c r="DD53" i="6"/>
  <c r="DE53" i="6"/>
  <c r="DF53" i="6"/>
  <c r="DG53" i="6"/>
  <c r="DH53" i="6"/>
  <c r="DI53" i="6"/>
  <c r="DJ53" i="6"/>
  <c r="DK53" i="6"/>
  <c r="DL53" i="6"/>
  <c r="DM53" i="6"/>
  <c r="DN53" i="6"/>
  <c r="DO53" i="6"/>
  <c r="DP53" i="6"/>
  <c r="DQ53" i="6"/>
  <c r="DR53" i="6"/>
  <c r="DS53" i="6"/>
  <c r="DT53" i="6"/>
  <c r="DU53" i="6"/>
  <c r="DV53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Q54" i="6"/>
  <c r="CR54" i="6"/>
  <c r="CS54" i="6"/>
  <c r="CT54" i="6"/>
  <c r="CU54" i="6"/>
  <c r="CV54" i="6"/>
  <c r="CW54" i="6"/>
  <c r="CX54" i="6"/>
  <c r="CY54" i="6"/>
  <c r="CZ54" i="6"/>
  <c r="DA54" i="6"/>
  <c r="DB54" i="6"/>
  <c r="DC54" i="6"/>
  <c r="DD54" i="6"/>
  <c r="DE54" i="6"/>
  <c r="DF54" i="6"/>
  <c r="DG54" i="6"/>
  <c r="DH54" i="6"/>
  <c r="DI54" i="6"/>
  <c r="DJ54" i="6"/>
  <c r="DK54" i="6"/>
  <c r="DL54" i="6"/>
  <c r="DM54" i="6"/>
  <c r="DN54" i="6"/>
  <c r="DO54" i="6"/>
  <c r="DP54" i="6"/>
  <c r="DQ54" i="6"/>
  <c r="DR54" i="6"/>
  <c r="DS54" i="6"/>
  <c r="DT54" i="6"/>
  <c r="DU54" i="6"/>
  <c r="DV54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DL55" i="6"/>
  <c r="DM55" i="6"/>
  <c r="DN55" i="6"/>
  <c r="DO55" i="6"/>
  <c r="DP55" i="6"/>
  <c r="DQ55" i="6"/>
  <c r="DR55" i="6"/>
  <c r="DS55" i="6"/>
  <c r="DT55" i="6"/>
  <c r="DU55" i="6"/>
  <c r="DV55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Q56" i="6"/>
  <c r="CR56" i="6"/>
  <c r="CS56" i="6"/>
  <c r="CT56" i="6"/>
  <c r="CU56" i="6"/>
  <c r="CV56" i="6"/>
  <c r="CW56" i="6"/>
  <c r="CX56" i="6"/>
  <c r="CY56" i="6"/>
  <c r="CZ56" i="6"/>
  <c r="DA56" i="6"/>
  <c r="DB56" i="6"/>
  <c r="DC56" i="6"/>
  <c r="DD56" i="6"/>
  <c r="DE56" i="6"/>
  <c r="DF56" i="6"/>
  <c r="DG56" i="6"/>
  <c r="DH56" i="6"/>
  <c r="DI56" i="6"/>
  <c r="DJ56" i="6"/>
  <c r="DK56" i="6"/>
  <c r="DL56" i="6"/>
  <c r="DM56" i="6"/>
  <c r="DN56" i="6"/>
  <c r="DO56" i="6"/>
  <c r="DP56" i="6"/>
  <c r="DQ56" i="6"/>
  <c r="DR56" i="6"/>
  <c r="DS56" i="6"/>
  <c r="DT56" i="6"/>
  <c r="DU56" i="6"/>
  <c r="DV56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CW57" i="6"/>
  <c r="CX57" i="6"/>
  <c r="CY57" i="6"/>
  <c r="CZ57" i="6"/>
  <c r="DA57" i="6"/>
  <c r="DB57" i="6"/>
  <c r="DC57" i="6"/>
  <c r="DD57" i="6"/>
  <c r="DE57" i="6"/>
  <c r="DF57" i="6"/>
  <c r="DG57" i="6"/>
  <c r="DH57" i="6"/>
  <c r="DI57" i="6"/>
  <c r="DJ57" i="6"/>
  <c r="DK57" i="6"/>
  <c r="DL57" i="6"/>
  <c r="DM57" i="6"/>
  <c r="DN57" i="6"/>
  <c r="DO57" i="6"/>
  <c r="DP57" i="6"/>
  <c r="DQ57" i="6"/>
  <c r="DR57" i="6"/>
  <c r="DS57" i="6"/>
  <c r="DT57" i="6"/>
  <c r="DU57" i="6"/>
  <c r="DV57" i="6"/>
  <c r="W58" i="6"/>
  <c r="X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I58" i="6"/>
  <c r="BJ58" i="6"/>
  <c r="BO58" i="6"/>
  <c r="BP58" i="6"/>
  <c r="BQ58" i="6"/>
  <c r="BR58" i="6"/>
  <c r="BS58" i="6"/>
  <c r="BT58" i="6"/>
  <c r="BU58" i="6"/>
  <c r="BV58" i="6"/>
  <c r="BW58" i="6"/>
  <c r="BX58" i="6"/>
  <c r="BY58" i="6"/>
  <c r="BZ58" i="6"/>
  <c r="CA58" i="6"/>
  <c r="CB58" i="6"/>
  <c r="CC58" i="6"/>
  <c r="CD58" i="6"/>
  <c r="CE58" i="6"/>
  <c r="CF58" i="6"/>
  <c r="CG58" i="6"/>
  <c r="CH58" i="6"/>
  <c r="CI58" i="6"/>
  <c r="CJ58" i="6"/>
  <c r="CK58" i="6"/>
  <c r="CL58" i="6"/>
  <c r="CM58" i="6"/>
  <c r="CN58" i="6"/>
  <c r="CO58" i="6"/>
  <c r="CP58" i="6"/>
  <c r="CQ58" i="6"/>
  <c r="CR58" i="6"/>
  <c r="CS58" i="6"/>
  <c r="CT58" i="6"/>
  <c r="CU58" i="6"/>
  <c r="CV58" i="6"/>
  <c r="CW58" i="6"/>
  <c r="CX58" i="6"/>
  <c r="CY58" i="6"/>
  <c r="CZ58" i="6"/>
  <c r="DA58" i="6"/>
  <c r="DB58" i="6"/>
  <c r="DC58" i="6"/>
  <c r="DD58" i="6"/>
  <c r="DE58" i="6"/>
  <c r="DF58" i="6"/>
  <c r="DG58" i="6"/>
  <c r="DH58" i="6"/>
  <c r="DI58" i="6"/>
  <c r="DJ58" i="6"/>
  <c r="DK58" i="6"/>
  <c r="DL58" i="6"/>
  <c r="DM58" i="6"/>
  <c r="DN58" i="6"/>
  <c r="DO58" i="6"/>
  <c r="DP58" i="6"/>
  <c r="DQ58" i="6"/>
  <c r="DR58" i="6"/>
  <c r="DS58" i="6"/>
  <c r="DT58" i="6"/>
  <c r="DU58" i="6"/>
  <c r="DV58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Q59" i="6"/>
  <c r="CR59" i="6"/>
  <c r="CS59" i="6"/>
  <c r="CT59" i="6"/>
  <c r="CU59" i="6"/>
  <c r="CV59" i="6"/>
  <c r="CW59" i="6"/>
  <c r="CX59" i="6"/>
  <c r="CY59" i="6"/>
  <c r="CZ59" i="6"/>
  <c r="DA59" i="6"/>
  <c r="DB59" i="6"/>
  <c r="DC59" i="6"/>
  <c r="DD59" i="6"/>
  <c r="DE59" i="6"/>
  <c r="DF59" i="6"/>
  <c r="DG59" i="6"/>
  <c r="DH59" i="6"/>
  <c r="DI59" i="6"/>
  <c r="DJ59" i="6"/>
  <c r="DK59" i="6"/>
  <c r="DL59" i="6"/>
  <c r="DM59" i="6"/>
  <c r="DN59" i="6"/>
  <c r="DO59" i="6"/>
  <c r="DP59" i="6"/>
  <c r="DQ59" i="6"/>
  <c r="DR59" i="6"/>
  <c r="DS59" i="6"/>
  <c r="DT59" i="6"/>
  <c r="DU59" i="6"/>
  <c r="DV59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Q60" i="6"/>
  <c r="CR60" i="6"/>
  <c r="CS60" i="6"/>
  <c r="CT60" i="6"/>
  <c r="CU60" i="6"/>
  <c r="CV60" i="6"/>
  <c r="CW60" i="6"/>
  <c r="CX60" i="6"/>
  <c r="CY60" i="6"/>
  <c r="CZ60" i="6"/>
  <c r="DA60" i="6"/>
  <c r="DB60" i="6"/>
  <c r="DC60" i="6"/>
  <c r="DD60" i="6"/>
  <c r="DE60" i="6"/>
  <c r="DF60" i="6"/>
  <c r="DG60" i="6"/>
  <c r="DH60" i="6"/>
  <c r="DI60" i="6"/>
  <c r="DJ60" i="6"/>
  <c r="DK60" i="6"/>
  <c r="DL60" i="6"/>
  <c r="DM60" i="6"/>
  <c r="DN60" i="6"/>
  <c r="DO60" i="6"/>
  <c r="DP60" i="6"/>
  <c r="DQ60" i="6"/>
  <c r="DR60" i="6"/>
  <c r="DS60" i="6"/>
  <c r="DT60" i="6"/>
  <c r="DU60" i="6"/>
  <c r="DV60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BL61" i="6"/>
  <c r="BM61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CA61" i="6"/>
  <c r="CB61" i="6"/>
  <c r="CC61" i="6"/>
  <c r="CD61" i="6"/>
  <c r="CE61" i="6"/>
  <c r="CF61" i="6"/>
  <c r="CG61" i="6"/>
  <c r="CH61" i="6"/>
  <c r="CI61" i="6"/>
  <c r="CJ61" i="6"/>
  <c r="CK61" i="6"/>
  <c r="CL61" i="6"/>
  <c r="CM61" i="6"/>
  <c r="CN61" i="6"/>
  <c r="CO61" i="6"/>
  <c r="CP61" i="6"/>
  <c r="CQ61" i="6"/>
  <c r="CR61" i="6"/>
  <c r="CS61" i="6"/>
  <c r="CT61" i="6"/>
  <c r="CU61" i="6"/>
  <c r="CV61" i="6"/>
  <c r="CW61" i="6"/>
  <c r="CX61" i="6"/>
  <c r="CY61" i="6"/>
  <c r="CZ61" i="6"/>
  <c r="DA61" i="6"/>
  <c r="DB61" i="6"/>
  <c r="DC61" i="6"/>
  <c r="DD61" i="6"/>
  <c r="DE61" i="6"/>
  <c r="DF61" i="6"/>
  <c r="DG61" i="6"/>
  <c r="DH61" i="6"/>
  <c r="DI61" i="6"/>
  <c r="DJ61" i="6"/>
  <c r="DK61" i="6"/>
  <c r="DL61" i="6"/>
  <c r="DM61" i="6"/>
  <c r="DN61" i="6"/>
  <c r="DO61" i="6"/>
  <c r="DP61" i="6"/>
  <c r="DQ61" i="6"/>
  <c r="DR61" i="6"/>
  <c r="DS61" i="6"/>
  <c r="DT61" i="6"/>
  <c r="DU61" i="6"/>
  <c r="DV61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E62" i="6"/>
  <c r="BF62" i="6"/>
  <c r="BG62" i="6"/>
  <c r="BH62" i="6"/>
  <c r="BI62" i="6"/>
  <c r="BJ62" i="6"/>
  <c r="BK62" i="6"/>
  <c r="BL62" i="6"/>
  <c r="BM62" i="6"/>
  <c r="BN62" i="6"/>
  <c r="BO62" i="6"/>
  <c r="BP62" i="6"/>
  <c r="BQ62" i="6"/>
  <c r="BR62" i="6"/>
  <c r="BS62" i="6"/>
  <c r="BT62" i="6"/>
  <c r="BU62" i="6"/>
  <c r="BV62" i="6"/>
  <c r="BW62" i="6"/>
  <c r="BX62" i="6"/>
  <c r="BY62" i="6"/>
  <c r="BZ62" i="6"/>
  <c r="CA62" i="6"/>
  <c r="CB62" i="6"/>
  <c r="CC62" i="6"/>
  <c r="CD62" i="6"/>
  <c r="CE62" i="6"/>
  <c r="CF62" i="6"/>
  <c r="CG62" i="6"/>
  <c r="CH62" i="6"/>
  <c r="CI62" i="6"/>
  <c r="CJ62" i="6"/>
  <c r="CK62" i="6"/>
  <c r="CL62" i="6"/>
  <c r="CM62" i="6"/>
  <c r="CN62" i="6"/>
  <c r="CO62" i="6"/>
  <c r="CP62" i="6"/>
  <c r="CQ62" i="6"/>
  <c r="CR62" i="6"/>
  <c r="CS62" i="6"/>
  <c r="CT62" i="6"/>
  <c r="CU62" i="6"/>
  <c r="CV62" i="6"/>
  <c r="CW62" i="6"/>
  <c r="CX62" i="6"/>
  <c r="CY62" i="6"/>
  <c r="CZ62" i="6"/>
  <c r="DA62" i="6"/>
  <c r="DB62" i="6"/>
  <c r="DC62" i="6"/>
  <c r="DD62" i="6"/>
  <c r="DE62" i="6"/>
  <c r="DF62" i="6"/>
  <c r="DG62" i="6"/>
  <c r="DH62" i="6"/>
  <c r="DI62" i="6"/>
  <c r="DJ62" i="6"/>
  <c r="DK62" i="6"/>
  <c r="DL62" i="6"/>
  <c r="DM62" i="6"/>
  <c r="DN62" i="6"/>
  <c r="DO62" i="6"/>
  <c r="DP62" i="6"/>
  <c r="DQ62" i="6"/>
  <c r="DR62" i="6"/>
  <c r="DS62" i="6"/>
  <c r="DT62" i="6"/>
  <c r="DU62" i="6"/>
  <c r="DV62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E63" i="6"/>
  <c r="BF63" i="6"/>
  <c r="BG63" i="6"/>
  <c r="BH63" i="6"/>
  <c r="BI63" i="6"/>
  <c r="BJ63" i="6"/>
  <c r="BK63" i="6"/>
  <c r="BL63" i="6"/>
  <c r="BM63" i="6"/>
  <c r="BN63" i="6"/>
  <c r="BO63" i="6"/>
  <c r="BP63" i="6"/>
  <c r="BQ63" i="6"/>
  <c r="BR63" i="6"/>
  <c r="BS63" i="6"/>
  <c r="BT63" i="6"/>
  <c r="BU63" i="6"/>
  <c r="BV63" i="6"/>
  <c r="BW63" i="6"/>
  <c r="BX63" i="6"/>
  <c r="BY63" i="6"/>
  <c r="BZ63" i="6"/>
  <c r="CA63" i="6"/>
  <c r="CB63" i="6"/>
  <c r="CC63" i="6"/>
  <c r="CD63" i="6"/>
  <c r="CE63" i="6"/>
  <c r="CF63" i="6"/>
  <c r="CG63" i="6"/>
  <c r="CH63" i="6"/>
  <c r="CI63" i="6"/>
  <c r="CJ63" i="6"/>
  <c r="CK63" i="6"/>
  <c r="CL63" i="6"/>
  <c r="CM63" i="6"/>
  <c r="CN63" i="6"/>
  <c r="CO63" i="6"/>
  <c r="CP63" i="6"/>
  <c r="CQ63" i="6"/>
  <c r="CR63" i="6"/>
  <c r="CS63" i="6"/>
  <c r="CT63" i="6"/>
  <c r="CU63" i="6"/>
  <c r="CV63" i="6"/>
  <c r="CW63" i="6"/>
  <c r="CX63" i="6"/>
  <c r="CY63" i="6"/>
  <c r="CZ63" i="6"/>
  <c r="DA63" i="6"/>
  <c r="DB63" i="6"/>
  <c r="DC63" i="6"/>
  <c r="DD63" i="6"/>
  <c r="DE63" i="6"/>
  <c r="DF63" i="6"/>
  <c r="DG63" i="6"/>
  <c r="DH63" i="6"/>
  <c r="DI63" i="6"/>
  <c r="DJ63" i="6"/>
  <c r="DK63" i="6"/>
  <c r="DL63" i="6"/>
  <c r="DM63" i="6"/>
  <c r="DN63" i="6"/>
  <c r="DO63" i="6"/>
  <c r="DP63" i="6"/>
  <c r="DQ63" i="6"/>
  <c r="DR63" i="6"/>
  <c r="DS63" i="6"/>
  <c r="DT63" i="6"/>
  <c r="DU63" i="6"/>
  <c r="DV63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E64" i="6"/>
  <c r="BF64" i="6"/>
  <c r="BG64" i="6"/>
  <c r="BH64" i="6"/>
  <c r="BI64" i="6"/>
  <c r="BJ64" i="6"/>
  <c r="BK64" i="6"/>
  <c r="BL64" i="6"/>
  <c r="BM64" i="6"/>
  <c r="BN64" i="6"/>
  <c r="BO64" i="6"/>
  <c r="BP64" i="6"/>
  <c r="BQ64" i="6"/>
  <c r="BR64" i="6"/>
  <c r="BS64" i="6"/>
  <c r="BT64" i="6"/>
  <c r="BU64" i="6"/>
  <c r="BV64" i="6"/>
  <c r="BW64" i="6"/>
  <c r="BX64" i="6"/>
  <c r="BY64" i="6"/>
  <c r="BZ64" i="6"/>
  <c r="CA64" i="6"/>
  <c r="CB64" i="6"/>
  <c r="CC64" i="6"/>
  <c r="CD64" i="6"/>
  <c r="CE64" i="6"/>
  <c r="CF64" i="6"/>
  <c r="CG64" i="6"/>
  <c r="CH64" i="6"/>
  <c r="CI64" i="6"/>
  <c r="CJ64" i="6"/>
  <c r="CK64" i="6"/>
  <c r="CL64" i="6"/>
  <c r="CM64" i="6"/>
  <c r="CN64" i="6"/>
  <c r="CO64" i="6"/>
  <c r="CP64" i="6"/>
  <c r="CQ64" i="6"/>
  <c r="CR64" i="6"/>
  <c r="CS64" i="6"/>
  <c r="CT64" i="6"/>
  <c r="CU64" i="6"/>
  <c r="CV64" i="6"/>
  <c r="CW64" i="6"/>
  <c r="CX64" i="6"/>
  <c r="CY64" i="6"/>
  <c r="CZ64" i="6"/>
  <c r="DA64" i="6"/>
  <c r="DB64" i="6"/>
  <c r="DC64" i="6"/>
  <c r="DD64" i="6"/>
  <c r="DE64" i="6"/>
  <c r="DF64" i="6"/>
  <c r="DG64" i="6"/>
  <c r="DH64" i="6"/>
  <c r="DI64" i="6"/>
  <c r="DJ64" i="6"/>
  <c r="DK64" i="6"/>
  <c r="DL64" i="6"/>
  <c r="DM64" i="6"/>
  <c r="DN64" i="6"/>
  <c r="DO64" i="6"/>
  <c r="DP64" i="6"/>
  <c r="DQ64" i="6"/>
  <c r="DR64" i="6"/>
  <c r="DS64" i="6"/>
  <c r="DT64" i="6"/>
  <c r="DU64" i="6"/>
  <c r="DV64" i="6"/>
  <c r="S65" i="6"/>
  <c r="T65" i="6"/>
  <c r="U65" i="6"/>
  <c r="V65" i="6"/>
  <c r="W65" i="6"/>
  <c r="X65" i="6"/>
  <c r="AG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E65" i="6"/>
  <c r="BF65" i="6"/>
  <c r="BG65" i="6"/>
  <c r="BH65" i="6"/>
  <c r="BQ65" i="6"/>
  <c r="BR65" i="6"/>
  <c r="BS65" i="6"/>
  <c r="BT65" i="6"/>
  <c r="BU65" i="6"/>
  <c r="BV65" i="6"/>
  <c r="BW65" i="6"/>
  <c r="BX65" i="6"/>
  <c r="BY65" i="6"/>
  <c r="BZ65" i="6"/>
  <c r="CA65" i="6"/>
  <c r="CB65" i="6"/>
  <c r="CC65" i="6"/>
  <c r="CD65" i="6"/>
  <c r="CE65" i="6"/>
  <c r="CF65" i="6"/>
  <c r="CG65" i="6"/>
  <c r="CH65" i="6"/>
  <c r="CI65" i="6"/>
  <c r="CJ65" i="6"/>
  <c r="CK65" i="6"/>
  <c r="CL65" i="6"/>
  <c r="CM65" i="6"/>
  <c r="CN65" i="6"/>
  <c r="CO65" i="6"/>
  <c r="CP65" i="6"/>
  <c r="CQ65" i="6"/>
  <c r="CR65" i="6"/>
  <c r="CS65" i="6"/>
  <c r="CT65" i="6"/>
  <c r="CU65" i="6"/>
  <c r="CV65" i="6"/>
  <c r="CW65" i="6"/>
  <c r="CX65" i="6"/>
  <c r="CY65" i="6"/>
  <c r="CZ65" i="6"/>
  <c r="DA65" i="6"/>
  <c r="DB65" i="6"/>
  <c r="DC65" i="6"/>
  <c r="DD65" i="6"/>
  <c r="DE65" i="6"/>
  <c r="DF65" i="6"/>
  <c r="DG65" i="6"/>
  <c r="DH65" i="6"/>
  <c r="DI65" i="6"/>
  <c r="DJ65" i="6"/>
  <c r="DK65" i="6"/>
  <c r="DL65" i="6"/>
  <c r="DM65" i="6"/>
  <c r="DN65" i="6"/>
  <c r="DO65" i="6"/>
  <c r="DP65" i="6"/>
  <c r="DQ65" i="6"/>
  <c r="DR65" i="6"/>
  <c r="DS65" i="6"/>
  <c r="DT65" i="6"/>
  <c r="DU65" i="6"/>
  <c r="DV65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BL66" i="6"/>
  <c r="BM66" i="6"/>
  <c r="BN66" i="6"/>
  <c r="BO66" i="6"/>
  <c r="BP66" i="6"/>
  <c r="BQ66" i="6"/>
  <c r="BR66" i="6"/>
  <c r="BS66" i="6"/>
  <c r="BT66" i="6"/>
  <c r="BU66" i="6"/>
  <c r="BV66" i="6"/>
  <c r="BW66" i="6"/>
  <c r="BX66" i="6"/>
  <c r="BY66" i="6"/>
  <c r="BZ66" i="6"/>
  <c r="CA66" i="6"/>
  <c r="CB66" i="6"/>
  <c r="CC66" i="6"/>
  <c r="CD66" i="6"/>
  <c r="CE66" i="6"/>
  <c r="CF66" i="6"/>
  <c r="CG66" i="6"/>
  <c r="CH66" i="6"/>
  <c r="CI66" i="6"/>
  <c r="CJ66" i="6"/>
  <c r="CK66" i="6"/>
  <c r="CL66" i="6"/>
  <c r="CM66" i="6"/>
  <c r="CN66" i="6"/>
  <c r="CO66" i="6"/>
  <c r="CP66" i="6"/>
  <c r="CQ66" i="6"/>
  <c r="CR66" i="6"/>
  <c r="CS66" i="6"/>
  <c r="CT66" i="6"/>
  <c r="CU66" i="6"/>
  <c r="CV66" i="6"/>
  <c r="CW66" i="6"/>
  <c r="CX66" i="6"/>
  <c r="CY66" i="6"/>
  <c r="CZ66" i="6"/>
  <c r="DA66" i="6"/>
  <c r="DB66" i="6"/>
  <c r="DC66" i="6"/>
  <c r="DD66" i="6"/>
  <c r="DE66" i="6"/>
  <c r="DF66" i="6"/>
  <c r="DG66" i="6"/>
  <c r="DH66" i="6"/>
  <c r="DI66" i="6"/>
  <c r="DJ66" i="6"/>
  <c r="DK66" i="6"/>
  <c r="DL66" i="6"/>
  <c r="DM66" i="6"/>
  <c r="DN66" i="6"/>
  <c r="DO66" i="6"/>
  <c r="DP66" i="6"/>
  <c r="DQ66" i="6"/>
  <c r="DR66" i="6"/>
  <c r="DS66" i="6"/>
  <c r="DT66" i="6"/>
  <c r="DU66" i="6"/>
  <c r="DV66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BL67" i="6"/>
  <c r="BM67" i="6"/>
  <c r="BN67" i="6"/>
  <c r="BO67" i="6"/>
  <c r="BP67" i="6"/>
  <c r="BQ67" i="6"/>
  <c r="BR67" i="6"/>
  <c r="BS67" i="6"/>
  <c r="BT67" i="6"/>
  <c r="BU67" i="6"/>
  <c r="BV67" i="6"/>
  <c r="BW67" i="6"/>
  <c r="BX67" i="6"/>
  <c r="BY67" i="6"/>
  <c r="BZ67" i="6"/>
  <c r="CA67" i="6"/>
  <c r="CB67" i="6"/>
  <c r="CC67" i="6"/>
  <c r="CD67" i="6"/>
  <c r="CE67" i="6"/>
  <c r="CF67" i="6"/>
  <c r="CG67" i="6"/>
  <c r="CH67" i="6"/>
  <c r="CI67" i="6"/>
  <c r="CJ67" i="6"/>
  <c r="CK67" i="6"/>
  <c r="CL67" i="6"/>
  <c r="CM67" i="6"/>
  <c r="CN67" i="6"/>
  <c r="CO67" i="6"/>
  <c r="CP67" i="6"/>
  <c r="CQ67" i="6"/>
  <c r="CR67" i="6"/>
  <c r="CS67" i="6"/>
  <c r="CT67" i="6"/>
  <c r="CU67" i="6"/>
  <c r="CV67" i="6"/>
  <c r="CW67" i="6"/>
  <c r="CX67" i="6"/>
  <c r="CY67" i="6"/>
  <c r="CZ67" i="6"/>
  <c r="DA67" i="6"/>
  <c r="DB67" i="6"/>
  <c r="DC67" i="6"/>
  <c r="DD67" i="6"/>
  <c r="DE67" i="6"/>
  <c r="DF67" i="6"/>
  <c r="DG67" i="6"/>
  <c r="DH67" i="6"/>
  <c r="DI67" i="6"/>
  <c r="DJ67" i="6"/>
  <c r="DK67" i="6"/>
  <c r="DL67" i="6"/>
  <c r="DM67" i="6"/>
  <c r="DN67" i="6"/>
  <c r="DO67" i="6"/>
  <c r="DP67" i="6"/>
  <c r="DQ67" i="6"/>
  <c r="DR67" i="6"/>
  <c r="DS67" i="6"/>
  <c r="DT67" i="6"/>
  <c r="DU67" i="6"/>
  <c r="DV67" i="6"/>
  <c r="S68" i="6"/>
  <c r="T68" i="6"/>
  <c r="U68" i="6"/>
  <c r="V68" i="6"/>
  <c r="W68" i="6"/>
  <c r="X68" i="6"/>
  <c r="Y68" i="6"/>
  <c r="Z68" i="6"/>
  <c r="AA68" i="6"/>
  <c r="AR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Q68" i="6"/>
  <c r="BR68" i="6"/>
  <c r="BS68" i="6"/>
  <c r="BX68" i="6"/>
  <c r="BY68" i="6"/>
  <c r="BZ68" i="6"/>
  <c r="CA68" i="6"/>
  <c r="CB68" i="6"/>
  <c r="CC68" i="6"/>
  <c r="CD68" i="6"/>
  <c r="CE68" i="6"/>
  <c r="CF68" i="6"/>
  <c r="CG68" i="6"/>
  <c r="CH68" i="6"/>
  <c r="CI68" i="6"/>
  <c r="CJ68" i="6"/>
  <c r="CK68" i="6"/>
  <c r="CL68" i="6"/>
  <c r="CM68" i="6"/>
  <c r="CN68" i="6"/>
  <c r="CO68" i="6"/>
  <c r="CP68" i="6"/>
  <c r="CQ68" i="6"/>
  <c r="CR68" i="6"/>
  <c r="CS68" i="6"/>
  <c r="CT68" i="6"/>
  <c r="CU68" i="6"/>
  <c r="CV68" i="6"/>
  <c r="CW68" i="6"/>
  <c r="CX68" i="6"/>
  <c r="CY68" i="6"/>
  <c r="CZ68" i="6"/>
  <c r="DA68" i="6"/>
  <c r="DB68" i="6"/>
  <c r="DC68" i="6"/>
  <c r="DD68" i="6"/>
  <c r="DE68" i="6"/>
  <c r="DF68" i="6"/>
  <c r="DG68" i="6"/>
  <c r="DH68" i="6"/>
  <c r="DI68" i="6"/>
  <c r="DJ68" i="6"/>
  <c r="DK68" i="6"/>
  <c r="DL68" i="6"/>
  <c r="DM68" i="6"/>
  <c r="DN68" i="6"/>
  <c r="DO68" i="6"/>
  <c r="DP68" i="6"/>
  <c r="DQ68" i="6"/>
  <c r="DR68" i="6"/>
  <c r="DS68" i="6"/>
  <c r="DT68" i="6"/>
  <c r="DU68" i="6"/>
  <c r="DV68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CB69" i="6"/>
  <c r="CC69" i="6"/>
  <c r="CD69" i="6"/>
  <c r="CE69" i="6"/>
  <c r="CF69" i="6"/>
  <c r="CG69" i="6"/>
  <c r="CH69" i="6"/>
  <c r="CI69" i="6"/>
  <c r="CJ69" i="6"/>
  <c r="CK69" i="6"/>
  <c r="CL69" i="6"/>
  <c r="CM69" i="6"/>
  <c r="CN69" i="6"/>
  <c r="CO69" i="6"/>
  <c r="CP69" i="6"/>
  <c r="CQ69" i="6"/>
  <c r="CR69" i="6"/>
  <c r="CS69" i="6"/>
  <c r="CT69" i="6"/>
  <c r="CU69" i="6"/>
  <c r="CV69" i="6"/>
  <c r="CW69" i="6"/>
  <c r="CX69" i="6"/>
  <c r="CY69" i="6"/>
  <c r="CZ69" i="6"/>
  <c r="DA69" i="6"/>
  <c r="DB69" i="6"/>
  <c r="DC69" i="6"/>
  <c r="DD69" i="6"/>
  <c r="DE69" i="6"/>
  <c r="DF69" i="6"/>
  <c r="DG69" i="6"/>
  <c r="DH69" i="6"/>
  <c r="DI69" i="6"/>
  <c r="DJ69" i="6"/>
  <c r="DK69" i="6"/>
  <c r="DL69" i="6"/>
  <c r="DM69" i="6"/>
  <c r="DN69" i="6"/>
  <c r="DO69" i="6"/>
  <c r="DP69" i="6"/>
  <c r="DQ69" i="6"/>
  <c r="DR69" i="6"/>
  <c r="DS69" i="6"/>
  <c r="DT69" i="6"/>
  <c r="DU69" i="6"/>
  <c r="DV69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BL70" i="6"/>
  <c r="BM70" i="6"/>
  <c r="BN70" i="6"/>
  <c r="BO70" i="6"/>
  <c r="BP70" i="6"/>
  <c r="BQ70" i="6"/>
  <c r="BR70" i="6"/>
  <c r="BS70" i="6"/>
  <c r="BT70" i="6"/>
  <c r="BU70" i="6"/>
  <c r="BV70" i="6"/>
  <c r="BW70" i="6"/>
  <c r="BX70" i="6"/>
  <c r="BY70" i="6"/>
  <c r="BZ70" i="6"/>
  <c r="CA70" i="6"/>
  <c r="CB70" i="6"/>
  <c r="CC70" i="6"/>
  <c r="CD70" i="6"/>
  <c r="CE70" i="6"/>
  <c r="CF70" i="6"/>
  <c r="CG70" i="6"/>
  <c r="CH70" i="6"/>
  <c r="CI70" i="6"/>
  <c r="CJ70" i="6"/>
  <c r="CK70" i="6"/>
  <c r="CL70" i="6"/>
  <c r="CM70" i="6"/>
  <c r="CN70" i="6"/>
  <c r="CO70" i="6"/>
  <c r="CP70" i="6"/>
  <c r="CQ70" i="6"/>
  <c r="CR70" i="6"/>
  <c r="CS70" i="6"/>
  <c r="CT70" i="6"/>
  <c r="CU70" i="6"/>
  <c r="CV70" i="6"/>
  <c r="CW70" i="6"/>
  <c r="CX70" i="6"/>
  <c r="CY70" i="6"/>
  <c r="CZ70" i="6"/>
  <c r="DA70" i="6"/>
  <c r="DB70" i="6"/>
  <c r="DC70" i="6"/>
  <c r="DD70" i="6"/>
  <c r="DE70" i="6"/>
  <c r="DF70" i="6"/>
  <c r="DG70" i="6"/>
  <c r="DH70" i="6"/>
  <c r="DI70" i="6"/>
  <c r="DJ70" i="6"/>
  <c r="DK70" i="6"/>
  <c r="DL70" i="6"/>
  <c r="DM70" i="6"/>
  <c r="DN70" i="6"/>
  <c r="DO70" i="6"/>
  <c r="DP70" i="6"/>
  <c r="DQ70" i="6"/>
  <c r="DR70" i="6"/>
  <c r="DS70" i="6"/>
  <c r="DT70" i="6"/>
  <c r="DU70" i="6"/>
  <c r="DV70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N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Q71" i="6"/>
  <c r="CR71" i="6"/>
  <c r="CS71" i="6"/>
  <c r="CT71" i="6"/>
  <c r="CU71" i="6"/>
  <c r="CV71" i="6"/>
  <c r="CW71" i="6"/>
  <c r="CX71" i="6"/>
  <c r="CY71" i="6"/>
  <c r="CZ71" i="6"/>
  <c r="DA71" i="6"/>
  <c r="DB71" i="6"/>
  <c r="DC71" i="6"/>
  <c r="DD71" i="6"/>
  <c r="DE71" i="6"/>
  <c r="DF71" i="6"/>
  <c r="DG71" i="6"/>
  <c r="DH71" i="6"/>
  <c r="DI71" i="6"/>
  <c r="DJ71" i="6"/>
  <c r="DK71" i="6"/>
  <c r="DL71" i="6"/>
  <c r="DM71" i="6"/>
  <c r="DN71" i="6"/>
  <c r="DO71" i="6"/>
  <c r="DP71" i="6"/>
  <c r="DQ71" i="6"/>
  <c r="DR71" i="6"/>
  <c r="DS71" i="6"/>
  <c r="DT71" i="6"/>
  <c r="DU71" i="6"/>
  <c r="DV71" i="6"/>
  <c r="S72" i="6"/>
  <c r="T72" i="6"/>
  <c r="U72" i="6"/>
  <c r="V72" i="6"/>
  <c r="W72" i="6"/>
  <c r="X72" i="6"/>
  <c r="Y72" i="6"/>
  <c r="Z72" i="6"/>
  <c r="AM72" i="6"/>
  <c r="AN72" i="6"/>
  <c r="AO72" i="6"/>
  <c r="AP72" i="6"/>
  <c r="AU72" i="6"/>
  <c r="AV72" i="6"/>
  <c r="AW72" i="6"/>
  <c r="AX72" i="6"/>
  <c r="AY72" i="6"/>
  <c r="AZ72" i="6"/>
  <c r="BA72" i="6"/>
  <c r="BB72" i="6"/>
  <c r="BC72" i="6"/>
  <c r="BD72" i="6"/>
  <c r="BE72" i="6"/>
  <c r="BN72" i="6"/>
  <c r="BO72" i="6"/>
  <c r="BT72" i="6"/>
  <c r="BU72" i="6"/>
  <c r="BV72" i="6"/>
  <c r="BW72" i="6"/>
  <c r="BX72" i="6"/>
  <c r="BY72" i="6"/>
  <c r="BZ72" i="6"/>
  <c r="CA72" i="6"/>
  <c r="CB72" i="6"/>
  <c r="CC72" i="6"/>
  <c r="CD72" i="6"/>
  <c r="CE72" i="6"/>
  <c r="CF72" i="6"/>
  <c r="CG72" i="6"/>
  <c r="CH72" i="6"/>
  <c r="CI72" i="6"/>
  <c r="CJ72" i="6"/>
  <c r="CK72" i="6"/>
  <c r="CL72" i="6"/>
  <c r="CM72" i="6"/>
  <c r="CN72" i="6"/>
  <c r="CO72" i="6"/>
  <c r="CP72" i="6"/>
  <c r="CQ72" i="6"/>
  <c r="CR72" i="6"/>
  <c r="CS72" i="6"/>
  <c r="CT72" i="6"/>
  <c r="CU72" i="6"/>
  <c r="CV72" i="6"/>
  <c r="CW72" i="6"/>
  <c r="CX72" i="6"/>
  <c r="CY72" i="6"/>
  <c r="CZ72" i="6"/>
  <c r="DA72" i="6"/>
  <c r="DB72" i="6"/>
  <c r="DC72" i="6"/>
  <c r="DD72" i="6"/>
  <c r="DE72" i="6"/>
  <c r="DF72" i="6"/>
  <c r="DG72" i="6"/>
  <c r="DH72" i="6"/>
  <c r="DI72" i="6"/>
  <c r="DJ72" i="6"/>
  <c r="DK72" i="6"/>
  <c r="DL72" i="6"/>
  <c r="DM72" i="6"/>
  <c r="DN72" i="6"/>
  <c r="DO72" i="6"/>
  <c r="DP72" i="6"/>
  <c r="DQ72" i="6"/>
  <c r="DR72" i="6"/>
  <c r="DS72" i="6"/>
  <c r="DT72" i="6"/>
  <c r="DU72" i="6"/>
  <c r="DV72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E73" i="6"/>
  <c r="BF73" i="6"/>
  <c r="BG73" i="6"/>
  <c r="BH73" i="6"/>
  <c r="BI73" i="6"/>
  <c r="BJ73" i="6"/>
  <c r="BK73" i="6"/>
  <c r="BL73" i="6"/>
  <c r="BM73" i="6"/>
  <c r="BN73" i="6"/>
  <c r="BO73" i="6"/>
  <c r="BP73" i="6"/>
  <c r="BQ73" i="6"/>
  <c r="BR73" i="6"/>
  <c r="BS73" i="6"/>
  <c r="BT73" i="6"/>
  <c r="BU73" i="6"/>
  <c r="BV73" i="6"/>
  <c r="BW73" i="6"/>
  <c r="BX73" i="6"/>
  <c r="BY73" i="6"/>
  <c r="BZ73" i="6"/>
  <c r="CA73" i="6"/>
  <c r="CB73" i="6"/>
  <c r="CC73" i="6"/>
  <c r="CD73" i="6"/>
  <c r="CE73" i="6"/>
  <c r="CF73" i="6"/>
  <c r="CG73" i="6"/>
  <c r="CH73" i="6"/>
  <c r="CI73" i="6"/>
  <c r="CJ73" i="6"/>
  <c r="CK73" i="6"/>
  <c r="CL73" i="6"/>
  <c r="CM73" i="6"/>
  <c r="CN73" i="6"/>
  <c r="CO73" i="6"/>
  <c r="CP73" i="6"/>
  <c r="CQ73" i="6"/>
  <c r="CR73" i="6"/>
  <c r="CS73" i="6"/>
  <c r="CT73" i="6"/>
  <c r="CU73" i="6"/>
  <c r="CV73" i="6"/>
  <c r="CW73" i="6"/>
  <c r="CX73" i="6"/>
  <c r="CY73" i="6"/>
  <c r="CZ73" i="6"/>
  <c r="DA73" i="6"/>
  <c r="DB73" i="6"/>
  <c r="DC73" i="6"/>
  <c r="DD73" i="6"/>
  <c r="DE73" i="6"/>
  <c r="DF73" i="6"/>
  <c r="DG73" i="6"/>
  <c r="DH73" i="6"/>
  <c r="DI73" i="6"/>
  <c r="DJ73" i="6"/>
  <c r="DK73" i="6"/>
  <c r="DL73" i="6"/>
  <c r="DM73" i="6"/>
  <c r="DN73" i="6"/>
  <c r="DO73" i="6"/>
  <c r="DP73" i="6"/>
  <c r="DQ73" i="6"/>
  <c r="DR73" i="6"/>
  <c r="DS73" i="6"/>
  <c r="DT73" i="6"/>
  <c r="DU73" i="6"/>
  <c r="DV73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E74" i="6"/>
  <c r="BF74" i="6"/>
  <c r="BG74" i="6"/>
  <c r="BH74" i="6"/>
  <c r="BI74" i="6"/>
  <c r="BJ74" i="6"/>
  <c r="BK74" i="6"/>
  <c r="BL74" i="6"/>
  <c r="BM74" i="6"/>
  <c r="BN74" i="6"/>
  <c r="BO74" i="6"/>
  <c r="BP74" i="6"/>
  <c r="BQ74" i="6"/>
  <c r="BR74" i="6"/>
  <c r="BS74" i="6"/>
  <c r="BT74" i="6"/>
  <c r="BU74" i="6"/>
  <c r="BV74" i="6"/>
  <c r="BW74" i="6"/>
  <c r="BX74" i="6"/>
  <c r="BY74" i="6"/>
  <c r="BZ74" i="6"/>
  <c r="CA74" i="6"/>
  <c r="CB74" i="6"/>
  <c r="CC74" i="6"/>
  <c r="CD74" i="6"/>
  <c r="CE74" i="6"/>
  <c r="CF74" i="6"/>
  <c r="CG74" i="6"/>
  <c r="CH74" i="6"/>
  <c r="CI74" i="6"/>
  <c r="CJ74" i="6"/>
  <c r="CK74" i="6"/>
  <c r="CL74" i="6"/>
  <c r="CM74" i="6"/>
  <c r="CN74" i="6"/>
  <c r="CO74" i="6"/>
  <c r="CP74" i="6"/>
  <c r="CQ74" i="6"/>
  <c r="CR74" i="6"/>
  <c r="CS74" i="6"/>
  <c r="CT74" i="6"/>
  <c r="CU74" i="6"/>
  <c r="CV74" i="6"/>
  <c r="CW74" i="6"/>
  <c r="CX74" i="6"/>
  <c r="CY74" i="6"/>
  <c r="CZ74" i="6"/>
  <c r="DA74" i="6"/>
  <c r="DB74" i="6"/>
  <c r="DC74" i="6"/>
  <c r="DD74" i="6"/>
  <c r="DE74" i="6"/>
  <c r="DF74" i="6"/>
  <c r="DG74" i="6"/>
  <c r="DH74" i="6"/>
  <c r="DI74" i="6"/>
  <c r="DJ74" i="6"/>
  <c r="DK74" i="6"/>
  <c r="DL74" i="6"/>
  <c r="DM74" i="6"/>
  <c r="DN74" i="6"/>
  <c r="DO74" i="6"/>
  <c r="DP74" i="6"/>
  <c r="DQ74" i="6"/>
  <c r="DR74" i="6"/>
  <c r="DS74" i="6"/>
  <c r="DT74" i="6"/>
  <c r="DU74" i="6"/>
  <c r="DV74" i="6"/>
  <c r="S75" i="6"/>
  <c r="T75" i="6"/>
  <c r="AC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K75" i="6"/>
  <c r="BL75" i="6"/>
  <c r="BM75" i="6"/>
  <c r="BN75" i="6"/>
  <c r="BO75" i="6"/>
  <c r="BP75" i="6"/>
  <c r="BQ75" i="6"/>
  <c r="BR75" i="6"/>
  <c r="BS75" i="6"/>
  <c r="BT75" i="6"/>
  <c r="BU75" i="6"/>
  <c r="BV75" i="6"/>
  <c r="BW75" i="6"/>
  <c r="BX75" i="6"/>
  <c r="BY75" i="6"/>
  <c r="BZ75" i="6"/>
  <c r="CA75" i="6"/>
  <c r="CB75" i="6"/>
  <c r="CC75" i="6"/>
  <c r="CD75" i="6"/>
  <c r="CE75" i="6"/>
  <c r="CF75" i="6"/>
  <c r="CG75" i="6"/>
  <c r="CH75" i="6"/>
  <c r="CI75" i="6"/>
  <c r="CJ75" i="6"/>
  <c r="CK75" i="6"/>
  <c r="CL75" i="6"/>
  <c r="CM75" i="6"/>
  <c r="CN75" i="6"/>
  <c r="CO75" i="6"/>
  <c r="CP75" i="6"/>
  <c r="CQ75" i="6"/>
  <c r="CR75" i="6"/>
  <c r="CS75" i="6"/>
  <c r="CT75" i="6"/>
  <c r="CU75" i="6"/>
  <c r="CV75" i="6"/>
  <c r="CW75" i="6"/>
  <c r="CX75" i="6"/>
  <c r="CY75" i="6"/>
  <c r="CZ75" i="6"/>
  <c r="DA75" i="6"/>
  <c r="DB75" i="6"/>
  <c r="DC75" i="6"/>
  <c r="DD75" i="6"/>
  <c r="DE75" i="6"/>
  <c r="DF75" i="6"/>
  <c r="DG75" i="6"/>
  <c r="DH75" i="6"/>
  <c r="DI75" i="6"/>
  <c r="DJ75" i="6"/>
  <c r="DK75" i="6"/>
  <c r="DL75" i="6"/>
  <c r="DM75" i="6"/>
  <c r="DN75" i="6"/>
  <c r="DO75" i="6"/>
  <c r="DP75" i="6"/>
  <c r="DQ75" i="6"/>
  <c r="DR75" i="6"/>
  <c r="DS75" i="6"/>
  <c r="DT75" i="6"/>
  <c r="DU75" i="6"/>
  <c r="DV75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BL76" i="6"/>
  <c r="BM76" i="6"/>
  <c r="BN76" i="6"/>
  <c r="BO76" i="6"/>
  <c r="BP76" i="6"/>
  <c r="BQ76" i="6"/>
  <c r="BR76" i="6"/>
  <c r="BS76" i="6"/>
  <c r="BT76" i="6"/>
  <c r="BU76" i="6"/>
  <c r="BV76" i="6"/>
  <c r="BW76" i="6"/>
  <c r="BX76" i="6"/>
  <c r="BY76" i="6"/>
  <c r="BZ76" i="6"/>
  <c r="CA76" i="6"/>
  <c r="CB76" i="6"/>
  <c r="CC76" i="6"/>
  <c r="CD76" i="6"/>
  <c r="CE76" i="6"/>
  <c r="CF76" i="6"/>
  <c r="CG76" i="6"/>
  <c r="CH76" i="6"/>
  <c r="CI76" i="6"/>
  <c r="CJ76" i="6"/>
  <c r="CK76" i="6"/>
  <c r="CL76" i="6"/>
  <c r="CM76" i="6"/>
  <c r="CN76" i="6"/>
  <c r="CO76" i="6"/>
  <c r="CP76" i="6"/>
  <c r="CQ76" i="6"/>
  <c r="CR76" i="6"/>
  <c r="CS76" i="6"/>
  <c r="CT76" i="6"/>
  <c r="CU76" i="6"/>
  <c r="CV76" i="6"/>
  <c r="CW76" i="6"/>
  <c r="CX76" i="6"/>
  <c r="CY76" i="6"/>
  <c r="CZ76" i="6"/>
  <c r="DA76" i="6"/>
  <c r="DB76" i="6"/>
  <c r="DC76" i="6"/>
  <c r="DD76" i="6"/>
  <c r="DE76" i="6"/>
  <c r="DF76" i="6"/>
  <c r="DG76" i="6"/>
  <c r="DH76" i="6"/>
  <c r="DI76" i="6"/>
  <c r="DJ76" i="6"/>
  <c r="DK76" i="6"/>
  <c r="DL76" i="6"/>
  <c r="DM76" i="6"/>
  <c r="DN76" i="6"/>
  <c r="DO76" i="6"/>
  <c r="DP76" i="6"/>
  <c r="DQ76" i="6"/>
  <c r="DR76" i="6"/>
  <c r="DS76" i="6"/>
  <c r="DT76" i="6"/>
  <c r="DU76" i="6"/>
  <c r="DV76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BL77" i="6"/>
  <c r="BM77" i="6"/>
  <c r="BN77" i="6"/>
  <c r="BO77" i="6"/>
  <c r="BP77" i="6"/>
  <c r="BQ77" i="6"/>
  <c r="BR77" i="6"/>
  <c r="BS77" i="6"/>
  <c r="BT77" i="6"/>
  <c r="BU77" i="6"/>
  <c r="BV77" i="6"/>
  <c r="BW77" i="6"/>
  <c r="BX77" i="6"/>
  <c r="BY77" i="6"/>
  <c r="BZ77" i="6"/>
  <c r="CA77" i="6"/>
  <c r="CB77" i="6"/>
  <c r="CC77" i="6"/>
  <c r="CD77" i="6"/>
  <c r="CE77" i="6"/>
  <c r="CF77" i="6"/>
  <c r="CG77" i="6"/>
  <c r="CH77" i="6"/>
  <c r="CI77" i="6"/>
  <c r="CJ77" i="6"/>
  <c r="CK77" i="6"/>
  <c r="CL77" i="6"/>
  <c r="CM77" i="6"/>
  <c r="CN77" i="6"/>
  <c r="CO77" i="6"/>
  <c r="CP77" i="6"/>
  <c r="CQ77" i="6"/>
  <c r="CR77" i="6"/>
  <c r="CS77" i="6"/>
  <c r="CT77" i="6"/>
  <c r="CU77" i="6"/>
  <c r="CV77" i="6"/>
  <c r="CW77" i="6"/>
  <c r="CX77" i="6"/>
  <c r="CY77" i="6"/>
  <c r="CZ77" i="6"/>
  <c r="DA77" i="6"/>
  <c r="DB77" i="6"/>
  <c r="DC77" i="6"/>
  <c r="DD77" i="6"/>
  <c r="DE77" i="6"/>
  <c r="DF77" i="6"/>
  <c r="DG77" i="6"/>
  <c r="DH77" i="6"/>
  <c r="DI77" i="6"/>
  <c r="DJ77" i="6"/>
  <c r="DK77" i="6"/>
  <c r="DL77" i="6"/>
  <c r="DM77" i="6"/>
  <c r="DN77" i="6"/>
  <c r="DO77" i="6"/>
  <c r="DP77" i="6"/>
  <c r="DQ77" i="6"/>
  <c r="DR77" i="6"/>
  <c r="DS77" i="6"/>
  <c r="DT77" i="6"/>
  <c r="DU77" i="6"/>
  <c r="DV77" i="6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R4" i="10"/>
  <c r="BS4" i="10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D7" i="10"/>
  <c r="CE7" i="10"/>
  <c r="CF7" i="10"/>
  <c r="CG7" i="10"/>
  <c r="CH7" i="10"/>
  <c r="CI7" i="10"/>
  <c r="CJ7" i="10"/>
  <c r="CK7" i="10"/>
  <c r="CL7" i="10"/>
  <c r="CM7" i="10"/>
  <c r="CN7" i="10"/>
  <c r="CO7" i="10"/>
  <c r="CP7" i="10"/>
  <c r="CQ7" i="10"/>
  <c r="CR7" i="10"/>
  <c r="CS7" i="10"/>
  <c r="CT7" i="10"/>
  <c r="CU7" i="10"/>
  <c r="CV7" i="10"/>
  <c r="CW7" i="10"/>
  <c r="CX7" i="10"/>
  <c r="CY7" i="10"/>
  <c r="CZ7" i="10"/>
  <c r="DA7" i="10"/>
  <c r="DB7" i="10"/>
  <c r="DC7" i="10"/>
  <c r="DD7" i="10"/>
  <c r="DE7" i="10"/>
  <c r="DF7" i="10"/>
  <c r="DG7" i="10"/>
  <c r="DH7" i="10"/>
  <c r="DI7" i="10"/>
  <c r="DJ7" i="10"/>
  <c r="DK7" i="10"/>
  <c r="DL7" i="10"/>
  <c r="DM7" i="10"/>
  <c r="DN7" i="10"/>
  <c r="DO7" i="10"/>
  <c r="DP7" i="10"/>
  <c r="DQ7" i="10"/>
  <c r="DR7" i="10"/>
  <c r="DS7" i="10"/>
  <c r="DT7" i="10"/>
  <c r="DU7" i="10"/>
  <c r="DV7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M4" i="7"/>
  <c r="DN4" i="7"/>
  <c r="DO4" i="7"/>
  <c r="DP4" i="7"/>
  <c r="DQ4" i="7"/>
  <c r="DR4" i="7"/>
  <c r="DS4" i="7"/>
  <c r="DT4" i="7"/>
  <c r="DU4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U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BJ5" i="7"/>
  <c r="BK5" i="7"/>
  <c r="BL5" i="7"/>
  <c r="BM5" i="7"/>
  <c r="BN5" i="7"/>
  <c r="BO5" i="7"/>
  <c r="BP5" i="7"/>
  <c r="BQ5" i="7"/>
  <c r="BR5" i="7"/>
  <c r="BS5" i="7"/>
  <c r="BT5" i="7"/>
  <c r="BU5" i="7"/>
  <c r="BV5" i="7"/>
  <c r="BW5" i="7"/>
  <c r="BX5" i="7"/>
  <c r="BY5" i="7"/>
  <c r="BZ5" i="7"/>
  <c r="CA5" i="7"/>
  <c r="CB5" i="7"/>
  <c r="CC5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DO5" i="7"/>
  <c r="DP5" i="7"/>
  <c r="DQ5" i="7"/>
  <c r="DR5" i="7"/>
  <c r="DS5" i="7"/>
  <c r="DT5" i="7"/>
  <c r="DU5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DO6" i="7"/>
  <c r="DP6" i="7"/>
  <c r="DQ6" i="7"/>
  <c r="DR6" i="7"/>
  <c r="DS6" i="7"/>
  <c r="DT6" i="7"/>
  <c r="DU6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CA7" i="7"/>
  <c r="CB7" i="7"/>
  <c r="CC7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DO7" i="7"/>
  <c r="DP7" i="7"/>
  <c r="DQ7" i="7"/>
  <c r="DR7" i="7"/>
  <c r="DS7" i="7"/>
  <c r="DT7" i="7"/>
  <c r="DU7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CB8" i="7"/>
  <c r="CC8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M8" i="7"/>
  <c r="DN8" i="7"/>
  <c r="DO8" i="7"/>
  <c r="DP8" i="7"/>
  <c r="DQ8" i="7"/>
  <c r="DR8" i="7"/>
  <c r="DS8" i="7"/>
  <c r="DT8" i="7"/>
  <c r="DU8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CB9" i="7"/>
  <c r="CC9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DO9" i="7"/>
  <c r="DP9" i="7"/>
  <c r="DQ9" i="7"/>
  <c r="DR9" i="7"/>
  <c r="DS9" i="7"/>
  <c r="DT9" i="7"/>
  <c r="DU9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CB10" i="7"/>
  <c r="CC10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DO10" i="7"/>
  <c r="DP10" i="7"/>
  <c r="DQ10" i="7"/>
  <c r="DR10" i="7"/>
  <c r="DS10" i="7"/>
  <c r="DT10" i="7"/>
  <c r="DU10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CA11" i="7"/>
  <c r="CB11" i="7"/>
  <c r="CC11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DO11" i="7"/>
  <c r="DP11" i="7"/>
  <c r="DQ11" i="7"/>
  <c r="DR11" i="7"/>
  <c r="DS11" i="7"/>
  <c r="DT11" i="7"/>
  <c r="DU11" i="7"/>
  <c r="R12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CB12" i="7"/>
  <c r="CC12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DO12" i="7"/>
  <c r="DP12" i="7"/>
  <c r="DQ12" i="7"/>
  <c r="DR12" i="7"/>
  <c r="DS12" i="7"/>
  <c r="DT12" i="7"/>
  <c r="DU12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CB13" i="7"/>
  <c r="CC13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DO13" i="7"/>
  <c r="DP13" i="7"/>
  <c r="DQ13" i="7"/>
  <c r="DR13" i="7"/>
  <c r="DS13" i="7"/>
  <c r="DT13" i="7"/>
  <c r="DU13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CB14" i="7"/>
  <c r="CC14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DO14" i="7"/>
  <c r="DP14" i="7"/>
  <c r="DQ14" i="7"/>
  <c r="DR14" i="7"/>
  <c r="DS14" i="7"/>
  <c r="DT14" i="7"/>
  <c r="DU14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CA15" i="7"/>
  <c r="CB15" i="7"/>
  <c r="CC15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DO15" i="7"/>
  <c r="DP15" i="7"/>
  <c r="DQ15" i="7"/>
  <c r="DR15" i="7"/>
  <c r="DS15" i="7"/>
  <c r="DT15" i="7"/>
  <c r="DU15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CB16" i="7"/>
  <c r="CC16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N16" i="7"/>
  <c r="DO16" i="7"/>
  <c r="DP16" i="7"/>
  <c r="DQ16" i="7"/>
  <c r="DR16" i="7"/>
  <c r="DS16" i="7"/>
  <c r="DT16" i="7"/>
  <c r="DU16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CB17" i="7"/>
  <c r="CC17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DO17" i="7"/>
  <c r="DP17" i="7"/>
  <c r="DQ17" i="7"/>
  <c r="DR17" i="7"/>
  <c r="DS17" i="7"/>
  <c r="DT17" i="7"/>
  <c r="DU17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CB18" i="7"/>
  <c r="CC18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DO18" i="7"/>
  <c r="DP18" i="7"/>
  <c r="DQ18" i="7"/>
  <c r="DR18" i="7"/>
  <c r="DS18" i="7"/>
  <c r="DT18" i="7"/>
  <c r="DU18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CB19" i="7"/>
  <c r="CC19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DO19" i="7"/>
  <c r="DP19" i="7"/>
  <c r="DQ19" i="7"/>
  <c r="DR19" i="7"/>
  <c r="DS19" i="7"/>
  <c r="DT19" i="7"/>
  <c r="DU19" i="7"/>
  <c r="BJ75" i="6" l="1"/>
  <c r="BI75" i="6"/>
  <c r="BH75" i="6"/>
  <c r="BG75" i="6"/>
  <c r="BF75" i="6"/>
  <c r="BE75" i="6"/>
  <c r="BD75" i="6"/>
  <c r="BC75" i="6"/>
  <c r="AB75" i="6"/>
  <c r="AA75" i="6"/>
  <c r="Z75" i="6"/>
  <c r="Y75" i="6"/>
  <c r="X75" i="6"/>
  <c r="W75" i="6"/>
  <c r="V75" i="6"/>
  <c r="U75" i="6"/>
  <c r="BS72" i="6"/>
  <c r="BR72" i="6"/>
  <c r="BQ72" i="6"/>
  <c r="BP72" i="6"/>
  <c r="BM72" i="6"/>
  <c r="BL72" i="6"/>
  <c r="BK72" i="6"/>
  <c r="BJ72" i="6"/>
  <c r="BI72" i="6"/>
  <c r="BH72" i="6"/>
  <c r="BG72" i="6"/>
  <c r="BF72" i="6"/>
  <c r="AT72" i="6"/>
  <c r="AS72" i="6"/>
  <c r="AR72" i="6"/>
  <c r="AQ72" i="6"/>
  <c r="AL72" i="6"/>
  <c r="AK72" i="6"/>
  <c r="AJ72" i="6"/>
  <c r="AI72" i="6"/>
  <c r="AH72" i="6"/>
  <c r="AG72" i="6"/>
  <c r="AF72" i="6"/>
  <c r="AE72" i="6"/>
  <c r="AD72" i="6"/>
  <c r="AC72" i="6"/>
  <c r="AB72" i="6"/>
  <c r="AA72" i="6"/>
  <c r="BW68" i="6"/>
  <c r="BV68" i="6"/>
  <c r="BU68" i="6"/>
  <c r="BT68" i="6"/>
  <c r="BP68" i="6"/>
  <c r="BO68" i="6"/>
  <c r="BN68" i="6"/>
  <c r="BM68" i="6"/>
  <c r="BL68" i="6"/>
  <c r="BK68" i="6"/>
  <c r="BJ68" i="6"/>
  <c r="BI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BP65" i="6"/>
  <c r="BO65" i="6"/>
  <c r="BN65" i="6"/>
  <c r="BM65" i="6"/>
  <c r="BL65" i="6"/>
  <c r="BK65" i="6"/>
  <c r="BJ65" i="6"/>
  <c r="BI65" i="6"/>
  <c r="AF65" i="6"/>
  <c r="AE65" i="6"/>
  <c r="AD65" i="6"/>
  <c r="AC65" i="6"/>
  <c r="AB65" i="6"/>
  <c r="AA65" i="6"/>
  <c r="Z65" i="6"/>
  <c r="Y65" i="6"/>
  <c r="BN58" i="6"/>
  <c r="BM58" i="6"/>
  <c r="BL58" i="6"/>
  <c r="BK58" i="6"/>
  <c r="BH58" i="6"/>
  <c r="BG58" i="6"/>
  <c r="BF58" i="6"/>
  <c r="BE58" i="6"/>
  <c r="AB58" i="6"/>
  <c r="AA58" i="6"/>
  <c r="Z58" i="6"/>
  <c r="Y58" i="6"/>
  <c r="V58" i="6"/>
  <c r="U58" i="6"/>
  <c r="T58" i="6"/>
  <c r="S58" i="6"/>
  <c r="BS50" i="6"/>
  <c r="BR50" i="6"/>
  <c r="BQ50" i="6"/>
  <c r="BP50" i="6"/>
  <c r="BO50" i="6"/>
  <c r="BN50" i="6"/>
  <c r="BM50" i="6"/>
  <c r="BL50" i="6"/>
  <c r="BK50" i="6"/>
  <c r="BJ50" i="6"/>
  <c r="BI50" i="6"/>
  <c r="BH50" i="6"/>
  <c r="AF50" i="6"/>
  <c r="AE50" i="6"/>
  <c r="AD50" i="6"/>
  <c r="AC50" i="6"/>
  <c r="AB50" i="6"/>
  <c r="AA50" i="6"/>
  <c r="Z50" i="6"/>
  <c r="Y50" i="6"/>
  <c r="BF48" i="6"/>
  <c r="BE48" i="6"/>
  <c r="BD48" i="6"/>
  <c r="BC48" i="6"/>
  <c r="BB48" i="6"/>
  <c r="BA48" i="6"/>
  <c r="AZ48" i="6"/>
  <c r="AY48" i="6"/>
  <c r="X48" i="6"/>
  <c r="W48" i="6"/>
  <c r="V48" i="6"/>
  <c r="U48" i="6"/>
  <c r="BJ35" i="6"/>
  <c r="BI35" i="6"/>
  <c r="BH35" i="6"/>
  <c r="BG35" i="6"/>
  <c r="BD35" i="6"/>
  <c r="BC35" i="6"/>
  <c r="BB35" i="6"/>
  <c r="BA35" i="6"/>
  <c r="BE31" i="6"/>
  <c r="BD31" i="6"/>
  <c r="BC31" i="6"/>
  <c r="BB31" i="6"/>
  <c r="BA31" i="6"/>
  <c r="AZ31" i="6"/>
  <c r="AY31" i="6"/>
  <c r="AX31" i="6"/>
  <c r="AL31" i="6"/>
  <c r="AK31" i="6"/>
  <c r="AJ31" i="6"/>
  <c r="AI31" i="6"/>
  <c r="U31" i="6"/>
  <c r="T31" i="6"/>
  <c r="S31" i="6"/>
  <c r="CF29" i="6"/>
  <c r="CE29" i="6"/>
  <c r="BE29" i="6"/>
  <c r="BD29" i="6"/>
  <c r="BC29" i="6"/>
  <c r="BB29" i="6"/>
  <c r="BA29" i="6"/>
  <c r="AZ29" i="6"/>
  <c r="AY29" i="6"/>
  <c r="AX29" i="6"/>
  <c r="AJ29" i="6"/>
  <c r="AI29" i="6"/>
  <c r="AH29" i="6"/>
  <c r="AG29" i="6"/>
  <c r="AF29" i="6"/>
  <c r="AE29" i="6"/>
  <c r="AD29" i="6"/>
  <c r="AC29" i="6"/>
  <c r="Z29" i="6"/>
  <c r="Y29" i="6"/>
  <c r="X29" i="6"/>
  <c r="W29" i="6"/>
  <c r="CF28" i="6"/>
  <c r="BF28" i="6"/>
  <c r="BE28" i="6"/>
  <c r="BD28" i="6"/>
  <c r="BC28" i="6"/>
  <c r="BB28" i="6"/>
  <c r="BA28" i="6"/>
  <c r="AZ28" i="6"/>
  <c r="AY28" i="6"/>
  <c r="AJ28" i="6"/>
  <c r="AI28" i="6"/>
  <c r="AH28" i="6"/>
  <c r="AG28" i="6"/>
  <c r="AF28" i="6"/>
  <c r="AE28" i="6"/>
  <c r="AD28" i="6"/>
  <c r="AC28" i="6"/>
  <c r="AA28" i="6"/>
  <c r="Z28" i="6"/>
  <c r="Y28" i="6"/>
  <c r="X28" i="6"/>
  <c r="CF26" i="6"/>
  <c r="CE26" i="6"/>
  <c r="CD26" i="6"/>
  <c r="BQ26" i="6"/>
  <c r="BP26" i="6"/>
  <c r="BO26" i="6"/>
  <c r="BN26" i="6"/>
  <c r="BM26" i="6"/>
  <c r="BL26" i="6"/>
  <c r="BK26" i="6"/>
  <c r="BJ26" i="6"/>
  <c r="BG26" i="6"/>
  <c r="BF26" i="6"/>
  <c r="BE26" i="6"/>
  <c r="BD26" i="6"/>
  <c r="AC26" i="6"/>
  <c r="AB26" i="6"/>
  <c r="AA26" i="6"/>
  <c r="Z26" i="6"/>
  <c r="Y26" i="6"/>
  <c r="X26" i="6"/>
  <c r="W26" i="6"/>
  <c r="V26" i="6"/>
  <c r="BS24" i="6"/>
  <c r="BR24" i="6"/>
  <c r="BQ24" i="6"/>
  <c r="BP24" i="6"/>
  <c r="BO24" i="6"/>
  <c r="BN24" i="6"/>
  <c r="BM24" i="6"/>
  <c r="BL24" i="6"/>
  <c r="BK24" i="6"/>
  <c r="BJ24" i="6"/>
  <c r="BI24" i="6"/>
  <c r="BH24" i="6"/>
  <c r="AG24" i="6"/>
  <c r="AF24" i="6"/>
  <c r="AE24" i="6"/>
  <c r="AD24" i="6"/>
  <c r="AC24" i="6"/>
  <c r="AB24" i="6"/>
  <c r="AA24" i="6"/>
  <c r="Z24" i="6"/>
  <c r="BI21" i="6"/>
  <c r="BH21" i="6"/>
  <c r="BG21" i="6"/>
  <c r="BF21" i="6"/>
  <c r="BE21" i="6"/>
  <c r="BD21" i="6"/>
  <c r="BC21" i="6"/>
  <c r="BB21" i="6"/>
  <c r="AB21" i="6"/>
  <c r="AA21" i="6"/>
  <c r="Z21" i="6"/>
  <c r="Y21" i="6"/>
  <c r="X21" i="6"/>
  <c r="W21" i="6"/>
  <c r="V21" i="6"/>
  <c r="U21" i="6"/>
  <c r="BJ19" i="6"/>
  <c r="BI19" i="6"/>
  <c r="BH19" i="6"/>
  <c r="BG19" i="6"/>
  <c r="BD19" i="6"/>
  <c r="BC19" i="6"/>
  <c r="BB19" i="6"/>
  <c r="BA19" i="6"/>
  <c r="AB19" i="6"/>
  <c r="AA19" i="6"/>
  <c r="Z19" i="6"/>
  <c r="Y19" i="6"/>
  <c r="X19" i="6"/>
  <c r="W19" i="6"/>
  <c r="V19" i="6"/>
  <c r="U19" i="6"/>
  <c r="CF18" i="6"/>
  <c r="CE18" i="6"/>
  <c r="CD18" i="6"/>
  <c r="BC18" i="6"/>
  <c r="BB18" i="6"/>
  <c r="BA18" i="6"/>
  <c r="AZ18" i="6"/>
  <c r="AY18" i="6"/>
  <c r="AX18" i="6"/>
  <c r="AW18" i="6"/>
  <c r="AV18" i="6"/>
  <c r="AF18" i="6"/>
  <c r="AE18" i="6"/>
  <c r="AD18" i="6"/>
  <c r="AC18" i="6"/>
  <c r="X18" i="6"/>
  <c r="W18" i="6"/>
  <c r="V18" i="6"/>
  <c r="U18" i="6"/>
  <c r="CF16" i="6"/>
  <c r="CE16" i="6"/>
  <c r="CD16" i="6"/>
  <c r="CC16" i="6"/>
  <c r="BQ16" i="6"/>
  <c r="BP16" i="6"/>
  <c r="BO16" i="6"/>
  <c r="BN16" i="6"/>
  <c r="BM16" i="6"/>
  <c r="BL16" i="6"/>
  <c r="BK16" i="6"/>
  <c r="BJ16" i="6"/>
  <c r="BG16" i="6"/>
  <c r="BF16" i="6"/>
  <c r="BE16" i="6"/>
  <c r="BD16" i="6"/>
  <c r="AM16" i="6"/>
  <c r="AL16" i="6"/>
  <c r="AK16" i="6"/>
  <c r="AJ16" i="6"/>
  <c r="X16" i="6"/>
  <c r="W16" i="6"/>
  <c r="V16" i="6"/>
  <c r="U16" i="6"/>
  <c r="CD13" i="6"/>
  <c r="CC13" i="6"/>
  <c r="CB13" i="6"/>
  <c r="CA13" i="6"/>
  <c r="BZ13" i="6"/>
  <c r="BY13" i="6"/>
  <c r="BX13" i="6"/>
  <c r="BW13" i="6"/>
  <c r="BV13" i="6"/>
  <c r="BU13" i="6"/>
  <c r="BT13" i="6"/>
  <c r="BE13" i="6"/>
  <c r="BD13" i="6"/>
  <c r="BC13" i="6"/>
  <c r="BB13" i="6"/>
  <c r="BA13" i="6"/>
  <c r="AZ13" i="6"/>
  <c r="AY13" i="6"/>
  <c r="AX13" i="6"/>
  <c r="AW13" i="6"/>
  <c r="AV13" i="6"/>
  <c r="AU13" i="6"/>
  <c r="AT13" i="6"/>
  <c r="AF13" i="6"/>
  <c r="AE13" i="6"/>
  <c r="AD13" i="6"/>
  <c r="AC13" i="6"/>
  <c r="U13" i="6"/>
  <c r="T13" i="6"/>
  <c r="S13" i="6"/>
  <c r="CF12" i="6"/>
  <c r="CE12" i="6"/>
  <c r="BQ12" i="6"/>
  <c r="BP12" i="6"/>
  <c r="BO12" i="6"/>
  <c r="BN12" i="6"/>
  <c r="BM12" i="6"/>
  <c r="BL12" i="6"/>
  <c r="BK12" i="6"/>
  <c r="BJ12" i="6"/>
  <c r="BH12" i="6"/>
  <c r="BG12" i="6"/>
  <c r="BF12" i="6"/>
  <c r="BE12" i="6"/>
  <c r="AP12" i="6"/>
  <c r="AO12" i="6"/>
  <c r="AN12" i="6"/>
  <c r="AM12" i="6"/>
  <c r="AB12" i="6"/>
  <c r="AA12" i="6"/>
  <c r="Z12" i="6"/>
  <c r="Y12" i="6"/>
  <c r="W12" i="6"/>
  <c r="V12" i="6"/>
  <c r="U12" i="6"/>
  <c r="T12" i="6"/>
  <c r="BU11" i="6"/>
  <c r="BT11" i="6"/>
  <c r="BS11" i="6"/>
  <c r="BR11" i="6"/>
  <c r="BP11" i="6"/>
  <c r="BO11" i="6"/>
  <c r="BN11" i="6"/>
  <c r="BM11" i="6"/>
  <c r="BL11" i="6"/>
  <c r="BK11" i="6"/>
  <c r="BJ11" i="6"/>
  <c r="BI11" i="6"/>
  <c r="Y11" i="6"/>
  <c r="X11" i="6"/>
  <c r="W11" i="6"/>
  <c r="V11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Q9" i="6"/>
  <c r="BA9" i="6"/>
  <c r="AZ9" i="6"/>
  <c r="AY9" i="6"/>
  <c r="AX9" i="6"/>
  <c r="AW9" i="6"/>
  <c r="AV9" i="6"/>
  <c r="AU9" i="6"/>
  <c r="AT9" i="6"/>
  <c r="AS9" i="6"/>
  <c r="AR9" i="6"/>
  <c r="AQ9" i="6"/>
  <c r="AP9" i="6"/>
  <c r="AG9" i="6"/>
  <c r="AF9" i="6"/>
  <c r="AE9" i="6"/>
  <c r="AD9" i="6"/>
  <c r="BN7" i="6"/>
  <c r="BM7" i="6"/>
  <c r="BL7" i="6"/>
  <c r="BK7" i="6"/>
  <c r="BH7" i="6"/>
  <c r="BG7" i="6"/>
  <c r="BF7" i="6"/>
  <c r="BE7" i="6"/>
  <c r="X7" i="6"/>
  <c r="W7" i="6"/>
  <c r="V7" i="6"/>
  <c r="U7" i="6"/>
  <c r="S7" i="6"/>
  <c r="CF5" i="6"/>
  <c r="CE5" i="6"/>
  <c r="CD5" i="6"/>
  <c r="CC5" i="6"/>
  <c r="CB5" i="6"/>
  <c r="CA5" i="6"/>
  <c r="BZ5" i="6"/>
  <c r="BQ5" i="6"/>
  <c r="BP5" i="6"/>
  <c r="BO5" i="6"/>
  <c r="BN5" i="6"/>
  <c r="BI5" i="6"/>
  <c r="BH5" i="6"/>
  <c r="BG5" i="6"/>
  <c r="BF5" i="6"/>
  <c r="BD5" i="6"/>
  <c r="BC5" i="6"/>
  <c r="BB5" i="6"/>
  <c r="BA5" i="6"/>
  <c r="AF5" i="6"/>
  <c r="AE5" i="6"/>
  <c r="AD5" i="6"/>
  <c r="AC5" i="6"/>
  <c r="X5" i="6"/>
  <c r="W5" i="6"/>
  <c r="V5" i="6"/>
  <c r="U5" i="6"/>
  <c r="BN4" i="6"/>
  <c r="BM4" i="6"/>
  <c r="BL4" i="6"/>
  <c r="BK4" i="6"/>
  <c r="BI4" i="6"/>
  <c r="BH4" i="6"/>
  <c r="BG4" i="6"/>
  <c r="BF4" i="6"/>
  <c r="AF4" i="6"/>
  <c r="AE4" i="6"/>
  <c r="AD4" i="6"/>
  <c r="AC4" i="6"/>
  <c r="AB4" i="6"/>
  <c r="AA4" i="6"/>
  <c r="Z4" i="6"/>
  <c r="Y4" i="6"/>
  <c r="R11" i="11" l="1"/>
  <c r="Q11" i="11"/>
  <c r="P11" i="11"/>
  <c r="O11" i="11"/>
  <c r="N11" i="11"/>
  <c r="M11" i="11"/>
  <c r="L11" i="11"/>
  <c r="K11" i="11"/>
  <c r="J11" i="11"/>
  <c r="I11" i="11"/>
  <c r="H11" i="11"/>
  <c r="G11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R9" i="11"/>
  <c r="Q9" i="11"/>
  <c r="P9" i="11"/>
  <c r="O9" i="11"/>
  <c r="N9" i="11"/>
  <c r="M9" i="11"/>
  <c r="L9" i="11"/>
  <c r="K9" i="11"/>
  <c r="J9" i="11"/>
  <c r="I9" i="11"/>
  <c r="H9" i="11"/>
  <c r="G9" i="11"/>
  <c r="R8" i="11"/>
  <c r="Q8" i="11"/>
  <c r="P8" i="11"/>
  <c r="O8" i="11"/>
  <c r="N8" i="11"/>
  <c r="M8" i="11"/>
  <c r="L8" i="11"/>
  <c r="K8" i="11"/>
  <c r="J8" i="11"/>
  <c r="I8" i="11"/>
  <c r="H8" i="11"/>
  <c r="G8" i="11"/>
  <c r="R7" i="11"/>
  <c r="Q7" i="11"/>
  <c r="P7" i="11"/>
  <c r="O7" i="11"/>
  <c r="N7" i="11"/>
  <c r="M7" i="11"/>
  <c r="L7" i="11"/>
  <c r="K7" i="11"/>
  <c r="J7" i="11"/>
  <c r="I7" i="11"/>
  <c r="H7" i="11"/>
  <c r="G7" i="11"/>
  <c r="R6" i="11"/>
  <c r="Q6" i="11"/>
  <c r="P6" i="11"/>
  <c r="O6" i="11"/>
  <c r="N6" i="11"/>
  <c r="M6" i="11"/>
  <c r="L6" i="11"/>
  <c r="K6" i="11"/>
  <c r="J6" i="11"/>
  <c r="I6" i="11"/>
  <c r="H6" i="11"/>
  <c r="G6" i="11"/>
  <c r="R5" i="11"/>
  <c r="Q5" i="11"/>
  <c r="P5" i="11"/>
  <c r="O5" i="11"/>
  <c r="N5" i="11"/>
  <c r="M5" i="11"/>
  <c r="L5" i="11"/>
  <c r="K5" i="11"/>
  <c r="J5" i="11"/>
  <c r="I5" i="11"/>
  <c r="H5" i="11"/>
  <c r="G5" i="11"/>
  <c r="R4" i="11"/>
  <c r="Q4" i="11"/>
  <c r="P4" i="11"/>
  <c r="O4" i="11"/>
  <c r="N4" i="11"/>
  <c r="M4" i="11"/>
  <c r="L4" i="11"/>
  <c r="K4" i="11"/>
  <c r="J4" i="11"/>
  <c r="I4" i="11"/>
  <c r="H4" i="11"/>
  <c r="G4" i="11"/>
  <c r="H12" i="6"/>
  <c r="I12" i="6"/>
  <c r="J12" i="6"/>
  <c r="K12" i="6"/>
  <c r="L12" i="6"/>
  <c r="M12" i="6"/>
  <c r="N12" i="6"/>
  <c r="O12" i="6"/>
  <c r="P12" i="6"/>
  <c r="Q12" i="6"/>
  <c r="R12" i="6"/>
  <c r="H13" i="6"/>
  <c r="I13" i="6"/>
  <c r="J13" i="6"/>
  <c r="K13" i="6"/>
  <c r="L13" i="6"/>
  <c r="M13" i="6"/>
  <c r="N13" i="6"/>
  <c r="O13" i="6"/>
  <c r="P13" i="6"/>
  <c r="Q13" i="6"/>
  <c r="R13" i="6"/>
  <c r="H14" i="6"/>
  <c r="I14" i="6"/>
  <c r="J14" i="6"/>
  <c r="K14" i="6"/>
  <c r="L14" i="6"/>
  <c r="M14" i="6"/>
  <c r="N14" i="6"/>
  <c r="O14" i="6"/>
  <c r="P14" i="6"/>
  <c r="Q14" i="6"/>
  <c r="R14" i="6"/>
  <c r="H15" i="6"/>
  <c r="I15" i="6"/>
  <c r="J15" i="6"/>
  <c r="K15" i="6"/>
  <c r="L15" i="6"/>
  <c r="M15" i="6"/>
  <c r="N15" i="6"/>
  <c r="O15" i="6"/>
  <c r="P15" i="6"/>
  <c r="Q15" i="6"/>
  <c r="R15" i="6"/>
  <c r="H16" i="6"/>
  <c r="I16" i="6"/>
  <c r="J16" i="6"/>
  <c r="K16" i="6"/>
  <c r="L16" i="6"/>
  <c r="M16" i="6"/>
  <c r="N16" i="6"/>
  <c r="O16" i="6"/>
  <c r="P16" i="6"/>
  <c r="Q16" i="6"/>
  <c r="R16" i="6"/>
  <c r="H17" i="6"/>
  <c r="I17" i="6"/>
  <c r="J17" i="6"/>
  <c r="K17" i="6"/>
  <c r="L17" i="6"/>
  <c r="M17" i="6"/>
  <c r="N17" i="6"/>
  <c r="O17" i="6"/>
  <c r="P17" i="6"/>
  <c r="Q17" i="6"/>
  <c r="R17" i="6"/>
  <c r="H18" i="6"/>
  <c r="I18" i="6"/>
  <c r="J18" i="6"/>
  <c r="K18" i="6"/>
  <c r="L18" i="6"/>
  <c r="M18" i="6"/>
  <c r="N18" i="6"/>
  <c r="O18" i="6"/>
  <c r="P18" i="6"/>
  <c r="Q18" i="6"/>
  <c r="R18" i="6"/>
  <c r="H19" i="6"/>
  <c r="I19" i="6"/>
  <c r="J19" i="6"/>
  <c r="K19" i="6"/>
  <c r="L19" i="6"/>
  <c r="M19" i="6"/>
  <c r="N19" i="6"/>
  <c r="O19" i="6"/>
  <c r="P19" i="6"/>
  <c r="Q19" i="6"/>
  <c r="R19" i="6"/>
  <c r="H20" i="6"/>
  <c r="I20" i="6"/>
  <c r="J20" i="6"/>
  <c r="K20" i="6"/>
  <c r="L20" i="6"/>
  <c r="M20" i="6"/>
  <c r="N20" i="6"/>
  <c r="O20" i="6"/>
  <c r="P20" i="6"/>
  <c r="Q20" i="6"/>
  <c r="R20" i="6"/>
  <c r="H21" i="6"/>
  <c r="I21" i="6"/>
  <c r="J21" i="6"/>
  <c r="K21" i="6"/>
  <c r="L21" i="6"/>
  <c r="M21" i="6"/>
  <c r="N21" i="6"/>
  <c r="O21" i="6"/>
  <c r="P21" i="6"/>
  <c r="Q21" i="6"/>
  <c r="R21" i="6"/>
  <c r="H22" i="6"/>
  <c r="I22" i="6"/>
  <c r="J22" i="6"/>
  <c r="K22" i="6"/>
  <c r="L22" i="6"/>
  <c r="M22" i="6"/>
  <c r="N22" i="6"/>
  <c r="O22" i="6"/>
  <c r="P22" i="6"/>
  <c r="Q22" i="6"/>
  <c r="R22" i="6"/>
  <c r="H23" i="6"/>
  <c r="I23" i="6"/>
  <c r="J23" i="6"/>
  <c r="K23" i="6"/>
  <c r="L23" i="6"/>
  <c r="M23" i="6"/>
  <c r="N23" i="6"/>
  <c r="O23" i="6"/>
  <c r="P23" i="6"/>
  <c r="Q23" i="6"/>
  <c r="R23" i="6"/>
  <c r="H24" i="6"/>
  <c r="I24" i="6"/>
  <c r="J24" i="6"/>
  <c r="K24" i="6"/>
  <c r="L24" i="6"/>
  <c r="M24" i="6"/>
  <c r="N24" i="6"/>
  <c r="O24" i="6"/>
  <c r="P24" i="6"/>
  <c r="Q24" i="6"/>
  <c r="R24" i="6"/>
  <c r="H25" i="6"/>
  <c r="I25" i="6"/>
  <c r="J25" i="6"/>
  <c r="K25" i="6"/>
  <c r="L25" i="6"/>
  <c r="M25" i="6"/>
  <c r="N25" i="6"/>
  <c r="O25" i="6"/>
  <c r="P25" i="6"/>
  <c r="Q25" i="6"/>
  <c r="R25" i="6"/>
  <c r="H26" i="6"/>
  <c r="I26" i="6"/>
  <c r="J26" i="6"/>
  <c r="K26" i="6"/>
  <c r="L26" i="6"/>
  <c r="M26" i="6"/>
  <c r="N26" i="6"/>
  <c r="O26" i="6"/>
  <c r="P26" i="6"/>
  <c r="Q26" i="6"/>
  <c r="R26" i="6"/>
  <c r="H27" i="6"/>
  <c r="I27" i="6"/>
  <c r="J27" i="6"/>
  <c r="K27" i="6"/>
  <c r="L27" i="6"/>
  <c r="M27" i="6"/>
  <c r="N27" i="6"/>
  <c r="O27" i="6"/>
  <c r="P27" i="6"/>
  <c r="Q27" i="6"/>
  <c r="R27" i="6"/>
  <c r="H28" i="6"/>
  <c r="I28" i="6"/>
  <c r="J28" i="6"/>
  <c r="K28" i="6"/>
  <c r="L28" i="6"/>
  <c r="M28" i="6"/>
  <c r="N28" i="6"/>
  <c r="O28" i="6"/>
  <c r="P28" i="6"/>
  <c r="Q28" i="6"/>
  <c r="R28" i="6"/>
  <c r="H29" i="6"/>
  <c r="I29" i="6"/>
  <c r="J29" i="6"/>
  <c r="K29" i="6"/>
  <c r="L29" i="6"/>
  <c r="M29" i="6"/>
  <c r="N29" i="6"/>
  <c r="O29" i="6"/>
  <c r="P29" i="6"/>
  <c r="Q29" i="6"/>
  <c r="R29" i="6"/>
  <c r="H30" i="6"/>
  <c r="I30" i="6"/>
  <c r="J30" i="6"/>
  <c r="K30" i="6"/>
  <c r="L30" i="6"/>
  <c r="M30" i="6"/>
  <c r="N30" i="6"/>
  <c r="O30" i="6"/>
  <c r="P30" i="6"/>
  <c r="Q30" i="6"/>
  <c r="R30" i="6"/>
  <c r="H31" i="6"/>
  <c r="I31" i="6"/>
  <c r="J31" i="6"/>
  <c r="K31" i="6"/>
  <c r="L31" i="6"/>
  <c r="M31" i="6"/>
  <c r="N31" i="6"/>
  <c r="O31" i="6"/>
  <c r="P31" i="6"/>
  <c r="Q31" i="6"/>
  <c r="R31" i="6"/>
  <c r="H32" i="6"/>
  <c r="I32" i="6"/>
  <c r="J32" i="6"/>
  <c r="K32" i="6"/>
  <c r="L32" i="6"/>
  <c r="M32" i="6"/>
  <c r="N32" i="6"/>
  <c r="O32" i="6"/>
  <c r="P32" i="6"/>
  <c r="Q32" i="6"/>
  <c r="R32" i="6"/>
  <c r="H33" i="6"/>
  <c r="I33" i="6"/>
  <c r="J33" i="6"/>
  <c r="K33" i="6"/>
  <c r="L33" i="6"/>
  <c r="M33" i="6"/>
  <c r="N33" i="6"/>
  <c r="O33" i="6"/>
  <c r="P33" i="6"/>
  <c r="Q33" i="6"/>
  <c r="R33" i="6"/>
  <c r="H34" i="6"/>
  <c r="I34" i="6"/>
  <c r="J34" i="6"/>
  <c r="K34" i="6"/>
  <c r="L34" i="6"/>
  <c r="M34" i="6"/>
  <c r="N34" i="6"/>
  <c r="O34" i="6"/>
  <c r="P34" i="6"/>
  <c r="Q34" i="6"/>
  <c r="R34" i="6"/>
  <c r="H35" i="6"/>
  <c r="I35" i="6"/>
  <c r="J35" i="6"/>
  <c r="K35" i="6"/>
  <c r="L35" i="6"/>
  <c r="M35" i="6"/>
  <c r="N35" i="6"/>
  <c r="O35" i="6"/>
  <c r="P35" i="6"/>
  <c r="Q35" i="6"/>
  <c r="R35" i="6"/>
  <c r="H36" i="6"/>
  <c r="I36" i="6"/>
  <c r="J36" i="6"/>
  <c r="K36" i="6"/>
  <c r="L36" i="6"/>
  <c r="M36" i="6"/>
  <c r="N36" i="6"/>
  <c r="O36" i="6"/>
  <c r="P36" i="6"/>
  <c r="Q36" i="6"/>
  <c r="R36" i="6"/>
  <c r="H37" i="6"/>
  <c r="I37" i="6"/>
  <c r="J37" i="6"/>
  <c r="K37" i="6"/>
  <c r="L37" i="6"/>
  <c r="M37" i="6"/>
  <c r="N37" i="6"/>
  <c r="O37" i="6"/>
  <c r="P37" i="6"/>
  <c r="Q37" i="6"/>
  <c r="R37" i="6"/>
  <c r="H38" i="6"/>
  <c r="I38" i="6"/>
  <c r="J38" i="6"/>
  <c r="K38" i="6"/>
  <c r="L38" i="6"/>
  <c r="M38" i="6"/>
  <c r="N38" i="6"/>
  <c r="O38" i="6"/>
  <c r="P38" i="6"/>
  <c r="Q38" i="6"/>
  <c r="R38" i="6"/>
  <c r="H39" i="6"/>
  <c r="I39" i="6"/>
  <c r="J39" i="6"/>
  <c r="K39" i="6"/>
  <c r="L39" i="6"/>
  <c r="M39" i="6"/>
  <c r="N39" i="6"/>
  <c r="O39" i="6"/>
  <c r="P39" i="6"/>
  <c r="Q39" i="6"/>
  <c r="R39" i="6"/>
  <c r="H40" i="6"/>
  <c r="I40" i="6"/>
  <c r="J40" i="6"/>
  <c r="K40" i="6"/>
  <c r="L40" i="6"/>
  <c r="M40" i="6"/>
  <c r="N40" i="6"/>
  <c r="O40" i="6"/>
  <c r="P40" i="6"/>
  <c r="Q40" i="6"/>
  <c r="R40" i="6"/>
  <c r="H41" i="6"/>
  <c r="I41" i="6"/>
  <c r="J41" i="6"/>
  <c r="K41" i="6"/>
  <c r="L41" i="6"/>
  <c r="M41" i="6"/>
  <c r="N41" i="6"/>
  <c r="O41" i="6"/>
  <c r="P41" i="6"/>
  <c r="Q41" i="6"/>
  <c r="R41" i="6"/>
  <c r="H42" i="6"/>
  <c r="I42" i="6"/>
  <c r="J42" i="6"/>
  <c r="K42" i="6"/>
  <c r="L42" i="6"/>
  <c r="M42" i="6"/>
  <c r="N42" i="6"/>
  <c r="O42" i="6"/>
  <c r="P42" i="6"/>
  <c r="Q42" i="6"/>
  <c r="R42" i="6"/>
  <c r="H43" i="6"/>
  <c r="I43" i="6"/>
  <c r="J43" i="6"/>
  <c r="K43" i="6"/>
  <c r="L43" i="6"/>
  <c r="M43" i="6"/>
  <c r="N43" i="6"/>
  <c r="O43" i="6"/>
  <c r="P43" i="6"/>
  <c r="Q43" i="6"/>
  <c r="R43" i="6"/>
  <c r="H44" i="6"/>
  <c r="I44" i="6"/>
  <c r="J44" i="6"/>
  <c r="K44" i="6"/>
  <c r="L44" i="6"/>
  <c r="M44" i="6"/>
  <c r="N44" i="6"/>
  <c r="O44" i="6"/>
  <c r="P44" i="6"/>
  <c r="Q44" i="6"/>
  <c r="R44" i="6"/>
  <c r="H45" i="6"/>
  <c r="I45" i="6"/>
  <c r="J45" i="6"/>
  <c r="K45" i="6"/>
  <c r="L45" i="6"/>
  <c r="M45" i="6"/>
  <c r="N45" i="6"/>
  <c r="O45" i="6"/>
  <c r="P45" i="6"/>
  <c r="Q45" i="6"/>
  <c r="R45" i="6"/>
  <c r="H46" i="6"/>
  <c r="I46" i="6"/>
  <c r="J46" i="6"/>
  <c r="K46" i="6"/>
  <c r="L46" i="6"/>
  <c r="M46" i="6"/>
  <c r="N46" i="6"/>
  <c r="O46" i="6"/>
  <c r="P46" i="6"/>
  <c r="Q46" i="6"/>
  <c r="R46" i="6"/>
  <c r="H47" i="6"/>
  <c r="I47" i="6"/>
  <c r="J47" i="6"/>
  <c r="K47" i="6"/>
  <c r="L47" i="6"/>
  <c r="M47" i="6"/>
  <c r="N47" i="6"/>
  <c r="O47" i="6"/>
  <c r="P47" i="6"/>
  <c r="Q47" i="6"/>
  <c r="R47" i="6"/>
  <c r="H48" i="6"/>
  <c r="I48" i="6"/>
  <c r="J48" i="6"/>
  <c r="K48" i="6"/>
  <c r="L48" i="6"/>
  <c r="M48" i="6"/>
  <c r="N48" i="6"/>
  <c r="O48" i="6"/>
  <c r="P48" i="6"/>
  <c r="Q48" i="6"/>
  <c r="R48" i="6"/>
  <c r="H49" i="6"/>
  <c r="I49" i="6"/>
  <c r="J49" i="6"/>
  <c r="K49" i="6"/>
  <c r="L49" i="6"/>
  <c r="M49" i="6"/>
  <c r="N49" i="6"/>
  <c r="O49" i="6"/>
  <c r="P49" i="6"/>
  <c r="Q49" i="6"/>
  <c r="R49" i="6"/>
  <c r="H50" i="6"/>
  <c r="I50" i="6"/>
  <c r="J50" i="6"/>
  <c r="K50" i="6"/>
  <c r="L50" i="6"/>
  <c r="M50" i="6"/>
  <c r="N50" i="6"/>
  <c r="O50" i="6"/>
  <c r="P50" i="6"/>
  <c r="Q50" i="6"/>
  <c r="R50" i="6"/>
  <c r="H51" i="6"/>
  <c r="I51" i="6"/>
  <c r="J51" i="6"/>
  <c r="K51" i="6"/>
  <c r="L51" i="6"/>
  <c r="M51" i="6"/>
  <c r="N51" i="6"/>
  <c r="O51" i="6"/>
  <c r="P51" i="6"/>
  <c r="Q51" i="6"/>
  <c r="R51" i="6"/>
  <c r="H52" i="6"/>
  <c r="I52" i="6"/>
  <c r="J52" i="6"/>
  <c r="K52" i="6"/>
  <c r="L52" i="6"/>
  <c r="M52" i="6"/>
  <c r="N52" i="6"/>
  <c r="O52" i="6"/>
  <c r="P52" i="6"/>
  <c r="Q52" i="6"/>
  <c r="R52" i="6"/>
  <c r="H53" i="6"/>
  <c r="I53" i="6"/>
  <c r="J53" i="6"/>
  <c r="K53" i="6"/>
  <c r="L53" i="6"/>
  <c r="M53" i="6"/>
  <c r="N53" i="6"/>
  <c r="O53" i="6"/>
  <c r="P53" i="6"/>
  <c r="Q53" i="6"/>
  <c r="R53" i="6"/>
  <c r="H54" i="6"/>
  <c r="I54" i="6"/>
  <c r="J54" i="6"/>
  <c r="K54" i="6"/>
  <c r="L54" i="6"/>
  <c r="M54" i="6"/>
  <c r="N54" i="6"/>
  <c r="O54" i="6"/>
  <c r="P54" i="6"/>
  <c r="Q54" i="6"/>
  <c r="R54" i="6"/>
  <c r="H55" i="6"/>
  <c r="I55" i="6"/>
  <c r="J55" i="6"/>
  <c r="K55" i="6"/>
  <c r="L55" i="6"/>
  <c r="M55" i="6"/>
  <c r="N55" i="6"/>
  <c r="O55" i="6"/>
  <c r="P55" i="6"/>
  <c r="Q55" i="6"/>
  <c r="R55" i="6"/>
  <c r="H56" i="6"/>
  <c r="I56" i="6"/>
  <c r="J56" i="6"/>
  <c r="K56" i="6"/>
  <c r="L56" i="6"/>
  <c r="M56" i="6"/>
  <c r="N56" i="6"/>
  <c r="O56" i="6"/>
  <c r="P56" i="6"/>
  <c r="Q56" i="6"/>
  <c r="R56" i="6"/>
  <c r="H57" i="6"/>
  <c r="I57" i="6"/>
  <c r="J57" i="6"/>
  <c r="K57" i="6"/>
  <c r="L57" i="6"/>
  <c r="M57" i="6"/>
  <c r="N57" i="6"/>
  <c r="O57" i="6"/>
  <c r="P57" i="6"/>
  <c r="Q57" i="6"/>
  <c r="R57" i="6"/>
  <c r="H58" i="6"/>
  <c r="I58" i="6"/>
  <c r="J58" i="6"/>
  <c r="K58" i="6"/>
  <c r="L58" i="6"/>
  <c r="M58" i="6"/>
  <c r="N58" i="6"/>
  <c r="O58" i="6"/>
  <c r="P58" i="6"/>
  <c r="Q58" i="6"/>
  <c r="R58" i="6"/>
  <c r="H59" i="6"/>
  <c r="I59" i="6"/>
  <c r="J59" i="6"/>
  <c r="K59" i="6"/>
  <c r="L59" i="6"/>
  <c r="M59" i="6"/>
  <c r="N59" i="6"/>
  <c r="O59" i="6"/>
  <c r="P59" i="6"/>
  <c r="Q59" i="6"/>
  <c r="R59" i="6"/>
  <c r="H60" i="6"/>
  <c r="I60" i="6"/>
  <c r="J60" i="6"/>
  <c r="K60" i="6"/>
  <c r="L60" i="6"/>
  <c r="M60" i="6"/>
  <c r="N60" i="6"/>
  <c r="O60" i="6"/>
  <c r="P60" i="6"/>
  <c r="Q60" i="6"/>
  <c r="R60" i="6"/>
  <c r="H61" i="6"/>
  <c r="I61" i="6"/>
  <c r="J61" i="6"/>
  <c r="K61" i="6"/>
  <c r="L61" i="6"/>
  <c r="M61" i="6"/>
  <c r="N61" i="6"/>
  <c r="O61" i="6"/>
  <c r="P61" i="6"/>
  <c r="Q61" i="6"/>
  <c r="R61" i="6"/>
  <c r="H62" i="6"/>
  <c r="I62" i="6"/>
  <c r="J62" i="6"/>
  <c r="K62" i="6"/>
  <c r="L62" i="6"/>
  <c r="M62" i="6"/>
  <c r="N62" i="6"/>
  <c r="O62" i="6"/>
  <c r="P62" i="6"/>
  <c r="Q62" i="6"/>
  <c r="R62" i="6"/>
  <c r="H63" i="6"/>
  <c r="I63" i="6"/>
  <c r="J63" i="6"/>
  <c r="K63" i="6"/>
  <c r="L63" i="6"/>
  <c r="M63" i="6"/>
  <c r="N63" i="6"/>
  <c r="O63" i="6"/>
  <c r="P63" i="6"/>
  <c r="Q63" i="6"/>
  <c r="R63" i="6"/>
  <c r="H64" i="6"/>
  <c r="I64" i="6"/>
  <c r="J64" i="6"/>
  <c r="K64" i="6"/>
  <c r="L64" i="6"/>
  <c r="M64" i="6"/>
  <c r="N64" i="6"/>
  <c r="O64" i="6"/>
  <c r="P64" i="6"/>
  <c r="Q64" i="6"/>
  <c r="R64" i="6"/>
  <c r="H65" i="6"/>
  <c r="I65" i="6"/>
  <c r="J65" i="6"/>
  <c r="K65" i="6"/>
  <c r="L65" i="6"/>
  <c r="M65" i="6"/>
  <c r="N65" i="6"/>
  <c r="O65" i="6"/>
  <c r="P65" i="6"/>
  <c r="Q65" i="6"/>
  <c r="R65" i="6"/>
  <c r="H66" i="6"/>
  <c r="I66" i="6"/>
  <c r="J66" i="6"/>
  <c r="K66" i="6"/>
  <c r="L66" i="6"/>
  <c r="M66" i="6"/>
  <c r="N66" i="6"/>
  <c r="O66" i="6"/>
  <c r="P66" i="6"/>
  <c r="Q66" i="6"/>
  <c r="R66" i="6"/>
  <c r="H67" i="6"/>
  <c r="I67" i="6"/>
  <c r="J67" i="6"/>
  <c r="K67" i="6"/>
  <c r="L67" i="6"/>
  <c r="M67" i="6"/>
  <c r="N67" i="6"/>
  <c r="O67" i="6"/>
  <c r="P67" i="6"/>
  <c r="Q67" i="6"/>
  <c r="R67" i="6"/>
  <c r="H68" i="6"/>
  <c r="I68" i="6"/>
  <c r="J68" i="6"/>
  <c r="K68" i="6"/>
  <c r="L68" i="6"/>
  <c r="M68" i="6"/>
  <c r="N68" i="6"/>
  <c r="O68" i="6"/>
  <c r="P68" i="6"/>
  <c r="Q68" i="6"/>
  <c r="R68" i="6"/>
  <c r="H69" i="6"/>
  <c r="I69" i="6"/>
  <c r="J69" i="6"/>
  <c r="K69" i="6"/>
  <c r="L69" i="6"/>
  <c r="M69" i="6"/>
  <c r="N69" i="6"/>
  <c r="O69" i="6"/>
  <c r="P69" i="6"/>
  <c r="Q69" i="6"/>
  <c r="R69" i="6"/>
  <c r="H70" i="6"/>
  <c r="I70" i="6"/>
  <c r="J70" i="6"/>
  <c r="K70" i="6"/>
  <c r="L70" i="6"/>
  <c r="M70" i="6"/>
  <c r="N70" i="6"/>
  <c r="O70" i="6"/>
  <c r="P70" i="6"/>
  <c r="Q70" i="6"/>
  <c r="R70" i="6"/>
  <c r="H71" i="6"/>
  <c r="I71" i="6"/>
  <c r="J71" i="6"/>
  <c r="K71" i="6"/>
  <c r="L71" i="6"/>
  <c r="M71" i="6"/>
  <c r="N71" i="6"/>
  <c r="O71" i="6"/>
  <c r="P71" i="6"/>
  <c r="Q71" i="6"/>
  <c r="R71" i="6"/>
  <c r="H72" i="6"/>
  <c r="I72" i="6"/>
  <c r="J72" i="6"/>
  <c r="K72" i="6"/>
  <c r="L72" i="6"/>
  <c r="M72" i="6"/>
  <c r="N72" i="6"/>
  <c r="O72" i="6"/>
  <c r="P72" i="6"/>
  <c r="Q72" i="6"/>
  <c r="R72" i="6"/>
  <c r="H73" i="6"/>
  <c r="I73" i="6"/>
  <c r="J73" i="6"/>
  <c r="K73" i="6"/>
  <c r="L73" i="6"/>
  <c r="M73" i="6"/>
  <c r="N73" i="6"/>
  <c r="O73" i="6"/>
  <c r="P73" i="6"/>
  <c r="Q73" i="6"/>
  <c r="R73" i="6"/>
  <c r="H74" i="6"/>
  <c r="I74" i="6"/>
  <c r="J74" i="6"/>
  <c r="K74" i="6"/>
  <c r="L74" i="6"/>
  <c r="M74" i="6"/>
  <c r="N74" i="6"/>
  <c r="O74" i="6"/>
  <c r="P74" i="6"/>
  <c r="Q74" i="6"/>
  <c r="R74" i="6"/>
  <c r="H75" i="6"/>
  <c r="I75" i="6"/>
  <c r="J75" i="6"/>
  <c r="K75" i="6"/>
  <c r="L75" i="6"/>
  <c r="M75" i="6"/>
  <c r="N75" i="6"/>
  <c r="O75" i="6"/>
  <c r="P75" i="6"/>
  <c r="Q75" i="6"/>
  <c r="R75" i="6"/>
  <c r="H76" i="6"/>
  <c r="I76" i="6"/>
  <c r="J76" i="6"/>
  <c r="K76" i="6"/>
  <c r="L76" i="6"/>
  <c r="M76" i="6"/>
  <c r="N76" i="6"/>
  <c r="O76" i="6"/>
  <c r="P76" i="6"/>
  <c r="Q76" i="6"/>
  <c r="R76" i="6"/>
  <c r="H77" i="6"/>
  <c r="I77" i="6"/>
  <c r="J77" i="6"/>
  <c r="K77" i="6"/>
  <c r="L77" i="6"/>
  <c r="M77" i="6"/>
  <c r="N77" i="6"/>
  <c r="O77" i="6"/>
  <c r="P77" i="6"/>
  <c r="Q77" i="6"/>
  <c r="R77" i="6"/>
  <c r="R11" i="6"/>
  <c r="Q11" i="6"/>
  <c r="P11" i="6"/>
  <c r="O11" i="6"/>
  <c r="N11" i="6"/>
  <c r="M11" i="6"/>
  <c r="L11" i="6"/>
  <c r="K11" i="6"/>
  <c r="J11" i="6"/>
  <c r="I11" i="6"/>
  <c r="H11" i="6"/>
  <c r="R10" i="6"/>
  <c r="Q10" i="6"/>
  <c r="P10" i="6"/>
  <c r="O10" i="6"/>
  <c r="N10" i="6"/>
  <c r="M10" i="6"/>
  <c r="L10" i="6"/>
  <c r="K10" i="6"/>
  <c r="J10" i="6"/>
  <c r="I10" i="6"/>
  <c r="H10" i="6"/>
  <c r="R9" i="6"/>
  <c r="Q9" i="6"/>
  <c r="P9" i="6"/>
  <c r="O9" i="6"/>
  <c r="N9" i="6"/>
  <c r="M9" i="6"/>
  <c r="L9" i="6"/>
  <c r="K9" i="6"/>
  <c r="J9" i="6"/>
  <c r="I9" i="6"/>
  <c r="H9" i="6"/>
  <c r="R8" i="6"/>
  <c r="Q8" i="6"/>
  <c r="P8" i="6"/>
  <c r="O8" i="6"/>
  <c r="N8" i="6"/>
  <c r="M8" i="6"/>
  <c r="L8" i="6"/>
  <c r="K8" i="6"/>
  <c r="J8" i="6"/>
  <c r="I8" i="6"/>
  <c r="H8" i="6"/>
  <c r="R7" i="6"/>
  <c r="Q7" i="6"/>
  <c r="P7" i="6"/>
  <c r="O7" i="6"/>
  <c r="N7" i="6"/>
  <c r="M7" i="6"/>
  <c r="L7" i="6"/>
  <c r="K7" i="6"/>
  <c r="J7" i="6"/>
  <c r="I7" i="6"/>
  <c r="H7" i="6"/>
  <c r="R6" i="6"/>
  <c r="Q6" i="6"/>
  <c r="P6" i="6"/>
  <c r="O6" i="6"/>
  <c r="N6" i="6"/>
  <c r="M6" i="6"/>
  <c r="L6" i="6"/>
  <c r="K6" i="6"/>
  <c r="J6" i="6"/>
  <c r="I6" i="6"/>
  <c r="H6" i="6"/>
  <c r="R5" i="6"/>
  <c r="Q5" i="6"/>
  <c r="P5" i="6"/>
  <c r="O5" i="6"/>
  <c r="N5" i="6"/>
  <c r="M5" i="6"/>
  <c r="L5" i="6"/>
  <c r="K5" i="6"/>
  <c r="J5" i="6"/>
  <c r="I5" i="6"/>
  <c r="H5" i="6"/>
  <c r="R4" i="6"/>
  <c r="Q4" i="6"/>
  <c r="P4" i="6"/>
  <c r="O4" i="6"/>
  <c r="N4" i="6"/>
  <c r="M4" i="6"/>
  <c r="L4" i="6"/>
  <c r="K4" i="6"/>
  <c r="J4" i="6"/>
  <c r="I4" i="6"/>
  <c r="H4" i="6"/>
  <c r="G12" i="7"/>
  <c r="H12" i="7"/>
  <c r="I12" i="7"/>
  <c r="J12" i="7"/>
  <c r="K12" i="7"/>
  <c r="L12" i="7"/>
  <c r="M12" i="7"/>
  <c r="N12" i="7"/>
  <c r="O12" i="7"/>
  <c r="P12" i="7"/>
  <c r="Q12" i="7"/>
  <c r="G13" i="7"/>
  <c r="H13" i="7"/>
  <c r="I13" i="7"/>
  <c r="J13" i="7"/>
  <c r="K13" i="7"/>
  <c r="L13" i="7"/>
  <c r="M13" i="7"/>
  <c r="N13" i="7"/>
  <c r="O13" i="7"/>
  <c r="P13" i="7"/>
  <c r="Q13" i="7"/>
  <c r="G14" i="7"/>
  <c r="H14" i="7"/>
  <c r="I14" i="7"/>
  <c r="J14" i="7"/>
  <c r="K14" i="7"/>
  <c r="L14" i="7"/>
  <c r="M14" i="7"/>
  <c r="N14" i="7"/>
  <c r="O14" i="7"/>
  <c r="P14" i="7"/>
  <c r="Q14" i="7"/>
  <c r="G15" i="7"/>
  <c r="H15" i="7"/>
  <c r="I15" i="7"/>
  <c r="J15" i="7"/>
  <c r="K15" i="7"/>
  <c r="L15" i="7"/>
  <c r="M15" i="7"/>
  <c r="N15" i="7"/>
  <c r="O15" i="7"/>
  <c r="P15" i="7"/>
  <c r="Q15" i="7"/>
  <c r="G16" i="7"/>
  <c r="H16" i="7"/>
  <c r="I16" i="7"/>
  <c r="J16" i="7"/>
  <c r="K16" i="7"/>
  <c r="L16" i="7"/>
  <c r="M16" i="7"/>
  <c r="N16" i="7"/>
  <c r="O16" i="7"/>
  <c r="P16" i="7"/>
  <c r="Q16" i="7"/>
  <c r="G17" i="7"/>
  <c r="H17" i="7"/>
  <c r="I17" i="7"/>
  <c r="J17" i="7"/>
  <c r="K17" i="7"/>
  <c r="L17" i="7"/>
  <c r="M17" i="7"/>
  <c r="N17" i="7"/>
  <c r="O17" i="7"/>
  <c r="P17" i="7"/>
  <c r="Q17" i="7"/>
  <c r="G18" i="7"/>
  <c r="H18" i="7"/>
  <c r="I18" i="7"/>
  <c r="J18" i="7"/>
  <c r="K18" i="7"/>
  <c r="L18" i="7"/>
  <c r="M18" i="7"/>
  <c r="N18" i="7"/>
  <c r="O18" i="7"/>
  <c r="P18" i="7"/>
  <c r="Q18" i="7"/>
  <c r="G19" i="7"/>
  <c r="H19" i="7"/>
  <c r="I19" i="7"/>
  <c r="J19" i="7"/>
  <c r="K19" i="7"/>
  <c r="L19" i="7"/>
  <c r="M19" i="7"/>
  <c r="N19" i="7"/>
  <c r="O19" i="7"/>
  <c r="P19" i="7"/>
  <c r="Q19" i="7"/>
  <c r="Q11" i="7"/>
  <c r="P11" i="7"/>
  <c r="O11" i="7"/>
  <c r="N11" i="7"/>
  <c r="M11" i="7"/>
  <c r="L11" i="7"/>
  <c r="K11" i="7"/>
  <c r="J11" i="7"/>
  <c r="I11" i="7"/>
  <c r="H11" i="7"/>
  <c r="G11" i="7"/>
  <c r="Q10" i="7"/>
  <c r="P10" i="7"/>
  <c r="O10" i="7"/>
  <c r="N10" i="7"/>
  <c r="M10" i="7"/>
  <c r="L10" i="7"/>
  <c r="K10" i="7"/>
  <c r="J10" i="7"/>
  <c r="I10" i="7"/>
  <c r="H10" i="7"/>
  <c r="G10" i="7"/>
  <c r="Q9" i="7"/>
  <c r="P9" i="7"/>
  <c r="O9" i="7"/>
  <c r="N9" i="7"/>
  <c r="M9" i="7"/>
  <c r="L9" i="7"/>
  <c r="K9" i="7"/>
  <c r="J9" i="7"/>
  <c r="I9" i="7"/>
  <c r="H9" i="7"/>
  <c r="G9" i="7"/>
  <c r="Q8" i="7"/>
  <c r="P8" i="7"/>
  <c r="O8" i="7"/>
  <c r="N8" i="7"/>
  <c r="M8" i="7"/>
  <c r="L8" i="7"/>
  <c r="K8" i="7"/>
  <c r="J8" i="7"/>
  <c r="I8" i="7"/>
  <c r="H8" i="7"/>
  <c r="G8" i="7"/>
  <c r="Q7" i="7"/>
  <c r="P7" i="7"/>
  <c r="O7" i="7"/>
  <c r="N7" i="7"/>
  <c r="M7" i="7"/>
  <c r="L7" i="7"/>
  <c r="K7" i="7"/>
  <c r="J7" i="7"/>
  <c r="I7" i="7"/>
  <c r="H7" i="7"/>
  <c r="G7" i="7"/>
  <c r="Q6" i="7"/>
  <c r="P6" i="7"/>
  <c r="O6" i="7"/>
  <c r="N6" i="7"/>
  <c r="M6" i="7"/>
  <c r="L6" i="7"/>
  <c r="K6" i="7"/>
  <c r="J6" i="7"/>
  <c r="I6" i="7"/>
  <c r="H6" i="7"/>
  <c r="G6" i="7"/>
  <c r="Q5" i="7"/>
  <c r="P5" i="7"/>
  <c r="O5" i="7"/>
  <c r="N5" i="7"/>
  <c r="M5" i="7"/>
  <c r="L5" i="7"/>
  <c r="K5" i="7"/>
  <c r="J5" i="7"/>
  <c r="I5" i="7"/>
  <c r="H5" i="7"/>
  <c r="G5" i="7"/>
  <c r="Q4" i="7"/>
  <c r="P4" i="7"/>
  <c r="O4" i="7"/>
  <c r="N4" i="7"/>
  <c r="M4" i="7"/>
  <c r="L4" i="7"/>
  <c r="K4" i="7"/>
  <c r="J4" i="7"/>
  <c r="I4" i="7"/>
  <c r="H4" i="7"/>
  <c r="G4" i="7"/>
  <c r="R5" i="10"/>
  <c r="R6" i="10"/>
  <c r="R7" i="10"/>
  <c r="R8" i="10"/>
  <c r="R9" i="10"/>
  <c r="R10" i="10"/>
  <c r="R11" i="10"/>
  <c r="R4" i="10"/>
  <c r="M4" i="10"/>
  <c r="N4" i="10"/>
  <c r="O4" i="10"/>
  <c r="P4" i="10"/>
  <c r="Q4" i="10"/>
  <c r="M5" i="10"/>
  <c r="N5" i="10"/>
  <c r="O5" i="10"/>
  <c r="P5" i="10"/>
  <c r="Q5" i="10"/>
  <c r="M6" i="10"/>
  <c r="N6" i="10"/>
  <c r="O6" i="10"/>
  <c r="P6" i="10"/>
  <c r="Q6" i="10"/>
  <c r="M7" i="10"/>
  <c r="N7" i="10"/>
  <c r="O7" i="10"/>
  <c r="P7" i="10"/>
  <c r="Q7" i="10"/>
  <c r="M8" i="10"/>
  <c r="N8" i="10"/>
  <c r="O8" i="10"/>
  <c r="P8" i="10"/>
  <c r="Q8" i="10"/>
  <c r="M9" i="10"/>
  <c r="N9" i="10"/>
  <c r="O9" i="10"/>
  <c r="P9" i="10"/>
  <c r="Q9" i="10"/>
  <c r="M10" i="10"/>
  <c r="N10" i="10"/>
  <c r="O10" i="10"/>
  <c r="P10" i="10"/>
  <c r="Q10" i="10"/>
  <c r="M11" i="10"/>
  <c r="N11" i="10"/>
  <c r="O11" i="10"/>
  <c r="P11" i="10"/>
  <c r="Q11" i="10"/>
  <c r="L7" i="10"/>
  <c r="L8" i="10"/>
  <c r="L9" i="10"/>
  <c r="L10" i="10"/>
  <c r="L11" i="10"/>
  <c r="L5" i="10"/>
  <c r="L6" i="10"/>
  <c r="K5" i="10"/>
  <c r="K6" i="10"/>
  <c r="K7" i="10"/>
  <c r="K8" i="10"/>
  <c r="K9" i="10"/>
  <c r="K10" i="10"/>
  <c r="K11" i="10"/>
  <c r="J5" i="10"/>
  <c r="J6" i="10"/>
  <c r="J7" i="10"/>
  <c r="J8" i="10"/>
  <c r="J9" i="10"/>
  <c r="J10" i="10"/>
  <c r="J11" i="10"/>
  <c r="I5" i="10"/>
  <c r="I6" i="10"/>
  <c r="I7" i="10"/>
  <c r="I8" i="10"/>
  <c r="I9" i="10"/>
  <c r="I10" i="10"/>
  <c r="I11" i="10"/>
  <c r="I4" i="10"/>
  <c r="J4" i="10"/>
  <c r="K4" i="10"/>
  <c r="L4" i="10"/>
  <c r="H5" i="10"/>
  <c r="H6" i="10"/>
  <c r="H7" i="10"/>
  <c r="H8" i="10"/>
  <c r="H9" i="10"/>
  <c r="H10" i="10"/>
  <c r="H11" i="10"/>
  <c r="H4" i="10"/>
  <c r="G5" i="10"/>
  <c r="G6" i="10"/>
  <c r="G7" i="10"/>
  <c r="G8" i="10"/>
  <c r="G9" i="10"/>
  <c r="G10" i="10"/>
  <c r="G11" i="10"/>
  <c r="G4" i="10"/>
</calcChain>
</file>

<file path=xl/comments1.xml><?xml version="1.0" encoding="utf-8"?>
<comments xmlns="http://schemas.openxmlformats.org/spreadsheetml/2006/main">
  <authors>
    <author>Auteur</author>
  </authors>
  <commentList>
    <comment ref="D7" authorId="0" shapeId="0">
      <text>
        <r>
          <rPr>
            <b/>
            <sz val="9"/>
            <color indexed="10"/>
            <rFont val="Tahoma"/>
            <family val="2"/>
          </rPr>
          <t>Veillez à ne pas changer les valeurs de mois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Auteur</author>
  </authors>
  <commentList>
    <comment ref="J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K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L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M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N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O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P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Q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</commentList>
</comments>
</file>

<file path=xl/sharedStrings.xml><?xml version="1.0" encoding="utf-8"?>
<sst xmlns="http://schemas.openxmlformats.org/spreadsheetml/2006/main" count="4286" uniqueCount="178">
  <si>
    <t>PLANNING DES OPERATIONS DE L'ARMEE DE L'AIR</t>
  </si>
  <si>
    <t>Initialisation</t>
  </si>
  <si>
    <t>Mois</t>
  </si>
  <si>
    <t>Année</t>
  </si>
  <si>
    <t>Début</t>
  </si>
  <si>
    <t>Fin</t>
  </si>
  <si>
    <t>D602</t>
  </si>
  <si>
    <t>D603</t>
  </si>
  <si>
    <t>D604</t>
  </si>
  <si>
    <t>D605</t>
  </si>
  <si>
    <t>D606</t>
  </si>
  <si>
    <t>D607</t>
  </si>
  <si>
    <t>D609</t>
  </si>
  <si>
    <t>D610</t>
  </si>
  <si>
    <t>D611</t>
  </si>
  <si>
    <t>D613</t>
  </si>
  <si>
    <t>D614</t>
  </si>
  <si>
    <t>D615</t>
  </si>
  <si>
    <t>D616</t>
  </si>
  <si>
    <t>D617</t>
  </si>
  <si>
    <t>D618</t>
  </si>
  <si>
    <t>D620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</si>
  <si>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</si>
  <si>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</si>
  <si>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</si>
  <si>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</si>
  <si>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</si>
  <si>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</si>
  <si>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</si>
  <si>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</si>
  <si>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</si>
  <si>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</si>
  <si>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</si>
  <si>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</si>
  <si>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</si>
  <si>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</si>
  <si>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</si>
  <si>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</si>
  <si>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</si>
  <si>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</si>
  <si>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</si>
  <si>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</si>
  <si>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</si>
  <si>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</si>
  <si>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</si>
  <si>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</si>
  <si>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</si>
  <si>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</si>
  <si>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</si>
  <si>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</si>
  <si>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D652</t>
  </si>
  <si>
    <t>D653</t>
  </si>
  <si>
    <t>D654</t>
  </si>
  <si>
    <t>D655</t>
  </si>
  <si>
    <t>D657</t>
  </si>
  <si>
    <t>D658</t>
  </si>
  <si>
    <t>D659</t>
  </si>
  <si>
    <t>D660</t>
  </si>
  <si>
    <t>D661</t>
  </si>
  <si>
    <t>D662</t>
  </si>
  <si>
    <t>D664</t>
  </si>
  <si>
    <t>D666</t>
  </si>
  <si>
    <t>D667</t>
  </si>
  <si>
    <t>D668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</si>
  <si>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</si>
  <si>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</si>
  <si>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</si>
  <si>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</si>
  <si>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</si>
  <si>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</si>
  <si>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</si>
  <si>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</si>
  <si>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</si>
  <si>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</si>
  <si>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</si>
  <si>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</si>
  <si>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</si>
  <si>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</si>
  <si>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D685</t>
  </si>
  <si>
    <t>D686</t>
  </si>
  <si>
    <t>B501</t>
  </si>
  <si>
    <t>B523</t>
  </si>
  <si>
    <t>B524</t>
  </si>
  <si>
    <t>B525</t>
  </si>
  <si>
    <t>B527</t>
  </si>
  <si>
    <t>B528</t>
  </si>
  <si>
    <t>B529</t>
  </si>
  <si>
    <t>B530</t>
  </si>
  <si>
    <t>C064</t>
  </si>
  <si>
    <t>C096</t>
  </si>
  <si>
    <t>C101</t>
  </si>
  <si>
    <t>C102</t>
  </si>
  <si>
    <t>C105</t>
  </si>
  <si>
    <t>C106</t>
  </si>
  <si>
    <t>C107</t>
  </si>
  <si>
    <t>C108</t>
  </si>
  <si>
    <t>C109</t>
  </si>
  <si>
    <t>C113</t>
  </si>
  <si>
    <t>C118</t>
  </si>
  <si>
    <t>C120</t>
  </si>
  <si>
    <t>C121</t>
  </si>
  <si>
    <t>C122</t>
  </si>
  <si>
    <t>C123</t>
  </si>
  <si>
    <t>C124</t>
  </si>
  <si>
    <t>5F038</t>
  </si>
  <si>
    <t>5F040</t>
  </si>
  <si>
    <t>5F041</t>
  </si>
  <si>
    <t>5F042</t>
  </si>
  <si>
    <t>5F043</t>
  </si>
  <si>
    <t>5F044</t>
  </si>
  <si>
    <t>5F045</t>
  </si>
  <si>
    <t>5F046</t>
  </si>
  <si>
    <t>5F047</t>
  </si>
  <si>
    <t>5F048</t>
  </si>
  <si>
    <t>5F049</t>
  </si>
  <si>
    <t>5F051</t>
  </si>
  <si>
    <t>5F052</t>
  </si>
  <si>
    <t>5F054</t>
  </si>
  <si>
    <t>5F055</t>
  </si>
  <si>
    <t>5F056</t>
  </si>
  <si>
    <t>5F057</t>
  </si>
  <si>
    <t>5F058</t>
  </si>
  <si>
    <t>5F059</t>
  </si>
  <si>
    <t>5F061</t>
  </si>
  <si>
    <t>5F062</t>
  </si>
  <si>
    <t>5F063</t>
  </si>
  <si>
    <t>5F065</t>
  </si>
  <si>
    <t>5F066</t>
  </si>
  <si>
    <t>5F067</t>
  </si>
  <si>
    <t>5F071</t>
  </si>
  <si>
    <t>5F074</t>
  </si>
  <si>
    <t>5F077</t>
  </si>
  <si>
    <t>5F078</t>
  </si>
  <si>
    <t>Fichiers</t>
  </si>
  <si>
    <t>Situation Init</t>
  </si>
  <si>
    <t>Solution Planning</t>
  </si>
  <si>
    <t>Choix</t>
  </si>
  <si>
    <t>Paramètres</t>
  </si>
  <si>
    <t>sitInit</t>
  </si>
  <si>
    <t>paramInit</t>
  </si>
  <si>
    <t>donnees_lecture</t>
  </si>
  <si>
    <t>Vxx</t>
  </si>
  <si>
    <t>Butee</t>
  </si>
  <si>
    <t>Prevu AIA</t>
  </si>
  <si>
    <t>N°</t>
  </si>
  <si>
    <t>Pot Vxx</t>
  </si>
  <si>
    <t>Fretting</t>
  </si>
  <si>
    <t>STD</t>
  </si>
  <si>
    <t>Pot Fretting</t>
  </si>
  <si>
    <t>V30</t>
  </si>
  <si>
    <t>MissionDollar</t>
  </si>
  <si>
    <t>paramInit2000D</t>
  </si>
  <si>
    <t>paramInittest</t>
  </si>
  <si>
    <t>poids_indicateurs</t>
  </si>
  <si>
    <t>sitInit2000D</t>
  </si>
  <si>
    <t>sitInittemp</t>
  </si>
  <si>
    <t>sitInittest</t>
  </si>
  <si>
    <t>Transformation</t>
  </si>
  <si>
    <t>Indicateur Planning</t>
  </si>
  <si>
    <t>indicateurs16</t>
  </si>
  <si>
    <t>indicateurs17</t>
  </si>
  <si>
    <t>Pu par mois entraînement</t>
  </si>
  <si>
    <t>Maintenance max par mois</t>
  </si>
  <si>
    <t>Entree en maintenance par mois</t>
  </si>
  <si>
    <t>indicateurs0</t>
  </si>
  <si>
    <t>sitInitD</t>
  </si>
  <si>
    <t>V15</t>
  </si>
  <si>
    <t>V10</t>
  </si>
  <si>
    <t>V5</t>
  </si>
  <si>
    <t>V25</t>
  </si>
  <si>
    <t>V20</t>
  </si>
  <si>
    <t>NANCY_D</t>
  </si>
  <si>
    <t>NIAMEY_D</t>
  </si>
  <si>
    <t>CHAMMAL_D</t>
  </si>
  <si>
    <t>MARSAN_D</t>
  </si>
  <si>
    <t>NDJAMENA_D</t>
  </si>
  <si>
    <t>dataPareto0</t>
  </si>
  <si>
    <t>solution35 - Copie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</si>
</sst>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6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10"/>
      <name val="Tahoma"/>
      <family val="2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3" borderId="1" xfId="0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3" fillId="2" borderId="0" xfId="0" applyFont="1" applyFill="1"/>
    <xf numFmtId="0" fontId="2" fillId="2" borderId="0" xfId="0" applyFont="1" applyFill="1" applyAlignment="1"/>
    <xf numFmtId="0" fontId="5" fillId="2" borderId="1" xfId="0" applyFont="1" applyFill="1" applyBorder="1" applyAlignment="1">
      <alignment horizontal="center" vertical="center"/>
    </xf>
    <xf numFmtId="164" fontId="5" fillId="4" borderId="3" xfId="0" applyNumberFormat="1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/>
    </xf>
    <xf numFmtId="164" fontId="5" fillId="4" borderId="4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4" fontId="5" fillId="4" borderId="8" xfId="0" applyNumberFormat="1" applyFont="1" applyFill="1" applyBorder="1" applyAlignment="1">
      <alignment horizontal="center" vertical="center"/>
    </xf>
    <xf numFmtId="164" fontId="5" fillId="4" borderId="9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/>
    <xf numFmtId="0" fontId="1" fillId="3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5" xfId="0" applyNumberFormat="1" applyFont="1" applyFill="1" applyBorder="1" applyAlignment="1">
      <alignment horizontal="center" vertical="center"/>
    </xf>
    <xf numFmtId="0" fontId="4" fillId="2" borderId="6" xfId="0" applyNumberFormat="1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74"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</xdr:row>
      <xdr:rowOff>25852</xdr:rowOff>
    </xdr:from>
    <xdr:to>
      <xdr:col>7</xdr:col>
      <xdr:colOff>1257300</xdr:colOff>
      <xdr:row>3</xdr:row>
      <xdr:rowOff>134709</xdr:rowOff>
    </xdr:to>
    <xdr:sp macro="[0]!exportSitIni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08CCDC18-943F-452C-AD59-52D8AEE43916}"/>
            </a:ext>
          </a:extLst>
        </xdr:cNvPr>
        <xdr:cNvSpPr/>
      </xdr:nvSpPr>
      <xdr:spPr>
        <a:xfrm>
          <a:off x="4029075" y="387802"/>
          <a:ext cx="1495425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Export Situ Init</a:t>
          </a:r>
        </a:p>
      </xdr:txBody>
    </xdr:sp>
    <xdr:clientData/>
  </xdr:twoCellAnchor>
  <xdr:twoCellAnchor>
    <xdr:from>
      <xdr:col>4</xdr:col>
      <xdr:colOff>62592</xdr:colOff>
      <xdr:row>1</xdr:row>
      <xdr:rowOff>31297</xdr:rowOff>
    </xdr:from>
    <xdr:to>
      <xdr:col>6</xdr:col>
      <xdr:colOff>8164</xdr:colOff>
      <xdr:row>3</xdr:row>
      <xdr:rowOff>140154</xdr:rowOff>
    </xdr:to>
    <xdr:sp macro="[0]!InitializeParameters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DAFB726C-1BDD-4B1B-8C67-D23A4A14EE82}"/>
            </a:ext>
          </a:extLst>
        </xdr:cNvPr>
        <xdr:cNvSpPr/>
      </xdr:nvSpPr>
      <xdr:spPr>
        <a:xfrm>
          <a:off x="2500992" y="393247"/>
          <a:ext cx="1164772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Load Parameters</a:t>
          </a:r>
        </a:p>
      </xdr:txBody>
    </xdr:sp>
    <xdr:clientData/>
  </xdr:twoCellAnchor>
  <xdr:twoCellAnchor>
    <xdr:from>
      <xdr:col>8</xdr:col>
      <xdr:colOff>228600</xdr:colOff>
      <xdr:row>1</xdr:row>
      <xdr:rowOff>19050</xdr:rowOff>
    </xdr:from>
    <xdr:to>
      <xdr:col>8</xdr:col>
      <xdr:colOff>1533525</xdr:colOff>
      <xdr:row>3</xdr:row>
      <xdr:rowOff>123825</xdr:rowOff>
    </xdr:to>
    <xdr:sp macro="[0]!mainPython" textlink="">
      <xdr:nvSpPr>
        <xdr:cNvPr id="4" name="Rectangle: Rounded Corners 3">
          <a:extLst>
            <a:ext uri="{FF2B5EF4-FFF2-40B4-BE49-F238E27FC236}">
              <a16:creationId xmlns="" xmlns:a16="http://schemas.microsoft.com/office/drawing/2014/main" id="{7E1E5CAD-A3B6-490E-B11B-392AA6476585}"/>
            </a:ext>
          </a:extLst>
        </xdr:cNvPr>
        <xdr:cNvSpPr/>
      </xdr:nvSpPr>
      <xdr:spPr>
        <a:xfrm>
          <a:off x="5924550" y="381000"/>
          <a:ext cx="1304925" cy="4857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Run Python</a:t>
          </a:r>
          <a:r>
            <a:rPr lang="fr-FR" sz="1100" b="1" baseline="0"/>
            <a:t> Glouton</a:t>
          </a:r>
        </a:p>
      </xdr:txBody>
    </xdr:sp>
    <xdr:clientData/>
  </xdr:twoCellAnchor>
  <xdr:twoCellAnchor>
    <xdr:from>
      <xdr:col>11</xdr:col>
      <xdr:colOff>142875</xdr:colOff>
      <xdr:row>1</xdr:row>
      <xdr:rowOff>19050</xdr:rowOff>
    </xdr:from>
    <xdr:to>
      <xdr:col>13</xdr:col>
      <xdr:colOff>142875</xdr:colOff>
      <xdr:row>3</xdr:row>
      <xdr:rowOff>95250</xdr:rowOff>
    </xdr:to>
    <xdr:sp macro="[0]!ImportPlanning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A1213D22-6B0E-45E7-9ACF-D54A4020A8D9}"/>
            </a:ext>
          </a:extLst>
        </xdr:cNvPr>
        <xdr:cNvSpPr/>
      </xdr:nvSpPr>
      <xdr:spPr>
        <a:xfrm>
          <a:off x="8772525" y="381000"/>
          <a:ext cx="1219200" cy="4572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Import Planning</a:t>
          </a:r>
        </a:p>
      </xdr:txBody>
    </xdr:sp>
    <xdr:clientData/>
  </xdr:twoCellAnchor>
  <xdr:twoCellAnchor>
    <xdr:from>
      <xdr:col>8</xdr:col>
      <xdr:colOff>1628775</xdr:colOff>
      <xdr:row>1</xdr:row>
      <xdr:rowOff>19050</xdr:rowOff>
    </xdr:from>
    <xdr:to>
      <xdr:col>11</xdr:col>
      <xdr:colOff>0</xdr:colOff>
      <xdr:row>3</xdr:row>
      <xdr:rowOff>123825</xdr:rowOff>
    </xdr:to>
    <xdr:sp macro="[0]!mainPythonGen" textlink="">
      <xdr:nvSpPr>
        <xdr:cNvPr id="6" name="Rectangle: Rounded Corners 3">
          <a:extLst>
            <a:ext uri="{FF2B5EF4-FFF2-40B4-BE49-F238E27FC236}">
              <a16:creationId xmlns="" xmlns:a16="http://schemas.microsoft.com/office/drawing/2014/main" id="{7E1E5CAD-A3B6-490E-B11B-392AA6476585}"/>
            </a:ext>
          </a:extLst>
        </xdr:cNvPr>
        <xdr:cNvSpPr/>
      </xdr:nvSpPr>
      <xdr:spPr>
        <a:xfrm>
          <a:off x="7324725" y="381000"/>
          <a:ext cx="1304925" cy="4857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Run Python Génétique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922193</xdr:colOff>
      <xdr:row>0</xdr:row>
      <xdr:rowOff>9525</xdr:rowOff>
    </xdr:from>
    <xdr:to>
      <xdr:col>3</xdr:col>
      <xdr:colOff>628650</xdr:colOff>
      <xdr:row>0</xdr:row>
      <xdr:rowOff>247651</xdr:rowOff>
    </xdr:to>
    <xdr:sp macro="[0]!Clear1" textlink="">
      <xdr:nvSpPr>
        <xdr:cNvPr id="2" name="Rectangle 1">
          <a:extLst>
            <a:ext uri="{FF2B5EF4-FFF2-40B4-BE49-F238E27FC236}">
              <a16:creationId xmlns="" xmlns:a16="http://schemas.microsoft.com/office/drawing/2014/main" id="{F50E97EC-B67D-481F-A25F-E01DD1BC3750}"/>
            </a:ext>
          </a:extLst>
        </xdr:cNvPr>
        <xdr:cNvSpPr/>
      </xdr:nvSpPr>
      <xdr:spPr>
        <a:xfrm>
          <a:off x="1960418" y="9525"/>
          <a:ext cx="630382" cy="23812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23864</xdr:colOff>
      <xdr:row>0</xdr:row>
      <xdr:rowOff>234000</xdr:rowOff>
    </xdr:to>
    <xdr:sp macro="[0]!Clear2" textlink="">
      <xdr:nvSpPr>
        <xdr:cNvPr id="3" name="Rectangle 2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432955" y="0"/>
          <a:ext cx="630000" cy="234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  <xdr:twoCellAnchor>
    <xdr:from>
      <xdr:col>2</xdr:col>
      <xdr:colOff>17318</xdr:colOff>
      <xdr:row>0</xdr:row>
      <xdr:rowOff>2</xdr:rowOff>
    </xdr:from>
    <xdr:to>
      <xdr:col>2</xdr:col>
      <xdr:colOff>647700</xdr:colOff>
      <xdr:row>0</xdr:row>
      <xdr:rowOff>234002</xdr:rowOff>
    </xdr:to>
    <xdr:sp macro="[0]!filterColor" textlink="">
      <xdr:nvSpPr>
        <xdr:cNvPr id="4" name="Rectangle 3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056409" y="2"/>
          <a:ext cx="630382" cy="234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Filter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7"/>
  <sheetViews>
    <sheetView zoomScaleNormal="100" workbookViewId="0">
      <selection activeCell="I9" sqref="I9"/>
    </sheetView>
  </sheetViews>
  <sheetFormatPr baseColWidth="10" defaultColWidth="9.140625" defaultRowHeight="15" x14ac:dyDescent="0.25"/>
  <cols>
    <col min="1" max="3" width="9.140625" style="1"/>
    <col min="4" max="4" width="9.140625" style="5"/>
    <col min="5" max="7" width="9.140625" style="1"/>
    <col min="8" max="8" width="21.42578125" style="1" customWidth="1"/>
    <col min="9" max="9" width="25.7109375" style="1" customWidth="1"/>
    <col min="10" max="10" width="9.140625" style="1"/>
    <col min="11" max="11" width="30" style="1" bestFit="1" customWidth="1"/>
    <col min="12" max="16384" width="9.140625" style="1"/>
  </cols>
  <sheetData>
    <row r="1" spans="1:20" ht="28.5" x14ac:dyDescent="0.45">
      <c r="A1" s="23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6"/>
      <c r="S1" s="6"/>
      <c r="T1" s="6"/>
    </row>
    <row r="2" spans="1:20" x14ac:dyDescent="0.25">
      <c r="D2" s="1"/>
    </row>
    <row r="3" spans="1:20" x14ac:dyDescent="0.25">
      <c r="D3" s="1"/>
    </row>
    <row r="4" spans="1:20" x14ac:dyDescent="0.25">
      <c r="D4" s="1"/>
    </row>
    <row r="5" spans="1:20" x14ac:dyDescent="0.25">
      <c r="D5" s="1"/>
    </row>
    <row r="6" spans="1:20" x14ac:dyDescent="0.25">
      <c r="C6" s="22" t="s">
        <v>1</v>
      </c>
      <c r="D6" s="22"/>
      <c r="E6" s="22"/>
      <c r="H6" s="4" t="s">
        <v>133</v>
      </c>
      <c r="I6" s="4" t="s">
        <v>136</v>
      </c>
      <c r="K6" s="3" t="s">
        <v>161</v>
      </c>
      <c r="L6" s="2">
        <v>18</v>
      </c>
    </row>
    <row r="7" spans="1:20" x14ac:dyDescent="0.25">
      <c r="C7" s="2"/>
      <c r="D7" s="3" t="s">
        <v>2</v>
      </c>
      <c r="E7" s="3" t="s">
        <v>3</v>
      </c>
      <c r="H7" s="3" t="s">
        <v>137</v>
      </c>
      <c r="I7" s="2" t="s">
        <v>151</v>
      </c>
      <c r="K7" s="3" t="s">
        <v>162</v>
      </c>
      <c r="L7" s="2">
        <v>18</v>
      </c>
    </row>
    <row r="8" spans="1:20" x14ac:dyDescent="0.25">
      <c r="C8" s="3" t="s">
        <v>4</v>
      </c>
      <c r="D8" s="2">
        <v>1</v>
      </c>
      <c r="E8" s="2">
        <v>2018</v>
      </c>
      <c r="H8" s="3" t="s">
        <v>134</v>
      </c>
      <c r="I8" s="2" t="s">
        <v>154</v>
      </c>
      <c r="K8" s="3" t="s">
        <v>163</v>
      </c>
      <c r="L8" s="2">
        <v>5</v>
      </c>
    </row>
    <row r="9" spans="1:20" x14ac:dyDescent="0.25">
      <c r="C9" s="3" t="s">
        <v>5</v>
      </c>
      <c r="D9" s="2">
        <v>12</v>
      </c>
      <c r="E9" s="2">
        <v>2025</v>
      </c>
      <c r="H9" s="3" t="s">
        <v>135</v>
      </c>
      <c r="I9" s="2" t="s">
        <v>177</v>
      </c>
    </row>
    <row r="10" spans="1:20" x14ac:dyDescent="0.25">
      <c r="D10" s="1"/>
      <c r="H10" s="3" t="s">
        <v>158</v>
      </c>
      <c r="I10" s="2" t="s">
        <v>164</v>
      </c>
    </row>
    <row r="11" spans="1:20" x14ac:dyDescent="0.25">
      <c r="D11" s="1"/>
    </row>
    <row r="12" spans="1:20" x14ac:dyDescent="0.25">
      <c r="D12" s="1"/>
    </row>
    <row r="13" spans="1:20" x14ac:dyDescent="0.25">
      <c r="D13" s="1"/>
    </row>
    <row r="14" spans="1:20" x14ac:dyDescent="0.25">
      <c r="A14" s="5" t="s">
        <v>176</v>
      </c>
      <c r="B14" s="5"/>
      <c r="C14" s="5">
        <f>DATEDIF(DATE(anneeInit,moisInit,1),DATE(anneeFin,moisFin,1),"M")+1</f>
        <v>96</v>
      </c>
      <c r="D14" s="5" t="s">
        <v>177</v>
      </c>
    </row>
    <row r="15" spans="1:20" x14ac:dyDescent="0.25">
      <c r="A15" s="5" t="s">
        <v>140</v>
      </c>
      <c r="B15" s="5"/>
      <c r="C15" s="5">
        <f>DATEDIF(DATE(anneeInit,1,1),DATE(anneeFin,12,1),"M")+1</f>
        <v>96</v>
      </c>
    </row>
    <row r="16" spans="1:20" x14ac:dyDescent="0.25">
      <c r="A16" s="5" t="s">
        <v>150</v>
      </c>
      <c r="B16" s="5"/>
      <c r="C16" s="5" t="s">
        <v>159</v>
      </c>
    </row>
    <row r="17" spans="1:3" x14ac:dyDescent="0.25">
      <c r="A17" s="5" t="s">
        <v>139</v>
      </c>
      <c r="B17" s="5"/>
      <c r="C17" s="5" t="s">
        <v>160</v>
      </c>
    </row>
    <row r="18" spans="1:3" x14ac:dyDescent="0.25">
      <c r="A18" s="5" t="s">
        <v>151</v>
      </c>
      <c r="B18" s="5"/>
      <c r="C18" s="5"/>
    </row>
    <row r="19" spans="1:3" x14ac:dyDescent="0.25">
      <c r="A19" s="5" t="s">
        <v>152</v>
      </c>
      <c r="B19" s="5"/>
      <c r="C19" s="5"/>
    </row>
    <row r="20" spans="1:3" x14ac:dyDescent="0.25">
      <c r="A20" s="5" t="s">
        <v>153</v>
      </c>
      <c r="B20" s="5"/>
      <c r="C20" s="5"/>
    </row>
    <row r="21" spans="1:3" x14ac:dyDescent="0.25">
      <c r="A21" s="5" t="s">
        <v>138</v>
      </c>
      <c r="B21" s="5"/>
      <c r="C21" s="5"/>
    </row>
    <row r="22" spans="1:3" x14ac:dyDescent="0.25">
      <c r="A22" s="5" t="s">
        <v>154</v>
      </c>
      <c r="B22" s="5"/>
      <c r="C22" s="5"/>
    </row>
    <row r="23" spans="1:3" x14ac:dyDescent="0.25">
      <c r="A23" s="5" t="s">
        <v>165</v>
      </c>
      <c r="B23" s="5"/>
      <c r="C23" s="5"/>
    </row>
    <row r="24" spans="1:3" x14ac:dyDescent="0.25">
      <c r="A24" s="5" t="s">
        <v>155</v>
      </c>
      <c r="B24" s="5"/>
      <c r="C24" s="5"/>
    </row>
    <row r="25" spans="1:3" x14ac:dyDescent="0.25">
      <c r="A25" s="5" t="s">
        <v>156</v>
      </c>
      <c r="B25" s="5"/>
      <c r="C25" s="5"/>
    </row>
    <row r="26" spans="1:3" x14ac:dyDescent="0.25">
      <c r="A26" s="5" t="s">
        <v>157</v>
      </c>
      <c r="B26" s="5"/>
      <c r="C26" s="5"/>
    </row>
    <row r="27" spans="1:3" x14ac:dyDescent="0.25">
      <c r="A27" s="5"/>
      <c r="B27" s="5"/>
      <c r="C27" s="5"/>
    </row>
    <row r="28" spans="1:3" x14ac:dyDescent="0.25">
      <c r="A28" s="5"/>
      <c r="B28" s="5"/>
      <c r="C28" s="5"/>
    </row>
    <row r="29" spans="1:3" x14ac:dyDescent="0.25">
      <c r="A29" s="5"/>
      <c r="B29" s="5"/>
      <c r="C29" s="5"/>
    </row>
    <row r="30" spans="1:3" x14ac:dyDescent="0.25">
      <c r="A30" s="5"/>
      <c r="B30" s="5"/>
      <c r="C30" s="5"/>
    </row>
    <row r="31" spans="1:3" x14ac:dyDescent="0.25">
      <c r="A31" s="5"/>
      <c r="B31" s="5"/>
      <c r="C31" s="5"/>
    </row>
    <row r="32" spans="1:3" x14ac:dyDescent="0.25">
      <c r="A32" s="5"/>
      <c r="B32" s="5"/>
      <c r="C32" s="5"/>
    </row>
    <row r="33" spans="1:3" x14ac:dyDescent="0.25">
      <c r="A33" s="5"/>
      <c r="B33" s="5"/>
      <c r="C33" s="5"/>
    </row>
    <row r="34" spans="1:3" x14ac:dyDescent="0.25">
      <c r="A34" s="5"/>
      <c r="B34" s="5"/>
      <c r="C34" s="5"/>
    </row>
    <row r="35" spans="1:3" x14ac:dyDescent="0.25">
      <c r="A35" s="5"/>
      <c r="B35" s="5"/>
      <c r="C35" s="5"/>
    </row>
    <row r="36" spans="1:3" x14ac:dyDescent="0.25">
      <c r="A36" s="5"/>
      <c r="B36" s="5"/>
      <c r="C36" s="5"/>
    </row>
    <row r="37" spans="1:3" x14ac:dyDescent="0.25">
      <c r="A37" s="5"/>
      <c r="B37" s="5"/>
      <c r="C37" s="5"/>
    </row>
    <row r="38" spans="1:3" x14ac:dyDescent="0.25">
      <c r="A38" s="5"/>
      <c r="B38" s="5"/>
      <c r="C38" s="5"/>
    </row>
    <row r="39" spans="1:3" x14ac:dyDescent="0.25">
      <c r="A39" s="5"/>
      <c r="B39" s="5"/>
      <c r="C39" s="5"/>
    </row>
    <row r="40" spans="1:3" x14ac:dyDescent="0.25">
      <c r="A40" s="5"/>
      <c r="B40" s="5"/>
      <c r="C40" s="5"/>
    </row>
    <row r="41" spans="1:3" x14ac:dyDescent="0.25">
      <c r="A41" s="5"/>
      <c r="B41" s="5"/>
      <c r="C41" s="5"/>
    </row>
    <row r="42" spans="1:3" x14ac:dyDescent="0.25">
      <c r="A42" s="5"/>
      <c r="B42" s="5"/>
      <c r="C42" s="5"/>
    </row>
    <row r="43" spans="1:3" x14ac:dyDescent="0.25">
      <c r="A43" s="5"/>
      <c r="B43" s="5"/>
      <c r="C43" s="5"/>
    </row>
    <row r="44" spans="1:3" x14ac:dyDescent="0.25">
      <c r="A44" s="5"/>
      <c r="B44" s="5"/>
      <c r="C44" s="5"/>
    </row>
    <row r="45" spans="1:3" x14ac:dyDescent="0.25">
      <c r="A45" s="5"/>
      <c r="B45" s="5"/>
      <c r="C45" s="5"/>
    </row>
    <row r="46" spans="1:3" x14ac:dyDescent="0.25">
      <c r="A46" s="5"/>
      <c r="B46" s="5"/>
      <c r="C46" s="5"/>
    </row>
    <row r="47" spans="1:3" x14ac:dyDescent="0.25">
      <c r="A47" s="5"/>
      <c r="B47" s="5"/>
      <c r="C47" s="5"/>
    </row>
    <row r="48" spans="1:3" x14ac:dyDescent="0.25">
      <c r="A48" s="5"/>
      <c r="B48" s="5"/>
      <c r="C48" s="5"/>
    </row>
    <row r="49" spans="1:3" x14ac:dyDescent="0.25">
      <c r="A49" s="5"/>
      <c r="B49" s="5"/>
      <c r="C49" s="5"/>
    </row>
    <row r="50" spans="1:3" x14ac:dyDescent="0.25">
      <c r="A50" s="5"/>
      <c r="B50" s="5"/>
      <c r="C50" s="5"/>
    </row>
    <row r="51" spans="1:3" x14ac:dyDescent="0.25">
      <c r="A51" s="5"/>
      <c r="B51" s="5"/>
      <c r="C51" s="5"/>
    </row>
    <row r="52" spans="1:3" x14ac:dyDescent="0.25">
      <c r="A52" s="5"/>
      <c r="B52" s="5"/>
      <c r="C52" s="5"/>
    </row>
    <row r="53" spans="1:3" x14ac:dyDescent="0.25">
      <c r="A53" s="5"/>
      <c r="B53" s="5"/>
      <c r="C53" s="5"/>
    </row>
    <row r="54" spans="1:3" x14ac:dyDescent="0.25">
      <c r="A54" s="5"/>
      <c r="B54" s="5"/>
      <c r="C54" s="5"/>
    </row>
    <row r="55" spans="1:3" x14ac:dyDescent="0.25">
      <c r="A55" s="5"/>
      <c r="B55" s="5"/>
      <c r="C55" s="5"/>
    </row>
    <row r="56" spans="1:3" x14ac:dyDescent="0.25">
      <c r="A56" s="5"/>
      <c r="B56" s="5"/>
      <c r="C56" s="5"/>
    </row>
    <row r="57" spans="1:3" x14ac:dyDescent="0.25">
      <c r="A57" s="5"/>
      <c r="B57" s="5"/>
      <c r="C57" s="5"/>
    </row>
    <row r="58" spans="1:3" x14ac:dyDescent="0.25">
      <c r="A58" s="5"/>
      <c r="B58" s="5"/>
      <c r="C58" s="5"/>
    </row>
    <row r="59" spans="1:3" x14ac:dyDescent="0.25">
      <c r="A59" s="5"/>
      <c r="B59" s="5"/>
      <c r="C59" s="5"/>
    </row>
    <row r="60" spans="1:3" x14ac:dyDescent="0.25">
      <c r="A60" s="5"/>
      <c r="B60" s="5"/>
      <c r="C60" s="5"/>
    </row>
    <row r="61" spans="1:3" x14ac:dyDescent="0.25">
      <c r="A61" s="5"/>
      <c r="B61" s="5"/>
      <c r="C61" s="5"/>
    </row>
    <row r="62" spans="1:3" x14ac:dyDescent="0.25">
      <c r="A62" s="5"/>
      <c r="B62" s="5"/>
      <c r="C62" s="5"/>
    </row>
    <row r="63" spans="1:3" x14ac:dyDescent="0.25">
      <c r="A63" s="5"/>
      <c r="B63" s="5"/>
      <c r="C63" s="5"/>
    </row>
    <row r="64" spans="1:3" x14ac:dyDescent="0.25">
      <c r="A64" s="5"/>
      <c r="B64" s="5"/>
      <c r="C64" s="5"/>
    </row>
    <row r="65" spans="1:3" x14ac:dyDescent="0.25">
      <c r="A65" s="5"/>
      <c r="B65" s="5"/>
      <c r="C65" s="5"/>
    </row>
    <row r="66" spans="1:3" x14ac:dyDescent="0.25">
      <c r="A66" s="5"/>
      <c r="B66" s="5"/>
      <c r="C66" s="5"/>
    </row>
    <row r="67" spans="1:3" x14ac:dyDescent="0.25">
      <c r="A67" s="5"/>
      <c r="B67" s="5"/>
      <c r="C67" s="5"/>
    </row>
    <row r="68" spans="1:3" x14ac:dyDescent="0.25">
      <c r="A68" s="5"/>
      <c r="B68" s="5"/>
      <c r="C68" s="5"/>
    </row>
    <row r="69" spans="1:3" x14ac:dyDescent="0.25">
      <c r="A69" s="5"/>
      <c r="B69" s="5"/>
      <c r="C69" s="5"/>
    </row>
    <row r="70" spans="1:3" x14ac:dyDescent="0.25">
      <c r="A70" s="5"/>
      <c r="B70" s="5"/>
      <c r="C70" s="5"/>
    </row>
    <row r="71" spans="1:3" x14ac:dyDescent="0.25">
      <c r="A71" s="5"/>
      <c r="B71" s="5"/>
      <c r="C71" s="5"/>
    </row>
    <row r="72" spans="1:3" x14ac:dyDescent="0.25">
      <c r="A72" s="5"/>
      <c r="B72" s="5"/>
      <c r="C72" s="5"/>
    </row>
    <row r="73" spans="1:3" x14ac:dyDescent="0.25">
      <c r="A73" s="5"/>
      <c r="B73" s="5"/>
      <c r="C73" s="5"/>
    </row>
    <row r="74" spans="1:3" x14ac:dyDescent="0.25">
      <c r="A74" s="5"/>
      <c r="B74" s="5"/>
      <c r="C74" s="5"/>
    </row>
    <row r="75" spans="1:3" x14ac:dyDescent="0.25">
      <c r="A75" s="5"/>
      <c r="B75" s="5"/>
      <c r="C75" s="5"/>
    </row>
    <row r="76" spans="1:3" x14ac:dyDescent="0.25">
      <c r="A76" s="5"/>
      <c r="B76" s="5"/>
      <c r="C76" s="5"/>
    </row>
    <row r="77" spans="1:3" x14ac:dyDescent="0.25">
      <c r="A77" s="5"/>
      <c r="B77" s="5"/>
      <c r="C77" s="5"/>
    </row>
    <row r="78" spans="1:3" x14ac:dyDescent="0.25">
      <c r="A78" s="5"/>
      <c r="B78" s="5"/>
      <c r="C78" s="5"/>
    </row>
    <row r="79" spans="1:3" x14ac:dyDescent="0.25">
      <c r="A79" s="5"/>
      <c r="B79" s="5"/>
      <c r="C79" s="5"/>
    </row>
    <row r="80" spans="1:3" x14ac:dyDescent="0.25">
      <c r="A80" s="5"/>
      <c r="B80" s="5"/>
      <c r="C80" s="5"/>
    </row>
    <row r="81" spans="1:3" x14ac:dyDescent="0.25">
      <c r="A81" s="5"/>
      <c r="B81" s="5"/>
      <c r="C81" s="5"/>
    </row>
    <row r="82" spans="1:3" x14ac:dyDescent="0.25">
      <c r="A82" s="5"/>
      <c r="B82" s="5"/>
      <c r="C82" s="5"/>
    </row>
    <row r="83" spans="1:3" x14ac:dyDescent="0.25">
      <c r="A83" s="5"/>
      <c r="B83" s="5"/>
      <c r="C83" s="5"/>
    </row>
    <row r="84" spans="1:3" x14ac:dyDescent="0.25">
      <c r="A84" s="5"/>
      <c r="B84" s="5"/>
      <c r="C84" s="5"/>
    </row>
    <row r="85" spans="1:3" x14ac:dyDescent="0.25">
      <c r="A85" s="5"/>
      <c r="B85" s="5"/>
      <c r="C85" s="5"/>
    </row>
    <row r="86" spans="1:3" x14ac:dyDescent="0.25">
      <c r="A86" s="5"/>
      <c r="B86" s="5"/>
      <c r="C86" s="5"/>
    </row>
    <row r="87" spans="1:3" x14ac:dyDescent="0.25">
      <c r="A87" s="5"/>
      <c r="B87" s="5"/>
      <c r="C87" s="5"/>
    </row>
    <row r="88" spans="1:3" x14ac:dyDescent="0.25">
      <c r="A88" s="5"/>
      <c r="B88" s="5"/>
      <c r="C88" s="5"/>
    </row>
    <row r="89" spans="1:3" x14ac:dyDescent="0.25">
      <c r="A89" s="5"/>
      <c r="B89" s="5"/>
      <c r="C89" s="5"/>
    </row>
    <row r="90" spans="1:3" x14ac:dyDescent="0.25">
      <c r="A90" s="5"/>
      <c r="B90" s="5"/>
      <c r="C90" s="5"/>
    </row>
    <row r="91" spans="1:3" x14ac:dyDescent="0.25">
      <c r="A91" s="5"/>
      <c r="B91" s="5"/>
      <c r="C91" s="5"/>
    </row>
    <row r="92" spans="1:3" x14ac:dyDescent="0.25">
      <c r="A92" s="5"/>
      <c r="B92" s="5"/>
      <c r="C92" s="5"/>
    </row>
    <row r="93" spans="1:3" x14ac:dyDescent="0.25">
      <c r="A93" s="5"/>
      <c r="B93" s="5"/>
      <c r="C93" s="5"/>
    </row>
    <row r="94" spans="1:3" x14ac:dyDescent="0.25">
      <c r="A94" s="5"/>
      <c r="B94" s="5"/>
      <c r="C94" s="5"/>
    </row>
    <row r="95" spans="1:3" x14ac:dyDescent="0.25">
      <c r="A95" s="5"/>
      <c r="B95" s="5"/>
      <c r="C95" s="5"/>
    </row>
    <row r="96" spans="1:3" x14ac:dyDescent="0.25">
      <c r="A96" s="5"/>
      <c r="B96" s="5"/>
      <c r="C96" s="5"/>
    </row>
    <row r="97" spans="1:3" x14ac:dyDescent="0.25">
      <c r="A97" s="5"/>
      <c r="B97" s="5"/>
      <c r="C97" s="5"/>
    </row>
    <row r="98" spans="1:3" x14ac:dyDescent="0.25">
      <c r="A98" s="5"/>
      <c r="B98" s="5"/>
      <c r="C98" s="5"/>
    </row>
    <row r="99" spans="1:3" x14ac:dyDescent="0.25">
      <c r="A99" s="5"/>
      <c r="B99" s="5"/>
      <c r="C99" s="5"/>
    </row>
    <row r="100" spans="1:3" x14ac:dyDescent="0.25">
      <c r="A100" s="5"/>
      <c r="B100" s="5"/>
      <c r="C100" s="5"/>
    </row>
    <row r="101" spans="1:3" x14ac:dyDescent="0.25">
      <c r="A101" s="5"/>
      <c r="B101" s="5"/>
      <c r="C101" s="5"/>
    </row>
    <row r="102" spans="1:3" x14ac:dyDescent="0.25">
      <c r="A102" s="5"/>
      <c r="B102" s="5"/>
      <c r="C102" s="5"/>
    </row>
    <row r="103" spans="1:3" x14ac:dyDescent="0.25">
      <c r="A103" s="5"/>
      <c r="B103" s="5"/>
      <c r="C103" s="5"/>
    </row>
    <row r="104" spans="1:3" x14ac:dyDescent="0.25">
      <c r="A104" s="5"/>
      <c r="B104" s="5"/>
      <c r="C104" s="5"/>
    </row>
    <row r="105" spans="1:3" x14ac:dyDescent="0.25">
      <c r="A105" s="5"/>
      <c r="B105" s="5"/>
      <c r="C105" s="5"/>
    </row>
    <row r="106" spans="1:3" x14ac:dyDescent="0.25">
      <c r="A106" s="5"/>
      <c r="B106" s="5"/>
      <c r="C106" s="5"/>
    </row>
    <row r="107" spans="1:3" x14ac:dyDescent="0.25">
      <c r="A107" s="5"/>
      <c r="B107" s="5"/>
      <c r="C107" s="5"/>
    </row>
    <row r="108" spans="1:3" x14ac:dyDescent="0.25">
      <c r="A108" s="5"/>
      <c r="B108" s="5"/>
      <c r="C108" s="5"/>
    </row>
    <row r="109" spans="1:3" x14ac:dyDescent="0.25">
      <c r="A109" s="5"/>
      <c r="B109" s="5"/>
      <c r="C109" s="5"/>
    </row>
    <row r="110" spans="1:3" x14ac:dyDescent="0.25">
      <c r="A110" s="5"/>
      <c r="B110" s="5"/>
      <c r="C110" s="5"/>
    </row>
    <row r="111" spans="1:3" x14ac:dyDescent="0.25">
      <c r="A111" s="5"/>
      <c r="B111" s="5"/>
      <c r="C111" s="5"/>
    </row>
    <row r="112" spans="1:3" x14ac:dyDescent="0.25">
      <c r="A112" s="5"/>
      <c r="B112" s="5"/>
      <c r="C112" s="5"/>
    </row>
    <row r="113" spans="1:3" x14ac:dyDescent="0.25">
      <c r="A113" s="5"/>
      <c r="B113" s="5"/>
      <c r="C113" s="5"/>
    </row>
    <row r="114" spans="1:3" x14ac:dyDescent="0.25">
      <c r="A114" s="5"/>
      <c r="B114" s="5"/>
      <c r="C114" s="5"/>
    </row>
    <row r="115" spans="1:3" x14ac:dyDescent="0.25">
      <c r="A115" s="5"/>
      <c r="B115" s="5"/>
      <c r="C115" s="5"/>
    </row>
    <row r="116" spans="1:3" x14ac:dyDescent="0.25">
      <c r="A116" s="5"/>
      <c r="B116" s="5"/>
      <c r="C116" s="5"/>
    </row>
    <row r="117" spans="1:3" x14ac:dyDescent="0.25">
      <c r="A117" s="5"/>
      <c r="B117" s="5"/>
      <c r="C117" s="5"/>
    </row>
    <row r="118" spans="1:3" x14ac:dyDescent="0.25">
      <c r="A118" s="5"/>
      <c r="B118" s="5"/>
      <c r="C118" s="5"/>
    </row>
    <row r="119" spans="1:3" x14ac:dyDescent="0.25">
      <c r="A119" s="5"/>
      <c r="B119" s="5"/>
      <c r="C119" s="5"/>
    </row>
    <row r="120" spans="1:3" x14ac:dyDescent="0.25">
      <c r="A120" s="5"/>
      <c r="B120" s="5"/>
      <c r="C120" s="5"/>
    </row>
    <row r="121" spans="1:3" x14ac:dyDescent="0.25">
      <c r="A121" s="5"/>
      <c r="B121" s="5"/>
      <c r="C121" s="5"/>
    </row>
    <row r="122" spans="1:3" x14ac:dyDescent="0.25">
      <c r="A122" s="5"/>
      <c r="B122" s="5"/>
      <c r="C122" s="5"/>
    </row>
    <row r="123" spans="1:3" x14ac:dyDescent="0.25">
      <c r="A123" s="5"/>
      <c r="B123" s="5"/>
      <c r="C123" s="5"/>
    </row>
    <row r="124" spans="1:3" x14ac:dyDescent="0.25">
      <c r="A124" s="5"/>
      <c r="B124" s="5"/>
      <c r="C124" s="5"/>
    </row>
    <row r="125" spans="1:3" x14ac:dyDescent="0.25">
      <c r="A125" s="5"/>
      <c r="B125" s="5"/>
      <c r="C125" s="5"/>
    </row>
    <row r="126" spans="1:3" x14ac:dyDescent="0.25">
      <c r="A126" s="5"/>
      <c r="B126" s="5"/>
      <c r="C126" s="5"/>
    </row>
    <row r="127" spans="1:3" x14ac:dyDescent="0.25">
      <c r="A127" s="5"/>
      <c r="B127" s="5"/>
      <c r="C127" s="5"/>
    </row>
    <row r="128" spans="1:3" x14ac:dyDescent="0.25">
      <c r="A128" s="5"/>
      <c r="B128" s="5"/>
      <c r="C128" s="5"/>
    </row>
    <row r="129" spans="1:3" x14ac:dyDescent="0.25">
      <c r="A129" s="5"/>
      <c r="B129" s="5"/>
      <c r="C129" s="5"/>
    </row>
    <row r="130" spans="1:3" x14ac:dyDescent="0.25">
      <c r="A130" s="5"/>
      <c r="B130" s="5"/>
      <c r="C130" s="5"/>
    </row>
    <row r="131" spans="1:3" x14ac:dyDescent="0.25">
      <c r="A131" s="5"/>
      <c r="B131" s="5"/>
      <c r="C131" s="5"/>
    </row>
    <row r="132" spans="1:3" x14ac:dyDescent="0.25">
      <c r="A132" s="5"/>
      <c r="B132" s="5"/>
      <c r="C132" s="5"/>
    </row>
    <row r="133" spans="1:3" x14ac:dyDescent="0.25">
      <c r="A133" s="5"/>
      <c r="B133" s="5"/>
      <c r="C133" s="5"/>
    </row>
    <row r="134" spans="1:3" x14ac:dyDescent="0.25">
      <c r="A134" s="5"/>
      <c r="B134" s="5"/>
      <c r="C134" s="5"/>
    </row>
    <row r="135" spans="1:3" x14ac:dyDescent="0.25">
      <c r="A135" s="5"/>
      <c r="B135" s="5"/>
      <c r="C135" s="5"/>
    </row>
    <row r="136" spans="1:3" x14ac:dyDescent="0.25">
      <c r="A136" s="5"/>
      <c r="B136" s="5"/>
      <c r="C136" s="5"/>
    </row>
    <row r="137" spans="1:3" x14ac:dyDescent="0.25">
      <c r="A137" s="5"/>
      <c r="B137" s="5"/>
      <c r="C137" s="5"/>
    </row>
    <row r="138" spans="1:3" x14ac:dyDescent="0.25">
      <c r="A138" s="5"/>
      <c r="B138" s="5"/>
      <c r="C138" s="5"/>
    </row>
    <row r="139" spans="1:3" x14ac:dyDescent="0.25">
      <c r="A139" s="5"/>
      <c r="B139" s="5"/>
      <c r="C139" s="5"/>
    </row>
    <row r="140" spans="1:3" x14ac:dyDescent="0.25">
      <c r="A140" s="5"/>
      <c r="B140" s="5"/>
      <c r="C140" s="5"/>
    </row>
    <row r="141" spans="1:3" x14ac:dyDescent="0.25">
      <c r="A141" s="5"/>
      <c r="B141" s="5"/>
      <c r="C141" s="5"/>
    </row>
    <row r="142" spans="1:3" x14ac:dyDescent="0.25">
      <c r="A142" s="5"/>
      <c r="B142" s="5"/>
      <c r="C142" s="5"/>
    </row>
    <row r="143" spans="1:3" x14ac:dyDescent="0.25">
      <c r="A143" s="5"/>
      <c r="B143" s="5"/>
      <c r="C143" s="5"/>
    </row>
    <row r="144" spans="1:3" x14ac:dyDescent="0.25">
      <c r="A144" s="5"/>
      <c r="B144" s="5"/>
      <c r="C144" s="5"/>
    </row>
    <row r="145" spans="1:3" x14ac:dyDescent="0.25">
      <c r="A145" s="5"/>
      <c r="B145" s="5"/>
      <c r="C145" s="5"/>
    </row>
    <row r="146" spans="1:3" x14ac:dyDescent="0.25">
      <c r="A146" s="5"/>
      <c r="B146" s="5"/>
      <c r="C146" s="5"/>
    </row>
    <row r="147" spans="1:3" x14ac:dyDescent="0.25">
      <c r="A147" s="5"/>
      <c r="B147" s="5"/>
      <c r="C147" s="5"/>
    </row>
    <row r="148" spans="1:3" x14ac:dyDescent="0.25">
      <c r="A148" s="5"/>
      <c r="B148" s="5"/>
      <c r="C148" s="5"/>
    </row>
    <row r="149" spans="1:3" x14ac:dyDescent="0.25">
      <c r="A149" s="5"/>
      <c r="B149" s="5"/>
      <c r="C149" s="5"/>
    </row>
    <row r="150" spans="1:3" x14ac:dyDescent="0.25">
      <c r="A150" s="5"/>
      <c r="B150" s="5"/>
      <c r="C150" s="5"/>
    </row>
    <row r="151" spans="1:3" x14ac:dyDescent="0.25">
      <c r="A151" s="5"/>
      <c r="B151" s="5"/>
      <c r="C151" s="5"/>
    </row>
    <row r="152" spans="1:3" x14ac:dyDescent="0.25">
      <c r="A152" s="5"/>
      <c r="B152" s="5"/>
      <c r="C152" s="5"/>
    </row>
    <row r="153" spans="1:3" x14ac:dyDescent="0.25">
      <c r="A153" s="5"/>
      <c r="B153" s="5"/>
      <c r="C153" s="5"/>
    </row>
    <row r="154" spans="1:3" x14ac:dyDescent="0.25">
      <c r="A154" s="5"/>
      <c r="B154" s="5"/>
      <c r="C154" s="5"/>
    </row>
    <row r="155" spans="1:3" x14ac:dyDescent="0.25">
      <c r="A155" s="5"/>
      <c r="B155" s="5"/>
      <c r="C155" s="5"/>
    </row>
    <row r="156" spans="1:3" x14ac:dyDescent="0.25">
      <c r="A156" s="5"/>
      <c r="B156" s="5"/>
      <c r="C156" s="5"/>
    </row>
    <row r="157" spans="1:3" x14ac:dyDescent="0.25">
      <c r="A157" s="5"/>
      <c r="B157" s="5"/>
      <c r="C157" s="5"/>
    </row>
    <row r="158" spans="1:3" x14ac:dyDescent="0.25">
      <c r="A158" s="5"/>
      <c r="B158" s="5"/>
      <c r="C158" s="5"/>
    </row>
    <row r="159" spans="1:3" x14ac:dyDescent="0.25">
      <c r="A159" s="5"/>
      <c r="B159" s="5"/>
      <c r="C159" s="5"/>
    </row>
    <row r="160" spans="1:3" x14ac:dyDescent="0.25">
      <c r="A160" s="5"/>
      <c r="B160" s="5"/>
      <c r="C160" s="5"/>
    </row>
    <row r="161" spans="1:3" x14ac:dyDescent="0.25">
      <c r="A161" s="5"/>
      <c r="B161" s="5"/>
      <c r="C161" s="5"/>
    </row>
    <row r="162" spans="1:3" x14ac:dyDescent="0.25">
      <c r="A162" s="5"/>
      <c r="B162" s="5"/>
      <c r="C162" s="5"/>
    </row>
    <row r="163" spans="1:3" x14ac:dyDescent="0.25">
      <c r="A163" s="5"/>
      <c r="B163" s="5"/>
      <c r="C163" s="5"/>
    </row>
    <row r="164" spans="1:3" x14ac:dyDescent="0.25">
      <c r="A164" s="5"/>
      <c r="B164" s="5"/>
      <c r="C164" s="5"/>
    </row>
    <row r="165" spans="1:3" x14ac:dyDescent="0.25">
      <c r="A165" s="5"/>
      <c r="B165" s="5"/>
      <c r="C165" s="5"/>
    </row>
    <row r="166" spans="1:3" x14ac:dyDescent="0.25">
      <c r="A166" s="5"/>
      <c r="B166" s="5"/>
      <c r="C166" s="5"/>
    </row>
    <row r="167" spans="1:3" x14ac:dyDescent="0.25">
      <c r="A167" s="5"/>
      <c r="B167" s="5"/>
      <c r="C167" s="5"/>
    </row>
    <row r="168" spans="1:3" x14ac:dyDescent="0.25">
      <c r="A168" s="5"/>
      <c r="B168" s="5"/>
      <c r="C168" s="5"/>
    </row>
    <row r="169" spans="1:3" x14ac:dyDescent="0.25">
      <c r="A169" s="5"/>
      <c r="B169" s="5"/>
      <c r="C169" s="5"/>
    </row>
    <row r="170" spans="1:3" x14ac:dyDescent="0.25">
      <c r="A170" s="5"/>
      <c r="B170" s="5"/>
      <c r="C170" s="5"/>
    </row>
    <row r="171" spans="1:3" x14ac:dyDescent="0.25">
      <c r="A171" s="5"/>
      <c r="B171" s="5"/>
      <c r="C171" s="5"/>
    </row>
    <row r="172" spans="1:3" x14ac:dyDescent="0.25">
      <c r="A172" s="5"/>
      <c r="B172" s="5"/>
      <c r="C172" s="5"/>
    </row>
    <row r="173" spans="1:3" x14ac:dyDescent="0.25">
      <c r="A173" s="5"/>
      <c r="B173" s="5"/>
      <c r="C173" s="5"/>
    </row>
    <row r="174" spans="1:3" x14ac:dyDescent="0.25">
      <c r="A174" s="5"/>
      <c r="B174" s="5"/>
      <c r="C174" s="5"/>
    </row>
    <row r="175" spans="1:3" x14ac:dyDescent="0.25">
      <c r="A175" s="5"/>
      <c r="B175" s="5"/>
      <c r="C175" s="5"/>
    </row>
    <row r="176" spans="1:3" x14ac:dyDescent="0.25">
      <c r="A176" s="5"/>
      <c r="B176" s="5"/>
      <c r="C176" s="5"/>
    </row>
    <row r="177" spans="1:3" x14ac:dyDescent="0.25">
      <c r="A177" s="5"/>
      <c r="B177" s="5"/>
      <c r="C177" s="5"/>
    </row>
    <row r="178" spans="1:3" x14ac:dyDescent="0.25">
      <c r="A178" s="5"/>
      <c r="B178" s="5"/>
      <c r="C178" s="5"/>
    </row>
    <row r="179" spans="1:3" x14ac:dyDescent="0.25">
      <c r="A179" s="5"/>
      <c r="B179" s="5"/>
      <c r="C179" s="5"/>
    </row>
    <row r="180" spans="1:3" x14ac:dyDescent="0.25">
      <c r="A180" s="5"/>
      <c r="B180" s="5"/>
      <c r="C180" s="5"/>
    </row>
    <row r="181" spans="1:3" x14ac:dyDescent="0.25">
      <c r="A181" s="5"/>
      <c r="B181" s="5"/>
      <c r="C181" s="5"/>
    </row>
    <row r="182" spans="1:3" x14ac:dyDescent="0.25">
      <c r="A182" s="5"/>
      <c r="B182" s="5"/>
      <c r="C182" s="5"/>
    </row>
    <row r="183" spans="1:3" x14ac:dyDescent="0.25">
      <c r="A183" s="5"/>
      <c r="B183" s="5"/>
      <c r="C183" s="5"/>
    </row>
    <row r="184" spans="1:3" x14ac:dyDescent="0.25">
      <c r="A184" s="5"/>
      <c r="B184" s="5"/>
      <c r="C184" s="5"/>
    </row>
    <row r="185" spans="1:3" x14ac:dyDescent="0.25">
      <c r="A185" s="5"/>
      <c r="B185" s="5"/>
      <c r="C185" s="5"/>
    </row>
    <row r="186" spans="1:3" x14ac:dyDescent="0.25">
      <c r="A186" s="5"/>
      <c r="B186" s="5"/>
      <c r="C186" s="5"/>
    </row>
    <row r="187" spans="1:3" x14ac:dyDescent="0.25">
      <c r="A187" s="5"/>
      <c r="B187" s="5"/>
      <c r="C187" s="5"/>
    </row>
    <row r="188" spans="1:3" x14ac:dyDescent="0.25">
      <c r="A188" s="5"/>
      <c r="B188" s="5"/>
      <c r="C188" s="5"/>
    </row>
    <row r="189" spans="1:3" x14ac:dyDescent="0.25">
      <c r="A189" s="5"/>
      <c r="B189" s="5"/>
      <c r="C189" s="5"/>
    </row>
    <row r="190" spans="1:3" x14ac:dyDescent="0.25">
      <c r="A190" s="5"/>
      <c r="B190" s="5"/>
      <c r="C190" s="5"/>
    </row>
    <row r="191" spans="1:3" x14ac:dyDescent="0.25">
      <c r="A191" s="5"/>
      <c r="B191" s="5"/>
      <c r="C191" s="5"/>
    </row>
    <row r="192" spans="1:3" x14ac:dyDescent="0.25">
      <c r="A192" s="5"/>
      <c r="B192" s="5"/>
      <c r="C192" s="5"/>
    </row>
    <row r="193" spans="1:3" x14ac:dyDescent="0.25">
      <c r="A193" s="5"/>
      <c r="B193" s="5"/>
      <c r="C193" s="5"/>
    </row>
    <row r="194" spans="1:3" x14ac:dyDescent="0.25">
      <c r="A194" s="5"/>
      <c r="B194" s="5"/>
      <c r="C194" s="5"/>
    </row>
    <row r="195" spans="1:3" x14ac:dyDescent="0.25">
      <c r="A195" s="5"/>
      <c r="B195" s="5"/>
      <c r="C195" s="5"/>
    </row>
    <row r="196" spans="1:3" x14ac:dyDescent="0.25">
      <c r="A196" s="5"/>
      <c r="B196" s="5"/>
      <c r="C196" s="5"/>
    </row>
    <row r="197" spans="1:3" x14ac:dyDescent="0.25">
      <c r="A197" s="5"/>
      <c r="B197" s="5"/>
      <c r="C197" s="5"/>
    </row>
    <row r="198" spans="1:3" x14ac:dyDescent="0.25">
      <c r="A198" s="5"/>
      <c r="B198" s="5"/>
      <c r="C198" s="5"/>
    </row>
    <row r="199" spans="1:3" x14ac:dyDescent="0.25">
      <c r="A199" s="5"/>
      <c r="B199" s="5"/>
      <c r="C199" s="5"/>
    </row>
    <row r="200" spans="1:3" x14ac:dyDescent="0.25">
      <c r="A200" s="5"/>
      <c r="B200" s="5"/>
      <c r="C200" s="5"/>
    </row>
    <row r="201" spans="1:3" x14ac:dyDescent="0.25">
      <c r="A201" s="5"/>
      <c r="B201" s="5"/>
      <c r="C201" s="5"/>
    </row>
    <row r="202" spans="1:3" x14ac:dyDescent="0.25">
      <c r="A202" s="5"/>
      <c r="B202" s="5"/>
      <c r="C202" s="5"/>
    </row>
    <row r="203" spans="1:3" x14ac:dyDescent="0.25">
      <c r="A203" s="5"/>
      <c r="B203" s="5"/>
      <c r="C203" s="5"/>
    </row>
    <row r="204" spans="1:3" x14ac:dyDescent="0.25">
      <c r="A204" s="5"/>
      <c r="B204" s="5"/>
      <c r="C204" s="5"/>
    </row>
    <row r="205" spans="1:3" x14ac:dyDescent="0.25">
      <c r="A205" s="5"/>
      <c r="B205" s="5"/>
      <c r="C205" s="5"/>
    </row>
    <row r="206" spans="1:3" x14ac:dyDescent="0.25">
      <c r="A206" s="5"/>
      <c r="B206" s="5"/>
      <c r="C206" s="5"/>
    </row>
    <row r="207" spans="1:3" x14ac:dyDescent="0.25">
      <c r="A207" s="5"/>
      <c r="B207" s="5"/>
      <c r="C207" s="5"/>
    </row>
    <row r="208" spans="1:3" x14ac:dyDescent="0.25">
      <c r="A208" s="5"/>
      <c r="B208" s="5"/>
      <c r="C208" s="5"/>
    </row>
    <row r="209" spans="1:3" x14ac:dyDescent="0.25">
      <c r="A209" s="5"/>
      <c r="B209" s="5"/>
      <c r="C209" s="5"/>
    </row>
    <row r="210" spans="1:3" x14ac:dyDescent="0.25">
      <c r="A210" s="5"/>
      <c r="B210" s="5"/>
      <c r="C210" s="5"/>
    </row>
    <row r="211" spans="1:3" x14ac:dyDescent="0.25">
      <c r="A211" s="5"/>
      <c r="B211" s="5"/>
      <c r="C211" s="5"/>
    </row>
    <row r="212" spans="1:3" x14ac:dyDescent="0.25">
      <c r="A212" s="5"/>
      <c r="B212" s="5"/>
      <c r="C212" s="5"/>
    </row>
    <row r="213" spans="1:3" x14ac:dyDescent="0.25">
      <c r="A213" s="5"/>
      <c r="B213" s="5"/>
      <c r="C213" s="5"/>
    </row>
    <row r="214" spans="1:3" x14ac:dyDescent="0.25">
      <c r="A214" s="5"/>
      <c r="B214" s="5"/>
      <c r="C214" s="5"/>
    </row>
    <row r="215" spans="1:3" x14ac:dyDescent="0.25">
      <c r="A215" s="5"/>
      <c r="B215" s="5"/>
      <c r="C215" s="5"/>
    </row>
    <row r="216" spans="1:3" x14ac:dyDescent="0.25">
      <c r="A216" s="5"/>
      <c r="B216" s="5"/>
      <c r="C216" s="5"/>
    </row>
    <row r="217" spans="1:3" x14ac:dyDescent="0.25">
      <c r="A217" s="5"/>
      <c r="B217" s="5"/>
      <c r="C217" s="5"/>
    </row>
  </sheetData>
  <mergeCells count="2">
    <mergeCell ref="C6:E6"/>
    <mergeCell ref="A1:Q1"/>
  </mergeCells>
  <dataValidations count="4">
    <dataValidation type="list" allowBlank="1" showInputMessage="1" sqref="I10">
      <formula1>$B$14:$B$40</formula1>
    </dataValidation>
    <dataValidation type="list" allowBlank="1" showInputMessage="1" showErrorMessage="1" sqref="I7">
      <formula1>$A$14:$A$40</formula1>
    </dataValidation>
    <dataValidation type="list" allowBlank="1" showInputMessage="1" sqref="I8">
      <formula1>$A$14:$A$40</formula1>
    </dataValidation>
    <dataValidation type="list" allowBlank="1" showInputMessage="1" sqref="I9">
      <formula1>$D$14:$D$40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DX129"/>
  <sheetViews>
    <sheetView zoomScale="55" zoomScaleNormal="55" workbookViewId="0">
      <pane xSplit="4" ySplit="2" topLeftCell="E30" activePane="bottomRight" state="frozen"/>
      <selection pane="topRight" activeCell="E1" sqref="E1"/>
      <selection pane="bottomLeft" activeCell="A3" sqref="A3"/>
      <selection pane="bottomRight" activeCell="BA1" sqref="BA1:BL1"/>
    </sheetView>
  </sheetViews>
  <sheetFormatPr baseColWidth="10" defaultColWidth="9.140625"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9.71093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bestFit="1" customWidth="1"/>
    <col min="12" max="12" width="6.85546875" style="12" bestFit="1" customWidth="1"/>
    <col min="13" max="13" width="6.5703125" style="12" bestFit="1" customWidth="1"/>
    <col min="14" max="14" width="6.42578125" style="12" bestFit="1" customWidth="1"/>
    <col min="15" max="15" width="6.85546875" style="12" bestFit="1" customWidth="1"/>
    <col min="16" max="16" width="6.5703125" style="12" bestFit="1" customWidth="1"/>
    <col min="17" max="17" width="6.140625" style="12" bestFit="1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bestFit="1" customWidth="1"/>
    <col min="78" max="78" width="6.5703125" style="12" bestFit="1" customWidth="1"/>
    <col min="79" max="79" width="6.85546875" style="12" bestFit="1" customWidth="1"/>
    <col min="80" max="80" width="6.5703125" style="12" bestFit="1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13" width="6.140625" style="12" bestFit="1" customWidth="1"/>
    <col min="114" max="114" width="6.5703125" style="12" bestFit="1" customWidth="1"/>
    <col min="115" max="115" width="6.85546875" style="12" bestFit="1" customWidth="1"/>
    <col min="116" max="116" width="6.5703125" style="12" bestFit="1" customWidth="1"/>
    <col min="117" max="117" width="7.140625" style="12" bestFit="1" customWidth="1"/>
    <col min="118" max="118" width="6.140625" style="12" bestFit="1" customWidth="1"/>
    <col min="119" max="119" width="5.5703125" style="12" bestFit="1" customWidth="1"/>
    <col min="120" max="120" width="6.85546875" style="12" bestFit="1" customWidth="1"/>
    <col min="121" max="121" width="6.5703125" style="12" bestFit="1" customWidth="1"/>
    <col min="122" max="122" width="6.42578125" style="12" bestFit="1" customWidth="1"/>
    <col min="123" max="123" width="6.85546875" style="12" bestFit="1" customWidth="1"/>
    <col min="124" max="124" width="6.5703125" style="12" bestFit="1" customWidth="1"/>
    <col min="125" max="16384" width="9.140625" style="12"/>
  </cols>
  <sheetData>
    <row r="1" spans="1:1480" s="11" customFormat="1" ht="20.25" x14ac:dyDescent="0.25">
      <c r="E1" s="24">
        <f>YEAR(DATE(2018,1,1))</f>
        <v>2018</v>
      </c>
      <c r="F1" s="25"/>
      <c r="G1" s="25"/>
      <c r="H1" s="25"/>
      <c r="I1" s="25"/>
      <c r="J1" s="25"/>
      <c r="K1" s="25"/>
      <c r="L1" s="25"/>
      <c r="M1" s="25"/>
      <c r="N1" s="25"/>
      <c r="O1" s="25"/>
      <c r="P1" s="26"/>
      <c r="Q1" s="24">
        <f>YEAR(DATE(2018,13,1))</f>
        <v>2019</v>
      </c>
      <c r="R1" s="25"/>
      <c r="S1" s="25"/>
      <c r="T1" s="25"/>
      <c r="U1" s="25"/>
      <c r="V1" s="25"/>
      <c r="W1" s="25"/>
      <c r="X1" s="25"/>
      <c r="Y1" s="25"/>
      <c r="Z1" s="25"/>
      <c r="AA1" s="25"/>
      <c r="AB1" s="26"/>
      <c r="AC1" s="24">
        <f>YEAR(DATE(2018,25,1))</f>
        <v>2020</v>
      </c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6"/>
      <c r="AO1" s="24">
        <f>YEAR(DATE(2018,37,1))</f>
        <v>2021</v>
      </c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6"/>
      <c r="BA1" s="24">
        <f>YEAR(DATE(2018,49,1))</f>
        <v>2022</v>
      </c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6"/>
      <c r="BM1" s="24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6"/>
      <c r="BY1" s="24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6"/>
      <c r="CK1" s="24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6"/>
      <c r="CW1" s="24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6"/>
      <c r="DI1" s="24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6"/>
    </row>
    <row r="2" spans="1:1480" x14ac:dyDescent="0.25">
      <c r="A2" s="7" t="s">
        <v>141</v>
      </c>
      <c r="B2" s="7" t="s">
        <v>142</v>
      </c>
      <c r="C2" s="7" t="s">
        <v>143</v>
      </c>
      <c r="D2" s="7" t="s">
        <v>144</v>
      </c>
      <c r="E2" s="8">
        <f>DATE(2018,1,1)</f>
        <v>43101</v>
      </c>
      <c r="F2" s="9">
        <f>DATE(2018,2,1)</f>
        <v>43132</v>
      </c>
      <c r="G2" s="9">
        <f>DATE(2018,3,1)</f>
        <v>43160</v>
      </c>
      <c r="H2" s="9">
        <f>DATE(2018,4,1)</f>
        <v>43191</v>
      </c>
      <c r="I2" s="9">
        <f>DATE(2018,5,1)</f>
        <v>43221</v>
      </c>
      <c r="J2" s="9">
        <f>DATE(2018,6,1)</f>
        <v>43252</v>
      </c>
      <c r="K2" s="9">
        <f>DATE(2018,7,1)</f>
        <v>43282</v>
      </c>
      <c r="L2" s="9">
        <f>DATE(2018,8,1)</f>
        <v>43313</v>
      </c>
      <c r="M2" s="9">
        <f>DATE(2018,9,1)</f>
        <v>43344</v>
      </c>
      <c r="N2" s="9">
        <f>DATE(2018,10,1)</f>
        <v>43374</v>
      </c>
      <c r="O2" s="9">
        <f>DATE(2018,11,1)</f>
        <v>43405</v>
      </c>
      <c r="P2" s="10">
        <f>DATE(2018,12,1)</f>
        <v>43435</v>
      </c>
      <c r="Q2" s="8">
        <f>DATE(2018,13,1)</f>
        <v>43466</v>
      </c>
      <c r="R2" s="9">
        <f>DATE(2018,14,1)</f>
        <v>43497</v>
      </c>
      <c r="S2" s="9">
        <f>DATE(2018,15,1)</f>
        <v>43525</v>
      </c>
      <c r="T2" s="9">
        <f>DATE(2018,16,1)</f>
        <v>43556</v>
      </c>
      <c r="U2" s="9">
        <f>DATE(2018,17,1)</f>
        <v>43586</v>
      </c>
      <c r="V2" s="9">
        <f>DATE(2018,18,1)</f>
        <v>43617</v>
      </c>
      <c r="W2" s="9">
        <f>DATE(2018,19,1)</f>
        <v>43647</v>
      </c>
      <c r="X2" s="9">
        <f>DATE(2018,20,1)</f>
        <v>43678</v>
      </c>
      <c r="Y2" s="9">
        <f>DATE(2018,21,1)</f>
        <v>43709</v>
      </c>
      <c r="Z2" s="9">
        <f>DATE(2018,22,1)</f>
        <v>43739</v>
      </c>
      <c r="AA2" s="9">
        <f>DATE(2018,23,1)</f>
        <v>43770</v>
      </c>
      <c r="AB2" s="10">
        <f>DATE(2018,24,1)</f>
        <v>43800</v>
      </c>
      <c r="AC2" s="8">
        <f>DATE(2018,25,1)</f>
        <v>43831</v>
      </c>
      <c r="AD2" s="9">
        <f>DATE(2018,26,1)</f>
        <v>43862</v>
      </c>
      <c r="AE2" s="9">
        <f>DATE(2018,27,1)</f>
        <v>43891</v>
      </c>
      <c r="AF2" s="9">
        <f>DATE(2018,28,1)</f>
        <v>43922</v>
      </c>
      <c r="AG2" s="9">
        <f>DATE(2018,29,1)</f>
        <v>43952</v>
      </c>
      <c r="AH2" s="9">
        <f>DATE(2018,30,1)</f>
        <v>43983</v>
      </c>
      <c r="AI2" s="9">
        <f>DATE(2018,31,1)</f>
        <v>44013</v>
      </c>
      <c r="AJ2" s="9">
        <f>DATE(2018,32,1)</f>
        <v>44044</v>
      </c>
      <c r="AK2" s="9">
        <f>DATE(2018,33,1)</f>
        <v>44075</v>
      </c>
      <c r="AL2" s="9">
        <f>DATE(2018,34,1)</f>
        <v>44105</v>
      </c>
      <c r="AM2" s="9">
        <f>DATE(2018,35,1)</f>
        <v>44136</v>
      </c>
      <c r="AN2" s="10">
        <f>DATE(2018,36,1)</f>
        <v>44166</v>
      </c>
      <c r="AO2" s="8">
        <f>DATE(2018,37,1)</f>
        <v>44197</v>
      </c>
      <c r="AP2" s="9">
        <f>DATE(2018,38,1)</f>
        <v>44228</v>
      </c>
      <c r="AQ2" s="9">
        <f>DATE(2018,39,1)</f>
        <v>44256</v>
      </c>
      <c r="AR2" s="9">
        <f>DATE(2018,40,1)</f>
        <v>44287</v>
      </c>
      <c r="AS2" s="9">
        <f>DATE(2018,41,1)</f>
        <v>44317</v>
      </c>
      <c r="AT2" s="9">
        <f>DATE(2018,42,1)</f>
        <v>44348</v>
      </c>
      <c r="AU2" s="9">
        <f>DATE(2018,43,1)</f>
        <v>44378</v>
      </c>
      <c r="AV2" s="9">
        <f>DATE(2018,44,1)</f>
        <v>44409</v>
      </c>
      <c r="AW2" s="9">
        <f>DATE(2018,45,1)</f>
        <v>44440</v>
      </c>
      <c r="AX2" s="9">
        <f>DATE(2018,46,1)</f>
        <v>44470</v>
      </c>
      <c r="AY2" s="9">
        <f>DATE(2018,47,1)</f>
        <v>44501</v>
      </c>
      <c r="AZ2" s="10">
        <f>DATE(2018,48,1)</f>
        <v>44531</v>
      </c>
      <c r="BA2" s="8">
        <f>DATE(2018,49,1)</f>
        <v>44562</v>
      </c>
      <c r="BB2" s="9">
        <f>DATE(2018,50,1)</f>
        <v>44593</v>
      </c>
      <c r="BC2" s="9">
        <f>DATE(2018,51,1)</f>
        <v>44621</v>
      </c>
      <c r="BD2" s="9">
        <f>DATE(2018,52,1)</f>
        <v>44652</v>
      </c>
      <c r="BE2" s="9">
        <f>DATE(2018,53,1)</f>
        <v>44682</v>
      </c>
      <c r="BF2" s="9">
        <f>DATE(2018,54,1)</f>
        <v>44713</v>
      </c>
      <c r="BG2" s="9">
        <f>DATE(2018,55,1)</f>
        <v>44743</v>
      </c>
      <c r="BH2" s="9">
        <f>DATE(2018,56,1)</f>
        <v>44774</v>
      </c>
      <c r="BI2" s="9">
        <f>DATE(2018,57,1)</f>
        <v>44805</v>
      </c>
      <c r="BJ2" s="9">
        <f>DATE(2018,58,1)</f>
        <v>44835</v>
      </c>
      <c r="BK2" s="9">
        <f>DATE(2018,59,1)</f>
        <v>44866</v>
      </c>
      <c r="BL2" s="10">
        <f>DATE(2018,60,1)</f>
        <v>44896</v>
      </c>
      <c r="BM2" s="8"/>
      <c r="BN2" s="9"/>
      <c r="BO2" s="9"/>
      <c r="BP2" s="9"/>
      <c r="BQ2" s="9"/>
      <c r="BR2" s="9"/>
      <c r="BS2" s="9"/>
      <c r="BT2" s="9"/>
      <c r="BU2" s="9"/>
      <c r="BV2" s="9"/>
      <c r="BW2" s="9"/>
      <c r="BX2" s="10"/>
      <c r="BY2" s="8"/>
      <c r="BZ2" s="9"/>
      <c r="CA2" s="9"/>
      <c r="CB2" s="9"/>
      <c r="CC2" s="9"/>
      <c r="CD2" s="9"/>
      <c r="CE2" s="9"/>
      <c r="CF2" s="9"/>
      <c r="CG2" s="9"/>
      <c r="CH2" s="9"/>
      <c r="CI2" s="9"/>
      <c r="CJ2" s="10"/>
      <c r="CK2" s="8"/>
      <c r="CL2" s="9"/>
      <c r="CM2" s="9"/>
      <c r="CN2" s="9"/>
      <c r="CO2" s="9"/>
      <c r="CP2" s="9"/>
      <c r="CQ2" s="9"/>
      <c r="CR2" s="9"/>
      <c r="CS2" s="9"/>
      <c r="CT2" s="9"/>
      <c r="CU2" s="9"/>
      <c r="CV2" s="10"/>
      <c r="CW2" s="8"/>
      <c r="CX2" s="9"/>
      <c r="CY2" s="9"/>
      <c r="CZ2" s="9"/>
      <c r="DA2" s="9"/>
      <c r="DB2" s="9"/>
      <c r="DC2" s="9"/>
      <c r="DD2" s="9"/>
      <c r="DE2" s="9"/>
      <c r="DF2" s="9"/>
      <c r="DG2" s="9"/>
      <c r="DH2" s="10"/>
      <c r="DI2" s="8"/>
      <c r="DJ2" s="9"/>
      <c r="DK2" s="9"/>
      <c r="DL2" s="9"/>
      <c r="DM2" s="9"/>
      <c r="DN2" s="9"/>
      <c r="DO2" s="9"/>
      <c r="DP2" s="9"/>
      <c r="DQ2" s="9"/>
      <c r="DR2" s="9"/>
      <c r="DS2" s="9"/>
      <c r="DT2" s="1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  <c r="HA2" s="20"/>
      <c r="HB2" s="20"/>
      <c r="HC2" s="20"/>
      <c r="HD2" s="20"/>
      <c r="HE2" s="20"/>
      <c r="HF2" s="20"/>
      <c r="HG2" s="20"/>
      <c r="HH2" s="20"/>
      <c r="HI2" s="20"/>
      <c r="HJ2" s="20"/>
      <c r="HK2" s="20"/>
      <c r="HL2" s="20"/>
      <c r="HM2" s="20"/>
      <c r="HN2" s="20"/>
      <c r="HO2" s="20"/>
      <c r="HP2" s="20"/>
      <c r="HQ2" s="20"/>
      <c r="HR2" s="20"/>
      <c r="HS2" s="20"/>
      <c r="HT2" s="20"/>
      <c r="HU2" s="20"/>
      <c r="HV2" s="20"/>
      <c r="HW2" s="20"/>
      <c r="HX2" s="20"/>
      <c r="HY2" s="20"/>
      <c r="HZ2" s="20"/>
      <c r="IA2" s="20"/>
      <c r="IB2" s="20"/>
      <c r="IC2" s="20"/>
      <c r="ID2" s="20"/>
      <c r="IE2" s="20"/>
      <c r="IF2" s="20"/>
      <c r="IG2" s="20"/>
      <c r="IH2" s="20"/>
      <c r="II2" s="20"/>
      <c r="IJ2" s="20"/>
      <c r="IK2" s="20"/>
      <c r="IL2" s="20"/>
      <c r="IM2" s="20"/>
      <c r="IN2" s="20"/>
      <c r="IO2" s="20"/>
      <c r="IP2" s="20"/>
      <c r="IQ2" s="20"/>
      <c r="IR2" s="20"/>
      <c r="IS2" s="20"/>
      <c r="IT2" s="20"/>
      <c r="IU2" s="20"/>
      <c r="IV2" s="20"/>
      <c r="IW2" s="20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0"/>
      <c r="QX2" s="20"/>
      <c r="QY2" s="20"/>
      <c r="QZ2" s="20"/>
      <c r="RA2" s="20"/>
      <c r="RB2" s="20"/>
      <c r="RC2" s="20"/>
      <c r="RD2" s="20"/>
      <c r="RE2" s="20"/>
      <c r="RF2" s="20"/>
      <c r="RG2" s="20"/>
      <c r="RH2" s="20"/>
      <c r="RI2" s="20"/>
      <c r="RJ2" s="20"/>
      <c r="RK2" s="20"/>
      <c r="RL2" s="20"/>
      <c r="RM2" s="20"/>
      <c r="RN2" s="20"/>
      <c r="RO2" s="20"/>
      <c r="RP2" s="20"/>
      <c r="RQ2" s="20"/>
      <c r="RR2" s="20"/>
      <c r="RS2" s="20"/>
      <c r="RT2" s="20"/>
      <c r="RU2" s="20"/>
      <c r="RV2" s="20"/>
      <c r="RW2" s="20"/>
      <c r="RX2" s="20"/>
      <c r="RY2" s="20"/>
      <c r="RZ2" s="20"/>
      <c r="SA2" s="20"/>
      <c r="SB2" s="20"/>
      <c r="SC2" s="20"/>
      <c r="SD2" s="20"/>
      <c r="SE2" s="20"/>
      <c r="SF2" s="20"/>
      <c r="SG2" s="20"/>
      <c r="SH2" s="20"/>
      <c r="SI2" s="20"/>
      <c r="SJ2" s="20"/>
      <c r="SK2" s="20"/>
      <c r="SL2" s="20"/>
      <c r="SM2" s="20"/>
      <c r="SN2" s="20"/>
      <c r="SO2" s="20"/>
      <c r="SP2" s="20"/>
      <c r="SQ2" s="20"/>
      <c r="SR2" s="20"/>
      <c r="SS2" s="20"/>
      <c r="ST2" s="20"/>
      <c r="SU2" s="20"/>
      <c r="SV2" s="20"/>
      <c r="SW2" s="20"/>
      <c r="SX2" s="20"/>
      <c r="SY2" s="20"/>
      <c r="SZ2" s="20"/>
      <c r="TA2" s="20"/>
      <c r="TB2" s="20"/>
      <c r="TC2" s="20"/>
      <c r="TD2" s="20"/>
      <c r="TE2" s="20"/>
      <c r="TF2" s="20"/>
      <c r="TG2" s="20"/>
      <c r="TH2" s="20"/>
      <c r="TI2" s="20"/>
      <c r="TJ2" s="20"/>
      <c r="TK2" s="20"/>
      <c r="TL2" s="20"/>
      <c r="TM2" s="20"/>
      <c r="TN2" s="20"/>
      <c r="TO2" s="20"/>
      <c r="TP2" s="20"/>
      <c r="TQ2" s="20"/>
      <c r="TR2" s="20"/>
      <c r="TS2" s="20"/>
      <c r="TT2" s="20"/>
      <c r="TU2" s="20"/>
      <c r="TV2" s="20"/>
      <c r="TW2" s="20"/>
      <c r="TX2" s="20"/>
      <c r="TY2" s="20"/>
      <c r="TZ2" s="20"/>
      <c r="UA2" s="20"/>
      <c r="UB2" s="20"/>
      <c r="UC2" s="20"/>
      <c r="UD2" s="20"/>
      <c r="UE2" s="20"/>
      <c r="UF2" s="20"/>
      <c r="UG2" s="20"/>
      <c r="UH2" s="20"/>
      <c r="UI2" s="20"/>
      <c r="UJ2" s="20"/>
      <c r="UK2" s="20"/>
      <c r="UL2" s="20"/>
      <c r="UM2" s="20"/>
      <c r="UN2" s="20"/>
      <c r="UO2" s="20"/>
      <c r="UP2" s="20"/>
      <c r="UQ2" s="20"/>
      <c r="UR2" s="20"/>
      <c r="US2" s="20"/>
      <c r="UT2" s="20"/>
      <c r="UU2" s="20"/>
      <c r="UV2" s="20"/>
      <c r="UW2" s="20"/>
      <c r="UX2" s="20"/>
      <c r="UY2" s="20"/>
      <c r="UZ2" s="20"/>
      <c r="VA2" s="20"/>
      <c r="VB2" s="20"/>
      <c r="VC2" s="20"/>
      <c r="VD2" s="20"/>
      <c r="VE2" s="20"/>
      <c r="VF2" s="20"/>
      <c r="VG2" s="20"/>
      <c r="VH2" s="20"/>
      <c r="VI2" s="20"/>
      <c r="VJ2" s="20"/>
      <c r="VK2" s="20"/>
      <c r="VL2" s="20"/>
      <c r="VM2" s="20"/>
      <c r="VN2" s="20"/>
      <c r="VO2" s="20"/>
      <c r="VP2" s="20"/>
      <c r="VQ2" s="20"/>
      <c r="VR2" s="20"/>
      <c r="VS2" s="20"/>
      <c r="VT2" s="20"/>
      <c r="VU2" s="20"/>
      <c r="VV2" s="20"/>
      <c r="VW2" s="20"/>
      <c r="VX2" s="20"/>
      <c r="VY2" s="20"/>
      <c r="VZ2" s="20"/>
      <c r="WA2" s="20"/>
      <c r="WB2" s="20"/>
      <c r="WC2" s="20"/>
      <c r="WD2" s="20"/>
      <c r="WE2" s="20"/>
      <c r="WF2" s="20"/>
      <c r="WG2" s="20"/>
      <c r="WH2" s="20"/>
      <c r="WI2" s="20"/>
      <c r="WJ2" s="20"/>
      <c r="WK2" s="20"/>
      <c r="WL2" s="20"/>
      <c r="WM2" s="20"/>
      <c r="WN2" s="20"/>
      <c r="WO2" s="20"/>
      <c r="WP2" s="20"/>
      <c r="WQ2" s="20"/>
      <c r="WR2" s="20"/>
      <c r="WS2" s="20"/>
      <c r="WT2" s="20"/>
      <c r="WU2" s="20"/>
      <c r="WV2" s="20"/>
      <c r="WW2" s="20"/>
      <c r="WX2" s="20"/>
      <c r="WY2" s="20"/>
      <c r="WZ2" s="20"/>
      <c r="XA2" s="20"/>
      <c r="XB2" s="20"/>
      <c r="XC2" s="20"/>
      <c r="XD2" s="20"/>
      <c r="XE2" s="20"/>
      <c r="XF2" s="20"/>
      <c r="XG2" s="20"/>
      <c r="XH2" s="20"/>
      <c r="XI2" s="20"/>
      <c r="XJ2" s="20"/>
      <c r="XK2" s="20"/>
      <c r="XL2" s="20"/>
      <c r="XM2" s="20"/>
      <c r="XN2" s="20"/>
      <c r="XO2" s="20"/>
      <c r="XP2" s="20"/>
      <c r="XQ2" s="20"/>
      <c r="XR2" s="20"/>
      <c r="XS2" s="20"/>
      <c r="XT2" s="20"/>
      <c r="XU2" s="20"/>
      <c r="XV2" s="20"/>
      <c r="XW2" s="20"/>
      <c r="XX2" s="20"/>
      <c r="XY2" s="20"/>
      <c r="XZ2" s="20"/>
      <c r="YA2" s="20"/>
      <c r="YB2" s="20"/>
      <c r="YC2" s="20"/>
      <c r="YD2" s="20"/>
      <c r="YE2" s="20"/>
      <c r="YF2" s="20"/>
      <c r="YG2" s="20"/>
      <c r="YH2" s="20"/>
      <c r="YI2" s="20"/>
      <c r="YJ2" s="20"/>
      <c r="YK2" s="20"/>
      <c r="YL2" s="20"/>
      <c r="YM2" s="20"/>
      <c r="YN2" s="20"/>
      <c r="YO2" s="20"/>
      <c r="YP2" s="20"/>
      <c r="YQ2" s="20"/>
      <c r="YR2" s="20"/>
      <c r="YS2" s="20"/>
      <c r="YT2" s="20"/>
      <c r="YU2" s="20"/>
      <c r="YV2" s="20"/>
      <c r="YW2" s="20"/>
      <c r="YX2" s="20"/>
      <c r="YY2" s="20"/>
      <c r="YZ2" s="20"/>
      <c r="ZA2" s="20"/>
      <c r="ZB2" s="20"/>
      <c r="ZC2" s="20"/>
      <c r="ZD2" s="20"/>
      <c r="ZE2" s="20"/>
      <c r="ZF2" s="20"/>
      <c r="ZG2" s="20"/>
      <c r="ZH2" s="20"/>
      <c r="ZI2" s="20"/>
      <c r="ZJ2" s="20"/>
      <c r="ZK2" s="20"/>
      <c r="ZL2" s="20"/>
      <c r="ZM2" s="20"/>
      <c r="ZN2" s="20"/>
      <c r="ZO2" s="20"/>
      <c r="ZP2" s="20"/>
      <c r="ZQ2" s="20"/>
      <c r="ZR2" s="20"/>
      <c r="ZS2" s="20"/>
      <c r="ZT2" s="20"/>
      <c r="ZU2" s="20"/>
      <c r="ZV2" s="20"/>
      <c r="ZW2" s="20"/>
      <c r="ZX2" s="20"/>
      <c r="ZY2" s="20"/>
      <c r="ZZ2" s="20"/>
      <c r="AAA2" s="20"/>
      <c r="AAB2" s="20"/>
      <c r="AAC2" s="20"/>
      <c r="AAD2" s="20"/>
      <c r="AAE2" s="20"/>
      <c r="AAF2" s="20"/>
      <c r="AAG2" s="20"/>
      <c r="AAH2" s="20"/>
      <c r="AAI2" s="20"/>
      <c r="AAJ2" s="20"/>
      <c r="AAK2" s="20"/>
      <c r="AAL2" s="20"/>
      <c r="AAM2" s="20"/>
      <c r="AAN2" s="20"/>
      <c r="AAO2" s="20"/>
      <c r="AAP2" s="20"/>
      <c r="AAQ2" s="20"/>
      <c r="AAR2" s="20"/>
      <c r="AAS2" s="20"/>
      <c r="AAT2" s="20"/>
      <c r="AAU2" s="20"/>
      <c r="AAV2" s="20"/>
      <c r="AAW2" s="20"/>
      <c r="AAX2" s="20"/>
      <c r="AAY2" s="20"/>
      <c r="AAZ2" s="20"/>
      <c r="ABA2" s="20"/>
      <c r="ABB2" s="20"/>
      <c r="ABC2" s="20"/>
      <c r="ABD2" s="20"/>
      <c r="ABE2" s="20"/>
      <c r="ABF2" s="20"/>
      <c r="ABG2" s="20"/>
      <c r="ABH2" s="20"/>
      <c r="ABI2" s="20"/>
      <c r="ABJ2" s="20"/>
      <c r="ABK2" s="20"/>
      <c r="ABL2" s="20"/>
      <c r="ABM2" s="20"/>
      <c r="ABN2" s="20"/>
      <c r="ABO2" s="20"/>
      <c r="ABP2" s="20"/>
      <c r="ABQ2" s="20"/>
      <c r="ABR2" s="20"/>
      <c r="ABS2" s="20"/>
      <c r="ABT2" s="20"/>
      <c r="ABU2" s="20"/>
      <c r="ABV2" s="20"/>
      <c r="ABW2" s="20"/>
      <c r="ABX2" s="20"/>
      <c r="ABY2" s="20"/>
      <c r="ABZ2" s="20"/>
      <c r="ACA2" s="20"/>
      <c r="ACB2" s="20"/>
      <c r="ACC2" s="20"/>
      <c r="ACD2" s="20"/>
      <c r="ACE2" s="20"/>
      <c r="ACF2" s="20"/>
      <c r="ACG2" s="20"/>
      <c r="ACH2" s="20"/>
      <c r="ACI2" s="20"/>
      <c r="ACJ2" s="20"/>
      <c r="ACK2" s="20"/>
      <c r="ACL2" s="20"/>
      <c r="ACM2" s="20"/>
      <c r="ACN2" s="20"/>
      <c r="ACO2" s="20"/>
      <c r="ACP2" s="20"/>
      <c r="ACQ2" s="20"/>
      <c r="ACR2" s="20"/>
      <c r="ACS2" s="20"/>
      <c r="ACT2" s="20"/>
      <c r="ACU2" s="20"/>
      <c r="ACV2" s="20"/>
      <c r="ACW2" s="20"/>
      <c r="ACX2" s="20"/>
      <c r="ACY2" s="20"/>
      <c r="ACZ2" s="20"/>
      <c r="ADA2" s="20"/>
      <c r="ADB2" s="20"/>
      <c r="ADC2" s="20"/>
      <c r="ADD2" s="20"/>
      <c r="ADE2" s="20"/>
      <c r="ADF2" s="20"/>
      <c r="ADG2" s="20"/>
      <c r="ADH2" s="20"/>
      <c r="ADI2" s="20"/>
      <c r="ADJ2" s="20"/>
      <c r="ADK2" s="20"/>
      <c r="ADL2" s="20"/>
      <c r="ADM2" s="20"/>
      <c r="ADN2" s="20"/>
      <c r="ADO2" s="20"/>
      <c r="ADP2" s="20"/>
      <c r="ADQ2" s="20"/>
      <c r="ADR2" s="20"/>
      <c r="ADS2" s="20"/>
      <c r="ADT2" s="20"/>
      <c r="ADU2" s="20"/>
      <c r="ADV2" s="20"/>
      <c r="ADW2" s="20"/>
      <c r="ADX2" s="20"/>
      <c r="ADY2" s="20"/>
      <c r="ADZ2" s="20"/>
      <c r="AEA2" s="20"/>
      <c r="AEB2" s="20"/>
      <c r="AEC2" s="20"/>
      <c r="AED2" s="20"/>
      <c r="AEE2" s="20"/>
      <c r="AEF2" s="20"/>
      <c r="AEG2" s="20"/>
      <c r="AEH2" s="20"/>
      <c r="AEI2" s="20"/>
      <c r="AEJ2" s="20"/>
      <c r="AEK2" s="20"/>
      <c r="AEL2" s="20"/>
      <c r="AEM2" s="20"/>
      <c r="AEN2" s="20"/>
      <c r="AEO2" s="20"/>
      <c r="AEP2" s="20"/>
      <c r="AEQ2" s="20"/>
      <c r="AER2" s="20"/>
      <c r="AES2" s="20"/>
      <c r="AET2" s="20"/>
      <c r="AEU2" s="20"/>
      <c r="AEV2" s="20"/>
      <c r="AEW2" s="20"/>
      <c r="AEX2" s="20"/>
      <c r="AEY2" s="20"/>
      <c r="AEZ2" s="20"/>
      <c r="AFA2" s="20"/>
      <c r="AFB2" s="20"/>
      <c r="AFC2" s="20"/>
      <c r="AFD2" s="20"/>
      <c r="AFE2" s="20"/>
      <c r="AFF2" s="20"/>
      <c r="AFG2" s="20"/>
      <c r="AFH2" s="20"/>
      <c r="AFI2" s="20"/>
      <c r="AFJ2" s="20"/>
      <c r="AFK2" s="20"/>
      <c r="AFL2" s="20"/>
      <c r="AFM2" s="20"/>
      <c r="AFN2" s="20"/>
      <c r="AFO2" s="20"/>
      <c r="AFP2" s="20"/>
      <c r="AFQ2" s="20"/>
      <c r="AFR2" s="20"/>
      <c r="AFS2" s="20"/>
      <c r="AFT2" s="20"/>
      <c r="AFU2" s="20"/>
      <c r="AFV2" s="20"/>
      <c r="AFW2" s="20"/>
      <c r="AFX2" s="20"/>
      <c r="AFY2" s="20"/>
      <c r="AFZ2" s="20"/>
      <c r="AGA2" s="20"/>
      <c r="AGB2" s="20"/>
      <c r="AGC2" s="20"/>
      <c r="AGD2" s="20"/>
      <c r="AGE2" s="20"/>
      <c r="AGF2" s="20"/>
      <c r="AGG2" s="20"/>
      <c r="AGH2" s="20"/>
      <c r="AGI2" s="20"/>
      <c r="AGJ2" s="20"/>
      <c r="AGK2" s="20"/>
      <c r="AGL2" s="20"/>
      <c r="AGM2" s="20"/>
      <c r="AGN2" s="20"/>
      <c r="AGO2" s="20"/>
      <c r="AGP2" s="20"/>
      <c r="AGQ2" s="20"/>
      <c r="AGR2" s="20"/>
      <c r="AGS2" s="20"/>
      <c r="AGT2" s="20"/>
      <c r="AGU2" s="20"/>
      <c r="AGV2" s="20"/>
      <c r="AGW2" s="20"/>
      <c r="AGX2" s="20"/>
      <c r="AGY2" s="20"/>
      <c r="AGZ2" s="20"/>
      <c r="AHA2" s="20"/>
      <c r="AHB2" s="20"/>
      <c r="AHC2" s="20"/>
      <c r="AHD2" s="20"/>
      <c r="AHE2" s="20"/>
      <c r="AHF2" s="20"/>
      <c r="AHG2" s="20"/>
      <c r="AHH2" s="20"/>
      <c r="AHI2" s="20"/>
      <c r="AHJ2" s="20"/>
      <c r="AHK2" s="20"/>
      <c r="AHL2" s="20"/>
      <c r="AHM2" s="20"/>
      <c r="AHN2" s="20"/>
      <c r="AHO2" s="20"/>
      <c r="AHP2" s="20"/>
      <c r="AHQ2" s="20"/>
      <c r="AHR2" s="20"/>
      <c r="AHS2" s="20"/>
      <c r="AHT2" s="20"/>
      <c r="AHU2" s="20"/>
      <c r="AHV2" s="20"/>
      <c r="AHW2" s="20"/>
      <c r="AHX2" s="20"/>
      <c r="AHY2" s="20"/>
      <c r="AHZ2" s="20"/>
      <c r="AIA2" s="20"/>
      <c r="AIB2" s="20"/>
      <c r="AIC2" s="20"/>
      <c r="AID2" s="20"/>
      <c r="AIE2" s="20"/>
      <c r="AIF2" s="20"/>
      <c r="AIG2" s="20"/>
      <c r="AIH2" s="20"/>
      <c r="AII2" s="20"/>
      <c r="AIJ2" s="20"/>
      <c r="AIK2" s="20"/>
      <c r="AIL2" s="20"/>
      <c r="AIM2" s="20"/>
      <c r="AIN2" s="20"/>
      <c r="AIO2" s="20"/>
      <c r="AIP2" s="20"/>
      <c r="AIQ2" s="20"/>
      <c r="AIR2" s="20"/>
      <c r="AIS2" s="20"/>
      <c r="AIT2" s="20"/>
      <c r="AIU2" s="20"/>
      <c r="AIV2" s="20"/>
      <c r="AIW2" s="20"/>
      <c r="AIX2" s="20"/>
      <c r="AIY2" s="20"/>
      <c r="AIZ2" s="20"/>
      <c r="AJA2" s="20"/>
      <c r="AJB2" s="20"/>
      <c r="AJC2" s="20"/>
      <c r="AJD2" s="20"/>
      <c r="AJE2" s="20"/>
      <c r="AJF2" s="20"/>
      <c r="AJG2" s="20"/>
      <c r="AJH2" s="20"/>
      <c r="AJI2" s="20"/>
      <c r="AJJ2" s="20"/>
      <c r="AJK2" s="20"/>
      <c r="AJL2" s="20"/>
      <c r="AJM2" s="20"/>
      <c r="AJN2" s="20"/>
      <c r="AJO2" s="20"/>
      <c r="AJP2" s="20"/>
      <c r="AJQ2" s="20"/>
      <c r="AJR2" s="20"/>
      <c r="AJS2" s="20"/>
      <c r="AJT2" s="20"/>
      <c r="AJU2" s="20"/>
      <c r="AJV2" s="20"/>
      <c r="AJW2" s="20"/>
      <c r="AJX2" s="20"/>
      <c r="AJY2" s="20"/>
      <c r="AJZ2" s="20"/>
      <c r="AKA2" s="20"/>
      <c r="AKB2" s="20"/>
      <c r="AKC2" s="20"/>
      <c r="AKD2" s="20"/>
      <c r="AKE2" s="20"/>
      <c r="AKF2" s="20"/>
      <c r="AKG2" s="20"/>
      <c r="AKH2" s="20"/>
      <c r="AKI2" s="20"/>
      <c r="AKJ2" s="20"/>
      <c r="AKK2" s="20"/>
      <c r="AKL2" s="20"/>
      <c r="AKM2" s="20"/>
      <c r="AKN2" s="20"/>
      <c r="AKO2" s="20"/>
      <c r="AKP2" s="20"/>
      <c r="AKQ2" s="20"/>
      <c r="AKR2" s="20"/>
      <c r="AKS2" s="20"/>
      <c r="AKT2" s="20"/>
      <c r="AKU2" s="20"/>
      <c r="AKV2" s="20"/>
      <c r="AKW2" s="20"/>
      <c r="AKX2" s="20"/>
      <c r="AKY2" s="20"/>
      <c r="AKZ2" s="20"/>
      <c r="ALA2" s="20"/>
      <c r="ALB2" s="20"/>
      <c r="ALC2" s="20"/>
      <c r="ALD2" s="20"/>
      <c r="ALE2" s="20"/>
      <c r="ALF2" s="20"/>
      <c r="ALG2" s="20"/>
      <c r="ALH2" s="20"/>
      <c r="ALI2" s="20"/>
      <c r="ALJ2" s="20"/>
      <c r="ALK2" s="20"/>
      <c r="ALL2" s="20"/>
      <c r="ALM2" s="20"/>
      <c r="ALN2" s="20"/>
      <c r="ALO2" s="20"/>
      <c r="ALP2" s="20"/>
      <c r="ALQ2" s="20"/>
      <c r="ALR2" s="20"/>
      <c r="ALS2" s="20"/>
      <c r="ALT2" s="20"/>
      <c r="ALU2" s="20"/>
      <c r="ALV2" s="20"/>
      <c r="ALW2" s="20"/>
      <c r="ALX2" s="20"/>
      <c r="ALY2" s="20"/>
      <c r="ALZ2" s="20"/>
      <c r="AMA2" s="20"/>
      <c r="AMB2" s="20"/>
      <c r="AMC2" s="20"/>
      <c r="AMD2" s="20"/>
      <c r="AME2" s="20"/>
      <c r="AMF2" s="20"/>
      <c r="AMG2" s="20"/>
      <c r="AMH2" s="20"/>
      <c r="AMI2" s="20"/>
      <c r="AMJ2" s="20"/>
      <c r="AMK2" s="20"/>
      <c r="AML2" s="20"/>
      <c r="AMM2" s="20"/>
      <c r="AMN2" s="20"/>
      <c r="AMO2" s="20"/>
      <c r="AMP2" s="20"/>
      <c r="AMQ2" s="20"/>
      <c r="AMR2" s="20"/>
      <c r="AMS2" s="20"/>
      <c r="AMT2" s="20"/>
      <c r="AMU2" s="20"/>
      <c r="AMV2" s="20"/>
      <c r="AMW2" s="20"/>
      <c r="AMX2" s="20"/>
      <c r="AMY2" s="20"/>
      <c r="AMZ2" s="20"/>
      <c r="ANA2" s="20"/>
      <c r="ANB2" s="20"/>
      <c r="ANC2" s="20"/>
      <c r="AND2" s="20"/>
      <c r="ANE2" s="20"/>
      <c r="ANF2" s="20"/>
      <c r="ANG2" s="20"/>
      <c r="ANH2" s="20"/>
      <c r="ANI2" s="20"/>
      <c r="ANJ2" s="20"/>
      <c r="ANK2" s="20"/>
      <c r="ANL2" s="20"/>
      <c r="ANM2" s="20"/>
      <c r="ANN2" s="20"/>
      <c r="ANO2" s="20"/>
      <c r="ANP2" s="20"/>
      <c r="ANQ2" s="20"/>
      <c r="ANR2" s="20"/>
      <c r="ANS2" s="20"/>
      <c r="ANT2" s="20"/>
      <c r="ANU2" s="20"/>
      <c r="ANV2" s="20"/>
      <c r="ANW2" s="20"/>
      <c r="ANX2" s="20"/>
      <c r="ANY2" s="20"/>
      <c r="ANZ2" s="20"/>
      <c r="AOA2" s="20"/>
      <c r="AOB2" s="20"/>
      <c r="AOC2" s="20"/>
      <c r="AOD2" s="20"/>
      <c r="AOE2" s="20"/>
      <c r="AOF2" s="20"/>
      <c r="AOG2" s="20"/>
      <c r="AOH2" s="20"/>
      <c r="AOI2" s="20"/>
      <c r="AOJ2" s="20"/>
      <c r="AOK2" s="20"/>
      <c r="AOL2" s="20"/>
      <c r="AOM2" s="20"/>
      <c r="AON2" s="20"/>
      <c r="AOO2" s="20"/>
      <c r="AOP2" s="20"/>
      <c r="AOQ2" s="20"/>
      <c r="AOR2" s="20"/>
      <c r="AOS2" s="20"/>
      <c r="AOT2" s="20"/>
      <c r="AOU2" s="20"/>
      <c r="AOV2" s="20"/>
      <c r="AOW2" s="20"/>
      <c r="AOX2" s="20"/>
      <c r="AOY2" s="20"/>
      <c r="AOZ2" s="20"/>
      <c r="APA2" s="20"/>
      <c r="APB2" s="20"/>
      <c r="APC2" s="20"/>
      <c r="APD2" s="20"/>
      <c r="APE2" s="20"/>
      <c r="APF2" s="20"/>
      <c r="APG2" s="20"/>
      <c r="APH2" s="20"/>
      <c r="API2" s="20"/>
      <c r="APJ2" s="20"/>
      <c r="APK2" s="20"/>
      <c r="APL2" s="20"/>
      <c r="APM2" s="20"/>
      <c r="APN2" s="20"/>
      <c r="APO2" s="20"/>
      <c r="APP2" s="20"/>
      <c r="APQ2" s="20"/>
      <c r="APR2" s="20"/>
      <c r="APS2" s="20"/>
      <c r="APT2" s="20"/>
      <c r="APU2" s="20"/>
      <c r="APV2" s="20"/>
      <c r="APW2" s="20"/>
      <c r="APX2" s="20"/>
      <c r="APY2" s="20"/>
      <c r="APZ2" s="20"/>
      <c r="AQA2" s="20"/>
      <c r="AQB2" s="20"/>
      <c r="AQC2" s="20"/>
      <c r="AQD2" s="20"/>
      <c r="AQE2" s="20"/>
      <c r="AQF2" s="20"/>
      <c r="AQG2" s="20"/>
      <c r="AQH2" s="20"/>
      <c r="AQI2" s="20"/>
      <c r="AQJ2" s="20"/>
      <c r="AQK2" s="20"/>
      <c r="AQL2" s="20"/>
      <c r="AQM2" s="20"/>
      <c r="AQN2" s="20"/>
      <c r="AQO2" s="20"/>
      <c r="AQP2" s="20"/>
      <c r="AQQ2" s="20"/>
      <c r="AQR2" s="20"/>
      <c r="AQS2" s="20"/>
      <c r="AQT2" s="20"/>
      <c r="AQU2" s="20"/>
      <c r="AQV2" s="20"/>
      <c r="AQW2" s="20"/>
      <c r="AQX2" s="20"/>
      <c r="AQY2" s="20"/>
      <c r="AQZ2" s="20"/>
      <c r="ARA2" s="20"/>
      <c r="ARB2" s="20"/>
      <c r="ARC2" s="20"/>
      <c r="ARD2" s="20"/>
      <c r="ARE2" s="20"/>
      <c r="ARF2" s="20"/>
      <c r="ARG2" s="20"/>
      <c r="ARH2" s="20"/>
      <c r="ARI2" s="20"/>
      <c r="ARJ2" s="20"/>
      <c r="ARK2" s="20"/>
      <c r="ARL2" s="20"/>
      <c r="ARM2" s="20"/>
      <c r="ARN2" s="20"/>
      <c r="ARO2" s="20"/>
      <c r="ARP2" s="20"/>
      <c r="ARQ2" s="20"/>
      <c r="ARR2" s="20"/>
      <c r="ARS2" s="20"/>
      <c r="ART2" s="20"/>
      <c r="ARU2" s="20"/>
      <c r="ARV2" s="20"/>
      <c r="ARW2" s="20"/>
      <c r="ARX2" s="20"/>
      <c r="ARY2" s="20"/>
      <c r="ARZ2" s="20"/>
      <c r="ASA2" s="20"/>
      <c r="ASB2" s="20"/>
      <c r="ASC2" s="20"/>
      <c r="ASD2" s="20"/>
      <c r="ASE2" s="20"/>
      <c r="ASF2" s="20"/>
      <c r="ASG2" s="20"/>
      <c r="ASH2" s="20"/>
      <c r="ASI2" s="20"/>
      <c r="ASJ2" s="20"/>
      <c r="ASK2" s="20"/>
      <c r="ASL2" s="20"/>
      <c r="ASM2" s="20"/>
      <c r="ASN2" s="20"/>
      <c r="ASO2" s="20"/>
      <c r="ASP2" s="20"/>
      <c r="ASQ2" s="20"/>
      <c r="ASR2" s="20"/>
      <c r="ASS2" s="20"/>
      <c r="AST2" s="20"/>
      <c r="ASU2" s="20"/>
      <c r="ASV2" s="20"/>
      <c r="ASW2" s="20"/>
      <c r="ASX2" s="20"/>
      <c r="ASY2" s="20"/>
      <c r="ASZ2" s="20"/>
      <c r="ATA2" s="20"/>
      <c r="ATB2" s="20"/>
      <c r="ATC2" s="20"/>
      <c r="ATD2" s="20"/>
      <c r="ATE2" s="20"/>
      <c r="ATF2" s="20"/>
      <c r="ATG2" s="20"/>
      <c r="ATH2" s="20"/>
      <c r="ATI2" s="20"/>
      <c r="ATJ2" s="20"/>
      <c r="ATK2" s="20"/>
      <c r="ATL2" s="20"/>
      <c r="ATM2" s="20"/>
      <c r="ATN2" s="20"/>
      <c r="ATO2" s="20"/>
      <c r="ATP2" s="20"/>
      <c r="ATQ2" s="20"/>
      <c r="ATR2" s="20"/>
      <c r="ATS2" s="20"/>
      <c r="ATT2" s="20"/>
      <c r="ATU2" s="20"/>
      <c r="ATV2" s="20"/>
      <c r="ATW2" s="20"/>
      <c r="ATX2" s="20"/>
      <c r="ATY2" s="20"/>
      <c r="ATZ2" s="20"/>
      <c r="AUA2" s="20"/>
      <c r="AUB2" s="20"/>
      <c r="AUC2" s="20"/>
      <c r="AUD2" s="20"/>
      <c r="AUE2" s="20"/>
      <c r="AUF2" s="20"/>
      <c r="AUG2" s="20"/>
      <c r="AUH2" s="20"/>
      <c r="AUI2" s="20"/>
      <c r="AUJ2" s="20"/>
      <c r="AUK2" s="20"/>
      <c r="AUL2" s="20"/>
      <c r="AUM2" s="20"/>
      <c r="AUN2" s="20"/>
      <c r="AUO2" s="20"/>
      <c r="AUP2" s="20"/>
      <c r="AUQ2" s="20"/>
      <c r="AUR2" s="20"/>
      <c r="AUS2" s="20"/>
      <c r="AUT2" s="20"/>
      <c r="AUU2" s="20"/>
      <c r="AUV2" s="20"/>
      <c r="AUW2" s="20"/>
      <c r="AUX2" s="20"/>
      <c r="AUY2" s="20"/>
      <c r="AUZ2" s="20"/>
      <c r="AVA2" s="20"/>
      <c r="AVB2" s="20"/>
      <c r="AVC2" s="20"/>
      <c r="AVD2" s="20"/>
      <c r="AVE2" s="20"/>
      <c r="AVF2" s="20"/>
      <c r="AVG2" s="20"/>
      <c r="AVH2" s="20"/>
      <c r="AVI2" s="20"/>
      <c r="AVJ2" s="20"/>
      <c r="AVK2" s="20"/>
      <c r="AVL2" s="20"/>
      <c r="AVM2" s="20"/>
      <c r="AVN2" s="20"/>
      <c r="AVO2" s="20"/>
      <c r="AVP2" s="20"/>
      <c r="AVQ2" s="20"/>
      <c r="AVR2" s="20"/>
      <c r="AVS2" s="20"/>
      <c r="AVT2" s="20"/>
      <c r="AVU2" s="20"/>
      <c r="AVV2" s="20"/>
      <c r="AVW2" s="20"/>
      <c r="AVX2" s="20"/>
      <c r="AVY2" s="20"/>
      <c r="AVZ2" s="20"/>
      <c r="AWA2" s="20"/>
      <c r="AWB2" s="20"/>
      <c r="AWC2" s="20"/>
      <c r="AWD2" s="20"/>
      <c r="AWE2" s="20"/>
      <c r="AWF2" s="20"/>
      <c r="AWG2" s="20"/>
      <c r="AWH2" s="20"/>
      <c r="AWI2" s="20"/>
      <c r="AWJ2" s="20"/>
      <c r="AWK2" s="20"/>
      <c r="AWL2" s="20"/>
      <c r="AWM2" s="20"/>
      <c r="AWN2" s="20"/>
      <c r="AWO2" s="20"/>
      <c r="AWP2" s="20"/>
      <c r="AWQ2" s="20"/>
      <c r="AWR2" s="20"/>
      <c r="AWS2" s="20"/>
      <c r="AWT2" s="20"/>
      <c r="AWU2" s="20"/>
      <c r="AWV2" s="20"/>
      <c r="AWW2" s="20"/>
      <c r="AWX2" s="20"/>
      <c r="AWY2" s="20"/>
      <c r="AWZ2" s="20"/>
      <c r="AXA2" s="20"/>
      <c r="AXB2" s="20"/>
      <c r="AXC2" s="20"/>
      <c r="AXD2" s="20"/>
      <c r="AXE2" s="20"/>
      <c r="AXF2" s="20"/>
      <c r="AXG2" s="20"/>
      <c r="AXH2" s="20"/>
      <c r="AXI2" s="20"/>
      <c r="AXJ2" s="20"/>
      <c r="AXK2" s="20"/>
      <c r="AXL2" s="20"/>
      <c r="AXM2" s="20"/>
      <c r="AXN2" s="20"/>
      <c r="AXO2" s="20"/>
      <c r="AXP2" s="20"/>
      <c r="AXQ2" s="20"/>
      <c r="AXR2" s="20"/>
      <c r="AXS2" s="20"/>
      <c r="AXT2" s="20"/>
      <c r="AXU2" s="20"/>
      <c r="AXV2" s="20"/>
      <c r="AXW2" s="20"/>
      <c r="AXX2" s="20"/>
      <c r="AXY2" s="20"/>
      <c r="AXZ2" s="20"/>
      <c r="AYA2" s="20"/>
      <c r="AYB2" s="20"/>
      <c r="AYC2" s="20"/>
      <c r="AYD2" s="20"/>
      <c r="AYE2" s="20"/>
      <c r="AYF2" s="20"/>
      <c r="AYG2" s="20"/>
      <c r="AYH2" s="20"/>
      <c r="AYI2" s="20"/>
      <c r="AYJ2" s="20"/>
      <c r="AYK2" s="20"/>
      <c r="AYL2" s="20"/>
      <c r="AYM2" s="20"/>
      <c r="AYN2" s="20"/>
      <c r="AYO2" s="20"/>
      <c r="AYP2" s="20"/>
      <c r="AYQ2" s="20"/>
      <c r="AYR2" s="20"/>
      <c r="AYS2" s="20"/>
      <c r="AYT2" s="20"/>
      <c r="AYU2" s="20"/>
      <c r="AYV2" s="20"/>
      <c r="AYW2" s="20"/>
      <c r="AYX2" s="20"/>
      <c r="AYY2" s="20"/>
      <c r="AYZ2" s="20"/>
      <c r="AZA2" s="20"/>
      <c r="AZB2" s="20"/>
      <c r="AZC2" s="20"/>
      <c r="AZD2" s="20"/>
      <c r="AZE2" s="20"/>
      <c r="AZF2" s="20"/>
      <c r="AZG2" s="20"/>
      <c r="AZH2" s="20"/>
      <c r="AZI2" s="20"/>
      <c r="AZJ2" s="20"/>
      <c r="AZK2" s="20"/>
      <c r="AZL2" s="20"/>
      <c r="AZM2" s="20"/>
      <c r="AZN2" s="20"/>
      <c r="AZO2" s="20"/>
      <c r="AZP2" s="20"/>
      <c r="AZQ2" s="20"/>
      <c r="AZR2" s="20"/>
      <c r="AZS2" s="20"/>
      <c r="AZT2" s="20"/>
      <c r="AZU2" s="20"/>
      <c r="AZV2" s="20"/>
      <c r="AZW2" s="20"/>
      <c r="AZX2" s="20"/>
      <c r="AZY2" s="20"/>
      <c r="AZZ2" s="20"/>
      <c r="BAA2" s="20"/>
      <c r="BAB2" s="20"/>
      <c r="BAC2" s="20"/>
      <c r="BAD2" s="20"/>
      <c r="BAE2" s="20"/>
      <c r="BAF2" s="20"/>
      <c r="BAG2" s="20"/>
      <c r="BAH2" s="20"/>
      <c r="BAI2" s="20"/>
      <c r="BAJ2" s="20"/>
      <c r="BAK2" s="20"/>
      <c r="BAL2" s="20"/>
      <c r="BAM2" s="20"/>
      <c r="BAN2" s="20"/>
      <c r="BAO2" s="20"/>
      <c r="BAP2" s="20"/>
      <c r="BAQ2" s="20"/>
      <c r="BAR2" s="20"/>
      <c r="BAS2" s="20"/>
      <c r="BAT2" s="20"/>
      <c r="BAU2" s="20"/>
      <c r="BAV2" s="20"/>
      <c r="BAW2" s="20"/>
      <c r="BAX2" s="20"/>
      <c r="BAY2" s="20"/>
      <c r="BAZ2" s="20"/>
      <c r="BBA2" s="20"/>
      <c r="BBB2" s="20"/>
      <c r="BBC2" s="20"/>
      <c r="BBD2" s="20"/>
      <c r="BBE2" s="20"/>
      <c r="BBF2" s="20"/>
      <c r="BBG2" s="20"/>
      <c r="BBH2" s="20"/>
      <c r="BBI2" s="20"/>
      <c r="BBJ2" s="20"/>
      <c r="BBK2" s="20"/>
      <c r="BBL2" s="20"/>
      <c r="BBM2" s="20"/>
      <c r="BBN2" s="20"/>
      <c r="BBO2" s="20"/>
      <c r="BBP2" s="20"/>
      <c r="BBQ2" s="20"/>
      <c r="BBR2" s="20"/>
      <c r="BBS2" s="20"/>
      <c r="BBT2" s="20"/>
      <c r="BBU2" s="20"/>
      <c r="BBV2" s="20"/>
      <c r="BBW2" s="20"/>
      <c r="BBX2" s="20"/>
      <c r="BBY2" s="20"/>
      <c r="BBZ2" s="20"/>
      <c r="BCA2" s="20"/>
      <c r="BCB2" s="20"/>
      <c r="BCC2" s="20"/>
      <c r="BCD2" s="20"/>
      <c r="BCE2" s="20"/>
      <c r="BCF2" s="20"/>
      <c r="BCG2" s="20"/>
      <c r="BCH2" s="20"/>
      <c r="BCI2" s="20"/>
      <c r="BCJ2" s="20"/>
      <c r="BCK2" s="20"/>
      <c r="BCL2" s="20"/>
      <c r="BCM2" s="20"/>
      <c r="BCN2" s="20"/>
      <c r="BCO2" s="20"/>
      <c r="BCP2" s="20"/>
      <c r="BCQ2" s="20"/>
      <c r="BCR2" s="20"/>
      <c r="BCS2" s="20"/>
      <c r="BCT2" s="20"/>
      <c r="BCU2" s="20"/>
      <c r="BCV2" s="20"/>
      <c r="BCW2" s="20"/>
      <c r="BCX2" s="20"/>
      <c r="BCY2" s="20"/>
      <c r="BCZ2" s="20"/>
      <c r="BDA2" s="20"/>
      <c r="BDB2" s="20"/>
      <c r="BDC2" s="20"/>
      <c r="BDD2" s="20"/>
      <c r="BDE2" s="20"/>
      <c r="BDF2" s="20"/>
      <c r="BDG2" s="20"/>
      <c r="BDH2" s="20"/>
      <c r="BDI2" s="20"/>
      <c r="BDJ2" s="20"/>
      <c r="BDK2" s="20"/>
      <c r="BDL2" s="20"/>
      <c r="BDM2" s="20"/>
      <c r="BDN2" s="20"/>
      <c r="BDO2" s="20"/>
      <c r="BDP2" s="20"/>
      <c r="BDQ2" s="20"/>
      <c r="BDR2" s="20"/>
      <c r="BDS2" s="20"/>
      <c r="BDT2" s="20"/>
      <c r="BDU2" s="20"/>
      <c r="BDV2" s="20"/>
      <c r="BDW2" s="20"/>
      <c r="BDX2" s="20"/>
    </row>
    <row r="3" spans="1:1480" x14ac:dyDescent="0.25">
      <c r="A3" s="13"/>
      <c r="B3" s="13"/>
      <c r="C3" s="13"/>
      <c r="D3" s="16" t="s">
        <v>6</v>
      </c>
      <c r="E3" s="14"/>
      <c r="F3" s="13"/>
      <c r="G3" s="13"/>
      <c r="H3" s="13"/>
      <c r="I3" s="13"/>
      <c r="J3" s="13"/>
      <c r="K3" s="13"/>
      <c r="L3" s="13"/>
      <c r="M3" s="13"/>
      <c r="N3" s="13"/>
      <c r="O3" s="13"/>
      <c r="P3" s="15"/>
      <c r="Q3" s="14"/>
      <c r="R3" s="13"/>
      <c r="S3" s="13"/>
      <c r="T3" s="13"/>
      <c r="U3" s="13"/>
      <c r="V3" s="13"/>
      <c r="W3" s="13"/>
      <c r="X3" s="13"/>
      <c r="Y3" s="13"/>
      <c r="Z3" s="13"/>
      <c r="AA3" s="13"/>
      <c r="AB3" s="15"/>
      <c r="AC3" s="14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5"/>
      <c r="AO3" s="14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5"/>
      <c r="BA3" s="14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5"/>
      <c r="BM3" s="14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5"/>
      <c r="BY3" s="14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5"/>
      <c r="CK3" s="14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5"/>
      <c r="CW3" s="14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5"/>
      <c r="DI3" s="14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5"/>
    </row>
    <row r="4" spans="1:1480" x14ac:dyDescent="0.25">
      <c r="A4" s="13"/>
      <c r="B4" s="13"/>
      <c r="C4" s="13"/>
      <c r="D4" s="16" t="s">
        <v>7</v>
      </c>
      <c r="E4" s="14"/>
      <c r="F4" s="13"/>
      <c r="G4" s="13"/>
      <c r="H4" s="13"/>
      <c r="I4" s="13"/>
      <c r="J4" s="13"/>
      <c r="K4" s="13"/>
      <c r="L4" s="13"/>
      <c r="M4" s="13"/>
      <c r="N4" s="13"/>
      <c r="O4" s="13"/>
      <c r="P4" s="15"/>
      <c r="Q4" s="14"/>
      <c r="R4" s="13"/>
      <c r="S4" s="13"/>
      <c r="T4" s="13"/>
      <c r="U4" s="13"/>
      <c r="V4" s="13"/>
      <c r="W4" s="13"/>
      <c r="X4" s="13"/>
      <c r="Y4" s="13"/>
      <c r="Z4" s="13"/>
      <c r="AA4" s="13"/>
      <c r="AB4" s="15"/>
      <c r="AC4" s="14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5"/>
      <c r="AO4" s="14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5"/>
      <c r="BA4" s="14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5"/>
      <c r="BM4" s="14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5"/>
      <c r="BY4" s="14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5"/>
      <c r="CK4" s="14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5"/>
      <c r="CW4" s="14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5"/>
      <c r="DI4" s="14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5"/>
    </row>
    <row r="5" spans="1:1480" x14ac:dyDescent="0.25">
      <c r="A5" s="13"/>
      <c r="B5" s="13"/>
      <c r="C5" s="13"/>
      <c r="D5" s="16" t="s">
        <v>8</v>
      </c>
      <c r="E5" s="14"/>
      <c r="F5" s="13"/>
      <c r="G5" s="13"/>
      <c r="H5" s="13"/>
      <c r="I5" s="13"/>
      <c r="J5" s="13"/>
      <c r="K5" s="13"/>
      <c r="L5" s="13"/>
      <c r="M5" s="13"/>
      <c r="N5" s="13"/>
      <c r="O5" s="13"/>
      <c r="P5" s="15"/>
      <c r="Q5" s="14"/>
      <c r="R5" s="13"/>
      <c r="S5" s="13"/>
      <c r="T5" s="13"/>
      <c r="U5" s="13"/>
      <c r="V5" s="13"/>
      <c r="W5" s="13"/>
      <c r="X5" s="13"/>
      <c r="Y5" s="13"/>
      <c r="Z5" s="13"/>
      <c r="AA5" s="13"/>
      <c r="AB5" s="15"/>
      <c r="AC5" s="14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5"/>
      <c r="AO5" s="14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5"/>
      <c r="BA5" s="14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5"/>
      <c r="BM5" s="14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5"/>
      <c r="BY5" s="14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5"/>
      <c r="CK5" s="14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5"/>
      <c r="CW5" s="14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5"/>
      <c r="DI5" s="14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5"/>
    </row>
    <row r="6" spans="1:1480" x14ac:dyDescent="0.25">
      <c r="A6" s="13"/>
      <c r="B6" s="13"/>
      <c r="C6" s="13"/>
      <c r="D6" s="16" t="s">
        <v>9</v>
      </c>
      <c r="E6" s="14"/>
      <c r="F6" s="13"/>
      <c r="G6" s="13"/>
      <c r="H6" s="13"/>
      <c r="I6" s="13"/>
      <c r="J6" s="13"/>
      <c r="K6" s="13"/>
      <c r="L6" s="13"/>
      <c r="M6" s="13"/>
      <c r="N6" s="13"/>
      <c r="O6" s="13"/>
      <c r="P6" s="15"/>
      <c r="Q6" s="14"/>
      <c r="R6" s="13"/>
      <c r="S6" s="13"/>
      <c r="T6" s="13"/>
      <c r="U6" s="13"/>
      <c r="V6" s="13"/>
      <c r="W6" s="13"/>
      <c r="X6" s="13"/>
      <c r="Y6" s="13"/>
      <c r="Z6" s="13"/>
      <c r="AA6" s="13"/>
      <c r="AB6" s="15"/>
      <c r="AC6" s="14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5"/>
      <c r="AO6" s="14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5"/>
      <c r="BA6" s="14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5"/>
      <c r="BM6" s="14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5"/>
      <c r="BY6" s="14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5"/>
      <c r="CK6" s="14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5"/>
      <c r="CW6" s="14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5"/>
      <c r="DI6" s="14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5"/>
    </row>
    <row r="7" spans="1:1480" x14ac:dyDescent="0.25">
      <c r="A7" s="13"/>
      <c r="B7" s="13"/>
      <c r="C7" s="13"/>
      <c r="D7" s="16" t="s">
        <v>10</v>
      </c>
      <c r="E7" s="14"/>
      <c r="F7" s="13"/>
      <c r="G7" s="13"/>
      <c r="H7" s="13"/>
      <c r="I7" s="13"/>
      <c r="J7" s="13"/>
      <c r="K7" s="13"/>
      <c r="L7" s="13"/>
      <c r="M7" s="13"/>
      <c r="N7" s="13"/>
      <c r="O7" s="13"/>
      <c r="P7" s="15"/>
      <c r="Q7" s="14"/>
      <c r="R7" s="13"/>
      <c r="S7" s="13"/>
      <c r="T7" s="13"/>
      <c r="U7" s="13"/>
      <c r="V7" s="13"/>
      <c r="W7" s="13"/>
      <c r="X7" s="13"/>
      <c r="Y7" s="13"/>
      <c r="Z7" s="13"/>
      <c r="AA7" s="13"/>
      <c r="AB7" s="15"/>
      <c r="AC7" s="14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5"/>
      <c r="AO7" s="14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5"/>
      <c r="BA7" s="14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5"/>
      <c r="BM7" s="14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5"/>
      <c r="BY7" s="14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5"/>
      <c r="CK7" s="14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5"/>
      <c r="CW7" s="14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5"/>
      <c r="DI7" s="14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5"/>
    </row>
    <row r="8" spans="1:1480" x14ac:dyDescent="0.25">
      <c r="A8" s="13"/>
      <c r="B8" s="13"/>
      <c r="C8" s="13"/>
      <c r="D8" s="16" t="s">
        <v>11</v>
      </c>
      <c r="E8" s="14"/>
      <c r="F8" s="13"/>
      <c r="G8" s="13"/>
      <c r="H8" s="13"/>
      <c r="I8" s="13"/>
      <c r="J8" s="13"/>
      <c r="K8" s="13"/>
      <c r="L8" s="13"/>
      <c r="M8" s="13"/>
      <c r="N8" s="13"/>
      <c r="O8" s="13"/>
      <c r="P8" s="15"/>
      <c r="Q8" s="14"/>
      <c r="R8" s="13"/>
      <c r="S8" s="13"/>
      <c r="T8" s="13"/>
      <c r="U8" s="13"/>
      <c r="V8" s="13"/>
      <c r="W8" s="13"/>
      <c r="X8" s="13"/>
      <c r="Y8" s="13"/>
      <c r="Z8" s="13"/>
      <c r="AA8" s="13"/>
      <c r="AB8" s="15"/>
      <c r="AC8" s="14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5"/>
      <c r="AO8" s="14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5"/>
      <c r="BA8" s="14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5"/>
      <c r="BM8" s="14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5"/>
      <c r="BY8" s="14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5"/>
      <c r="CK8" s="14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5"/>
      <c r="CW8" s="14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5"/>
      <c r="DI8" s="14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5"/>
    </row>
    <row r="9" spans="1:1480" x14ac:dyDescent="0.25">
      <c r="A9" s="13"/>
      <c r="B9" s="13"/>
      <c r="C9" s="13"/>
      <c r="D9" s="16" t="s">
        <v>12</v>
      </c>
      <c r="E9" s="14"/>
      <c r="F9" s="13"/>
      <c r="G9" s="13"/>
      <c r="H9" s="13"/>
      <c r="I9" s="13"/>
      <c r="J9" s="13"/>
      <c r="K9" s="13"/>
      <c r="L9" s="13"/>
      <c r="M9" s="13"/>
      <c r="N9" s="13"/>
      <c r="O9" s="13"/>
      <c r="P9" s="15"/>
      <c r="Q9" s="14"/>
      <c r="R9" s="13"/>
      <c r="S9" s="13"/>
      <c r="T9" s="13"/>
      <c r="U9" s="13"/>
      <c r="V9" s="13"/>
      <c r="W9" s="13"/>
      <c r="X9" s="13"/>
      <c r="Y9" s="13"/>
      <c r="Z9" s="13"/>
      <c r="AA9" s="13"/>
      <c r="AB9" s="15"/>
      <c r="AC9" s="14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5"/>
      <c r="AO9" s="14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5"/>
      <c r="BA9" s="14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5"/>
      <c r="BM9" s="14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5"/>
      <c r="BY9" s="14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5"/>
      <c r="CK9" s="14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5"/>
      <c r="CW9" s="14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5"/>
      <c r="DI9" s="14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5"/>
    </row>
    <row r="10" spans="1:1480" x14ac:dyDescent="0.25">
      <c r="A10" s="13"/>
      <c r="B10" s="13"/>
      <c r="C10" s="13"/>
      <c r="D10" s="16" t="s">
        <v>13</v>
      </c>
      <c r="E10" s="14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5"/>
      <c r="Q10" s="14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5"/>
      <c r="AC10" s="14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5"/>
      <c r="AO10" s="14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5"/>
      <c r="BA10" s="14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5"/>
      <c r="BM10" s="14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5"/>
      <c r="BY10" s="14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5"/>
      <c r="CK10" s="14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5"/>
      <c r="CW10" s="14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5"/>
      <c r="DI10" s="14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5"/>
    </row>
    <row r="11" spans="1:1480" x14ac:dyDescent="0.25">
      <c r="A11" s="13"/>
      <c r="B11" s="13"/>
      <c r="C11" s="13"/>
      <c r="D11" s="16" t="s">
        <v>14</v>
      </c>
      <c r="E11" s="14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5"/>
      <c r="Q11" s="14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5"/>
      <c r="AC11" s="14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5"/>
      <c r="AO11" s="14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5"/>
      <c r="BA11" s="14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5"/>
      <c r="BM11" s="14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5"/>
      <c r="BY11" s="14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5"/>
      <c r="CK11" s="14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5"/>
      <c r="CW11" s="14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5"/>
      <c r="DI11" s="14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5"/>
    </row>
    <row r="12" spans="1:1480" x14ac:dyDescent="0.25">
      <c r="A12" s="13"/>
      <c r="B12" s="13"/>
      <c r="C12" s="13"/>
      <c r="D12" s="16" t="s">
        <v>15</v>
      </c>
      <c r="E12" s="14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5"/>
      <c r="Q12" s="14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5"/>
      <c r="AC12" s="14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5"/>
      <c r="AO12" s="14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5"/>
      <c r="BA12" s="14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5"/>
      <c r="BM12" s="14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5"/>
      <c r="BY12" s="14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5"/>
      <c r="CK12" s="14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5"/>
      <c r="CW12" s="14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5"/>
      <c r="DI12" s="14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5"/>
    </row>
    <row r="13" spans="1:1480" x14ac:dyDescent="0.25">
      <c r="A13" s="13"/>
      <c r="B13" s="13"/>
      <c r="C13" s="13"/>
      <c r="D13" s="16" t="s">
        <v>16</v>
      </c>
      <c r="E13" s="14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5"/>
      <c r="Q13" s="14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5"/>
      <c r="AC13" s="14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5"/>
      <c r="AO13" s="14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5"/>
      <c r="BA13" s="14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5"/>
      <c r="BM13" s="14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5"/>
      <c r="BY13" s="14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5"/>
      <c r="CK13" s="14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5"/>
      <c r="CW13" s="14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5"/>
      <c r="DI13" s="14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5"/>
    </row>
    <row r="14" spans="1:1480" x14ac:dyDescent="0.25">
      <c r="A14" s="13"/>
      <c r="B14" s="13"/>
      <c r="C14" s="13"/>
      <c r="D14" s="16" t="s">
        <v>17</v>
      </c>
      <c r="E14" s="14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5"/>
      <c r="Q14" s="14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5"/>
      <c r="AC14" s="14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5"/>
      <c r="AO14" s="14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5"/>
      <c r="BA14" s="14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5"/>
      <c r="BM14" s="14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5"/>
      <c r="BY14" s="14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5"/>
      <c r="CK14" s="14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5"/>
      <c r="CW14" s="14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5"/>
      <c r="DI14" s="14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5"/>
    </row>
    <row r="15" spans="1:1480" x14ac:dyDescent="0.25">
      <c r="A15" s="13"/>
      <c r="B15" s="13"/>
      <c r="C15" s="13"/>
      <c r="D15" s="16" t="s">
        <v>18</v>
      </c>
      <c r="E15" s="14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5"/>
      <c r="Q15" s="14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5"/>
      <c r="AC15" s="14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5"/>
      <c r="AO15" s="14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5"/>
      <c r="BA15" s="14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5"/>
      <c r="BM15" s="14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5"/>
      <c r="BY15" s="14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5"/>
      <c r="CK15" s="14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5"/>
      <c r="CW15" s="14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5"/>
      <c r="DI15" s="14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5"/>
    </row>
    <row r="16" spans="1:1480" x14ac:dyDescent="0.25">
      <c r="A16" s="13"/>
      <c r="B16" s="13"/>
      <c r="C16" s="13"/>
      <c r="D16" s="16" t="s">
        <v>19</v>
      </c>
      <c r="E16" s="14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5"/>
      <c r="Q16" s="14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5"/>
      <c r="AC16" s="14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5"/>
      <c r="AO16" s="14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5"/>
      <c r="BA16" s="14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5"/>
      <c r="BM16" s="14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5"/>
      <c r="BY16" s="14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5"/>
      <c r="CK16" s="14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5"/>
      <c r="CW16" s="14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5"/>
      <c r="DI16" s="14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5"/>
    </row>
    <row r="17" spans="1:124" x14ac:dyDescent="0.25">
      <c r="A17" s="13"/>
      <c r="B17" s="13"/>
      <c r="C17" s="13"/>
      <c r="D17" s="16" t="s">
        <v>20</v>
      </c>
      <c r="E17" s="14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5"/>
      <c r="Q17" s="14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5"/>
      <c r="AC17" s="14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5"/>
      <c r="AO17" s="14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5"/>
      <c r="BA17" s="14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5"/>
      <c r="BM17" s="14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5"/>
      <c r="BY17" s="14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5"/>
      <c r="CK17" s="14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5"/>
      <c r="CW17" s="14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5"/>
      <c r="DI17" s="14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5"/>
    </row>
    <row r="18" spans="1:124" x14ac:dyDescent="0.25">
      <c r="A18" s="13"/>
      <c r="B18" s="13"/>
      <c r="C18" s="13"/>
      <c r="D18" s="16" t="s">
        <v>21</v>
      </c>
      <c r="E18" s="14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5"/>
      <c r="Q18" s="14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5"/>
      <c r="AC18" s="14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5"/>
      <c r="AO18" s="14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5"/>
      <c r="BA18" s="14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5"/>
      <c r="BM18" s="14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5"/>
      <c r="BY18" s="14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5"/>
      <c r="CK18" s="14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5"/>
      <c r="CW18" s="14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5"/>
      <c r="DI18" s="14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5"/>
    </row>
    <row r="19" spans="1:124" x14ac:dyDescent="0.25">
      <c r="A19" s="13"/>
      <c r="B19" s="13"/>
      <c r="C19" s="13"/>
      <c r="D19" s="16" t="s">
        <v>22</v>
      </c>
      <c r="E19" s="14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5"/>
      <c r="Q19" s="14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5"/>
      <c r="AC19" s="14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5"/>
      <c r="AO19" s="14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5"/>
      <c r="BA19" s="14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5"/>
      <c r="BM19" s="14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5"/>
      <c r="BY19" s="14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5"/>
      <c r="CK19" s="14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5"/>
      <c r="CW19" s="14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5"/>
      <c r="DI19" s="14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5"/>
    </row>
    <row r="20" spans="1:124" x14ac:dyDescent="0.25">
      <c r="A20" s="13"/>
      <c r="B20" s="13"/>
      <c r="C20" s="13"/>
      <c r="D20" s="16" t="s">
        <v>23</v>
      </c>
      <c r="E20" s="14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5"/>
      <c r="Q20" s="14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5"/>
      <c r="AC20" s="14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5"/>
      <c r="AO20" s="14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5"/>
      <c r="BA20" s="14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5"/>
      <c r="BM20" s="14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5"/>
      <c r="BY20" s="14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5"/>
      <c r="CK20" s="14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5"/>
      <c r="CW20" s="14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5"/>
      <c r="DI20" s="14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5"/>
    </row>
    <row r="21" spans="1:124" x14ac:dyDescent="0.25">
      <c r="A21" s="13"/>
      <c r="B21" s="13"/>
      <c r="C21" s="13"/>
      <c r="D21" s="16" t="s">
        <v>24</v>
      </c>
      <c r="E21" s="14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5"/>
      <c r="Q21" s="14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5"/>
      <c r="AC21" s="14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5"/>
      <c r="AO21" s="14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5"/>
      <c r="BA21" s="14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5"/>
      <c r="BM21" s="14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5"/>
      <c r="BY21" s="14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5"/>
      <c r="CK21" s="14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5"/>
      <c r="CW21" s="14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5"/>
      <c r="DI21" s="14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5"/>
    </row>
    <row r="22" spans="1:124" x14ac:dyDescent="0.25">
      <c r="A22" s="13"/>
      <c r="B22" s="13"/>
      <c r="C22" s="13"/>
      <c r="D22" s="16" t="s">
        <v>25</v>
      </c>
      <c r="E22" s="14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5"/>
      <c r="Q22" s="14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5"/>
      <c r="AC22" s="14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5"/>
      <c r="AO22" s="14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5"/>
      <c r="BA22" s="14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5"/>
      <c r="BM22" s="14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5"/>
      <c r="BY22" s="14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5"/>
      <c r="CK22" s="14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5"/>
      <c r="CW22" s="14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5"/>
      <c r="DI22" s="14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5"/>
    </row>
    <row r="23" spans="1:124" x14ac:dyDescent="0.25">
      <c r="A23" s="13"/>
      <c r="B23" s="13"/>
      <c r="C23" s="13"/>
      <c r="D23" s="16" t="s">
        <v>26</v>
      </c>
      <c r="E23" s="14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5"/>
      <c r="Q23" s="14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5"/>
      <c r="AC23" s="14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5"/>
      <c r="AO23" s="14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5"/>
      <c r="BA23" s="14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5"/>
      <c r="BM23" s="14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5"/>
      <c r="BY23" s="14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5"/>
      <c r="CK23" s="14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5"/>
      <c r="CW23" s="14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5"/>
      <c r="DI23" s="14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5"/>
    </row>
    <row r="24" spans="1:124" x14ac:dyDescent="0.25">
      <c r="A24" s="13"/>
      <c r="B24" s="13"/>
      <c r="C24" s="13"/>
      <c r="D24" s="16" t="s">
        <v>27</v>
      </c>
      <c r="E24" s="14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5"/>
      <c r="Q24" s="14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5"/>
      <c r="AC24" s="14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5"/>
      <c r="AO24" s="14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5"/>
      <c r="BA24" s="14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5"/>
      <c r="BM24" s="14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5"/>
      <c r="BY24" s="14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5"/>
      <c r="CK24" s="14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5"/>
      <c r="CW24" s="14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5"/>
      <c r="DI24" s="14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5"/>
    </row>
    <row r="25" spans="1:124" x14ac:dyDescent="0.25">
      <c r="A25" s="13"/>
      <c r="B25" s="13"/>
      <c r="C25" s="13"/>
      <c r="D25" s="16" t="s">
        <v>28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5"/>
      <c r="Q25" s="14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5"/>
      <c r="AC25" s="14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5"/>
      <c r="AO25" s="14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5"/>
      <c r="BA25" s="14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5"/>
      <c r="BM25" s="14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5"/>
      <c r="BY25" s="14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5"/>
      <c r="CK25" s="14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5"/>
      <c r="CW25" s="14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5"/>
      <c r="DI25" s="14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5"/>
    </row>
    <row r="26" spans="1:124" x14ac:dyDescent="0.25">
      <c r="A26" s="13"/>
      <c r="B26" s="13"/>
      <c r="C26" s="13"/>
      <c r="D26" s="16" t="s">
        <v>29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5"/>
      <c r="Q26" s="14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5"/>
      <c r="AC26" s="14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5"/>
      <c r="AO26" s="14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5"/>
      <c r="BA26" s="14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5"/>
      <c r="BM26" s="14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5"/>
      <c r="BY26" s="14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5"/>
      <c r="CK26" s="14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5"/>
      <c r="CW26" s="14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5"/>
      <c r="DI26" s="14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5"/>
    </row>
    <row r="27" spans="1:124" x14ac:dyDescent="0.25">
      <c r="A27" s="13"/>
      <c r="B27" s="13"/>
      <c r="C27" s="13"/>
      <c r="D27" s="16" t="s">
        <v>30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5"/>
      <c r="Q27" s="14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5"/>
      <c r="AC27" s="14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5"/>
      <c r="AO27" s="14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5"/>
      <c r="BA27" s="14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5"/>
      <c r="BM27" s="14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5"/>
      <c r="BY27" s="14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5"/>
      <c r="CK27" s="14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5"/>
      <c r="CW27" s="14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5"/>
      <c r="DI27" s="14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5"/>
    </row>
    <row r="28" spans="1:124" x14ac:dyDescent="0.25">
      <c r="A28" s="13"/>
      <c r="B28" s="13"/>
      <c r="C28" s="13"/>
      <c r="D28" s="16" t="s">
        <v>31</v>
      </c>
      <c r="E28" s="14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5"/>
      <c r="Q28" s="14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5"/>
      <c r="AC28" s="14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5"/>
      <c r="AO28" s="14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5"/>
      <c r="BA28" s="14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5"/>
      <c r="BM28" s="14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5"/>
      <c r="BY28" s="14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5"/>
      <c r="CK28" s="14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5"/>
      <c r="CW28" s="14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5"/>
      <c r="DI28" s="14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5"/>
    </row>
    <row r="29" spans="1:124" x14ac:dyDescent="0.25">
      <c r="A29" s="13"/>
      <c r="B29" s="13"/>
      <c r="C29" s="13"/>
      <c r="D29" s="16" t="s">
        <v>32</v>
      </c>
      <c r="E29" s="14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5"/>
      <c r="Q29" s="14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5"/>
      <c r="AC29" s="14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5"/>
      <c r="AO29" s="14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5"/>
      <c r="BA29" s="14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5"/>
      <c r="BM29" s="14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5"/>
      <c r="BY29" s="14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5"/>
      <c r="CK29" s="14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5"/>
      <c r="CW29" s="14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5"/>
      <c r="DI29" s="14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5"/>
    </row>
    <row r="30" spans="1:124" x14ac:dyDescent="0.25">
      <c r="A30" s="13"/>
      <c r="B30" s="13"/>
      <c r="C30" s="13"/>
      <c r="D30" s="16" t="s">
        <v>33</v>
      </c>
      <c r="E30" s="14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5"/>
      <c r="Q30" s="14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5"/>
      <c r="AC30" s="14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5"/>
      <c r="AO30" s="14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5"/>
      <c r="BA30" s="14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5"/>
      <c r="BM30" s="14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5"/>
      <c r="BY30" s="14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5"/>
      <c r="CK30" s="14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5"/>
      <c r="CW30" s="14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5"/>
      <c r="DI30" s="14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5"/>
    </row>
    <row r="31" spans="1:124" x14ac:dyDescent="0.25">
      <c r="A31" s="13"/>
      <c r="B31" s="13"/>
      <c r="C31" s="13"/>
      <c r="D31" s="16" t="s">
        <v>34</v>
      </c>
      <c r="E31" s="14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5"/>
      <c r="Q31" s="14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5"/>
      <c r="AC31" s="14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5"/>
      <c r="AO31" s="14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5"/>
      <c r="BA31" s="14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5"/>
      <c r="BM31" s="14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5"/>
      <c r="BY31" s="14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5"/>
      <c r="CK31" s="14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5"/>
      <c r="CW31" s="14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5"/>
      <c r="DI31" s="14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5"/>
    </row>
    <row r="32" spans="1:124" x14ac:dyDescent="0.25">
      <c r="A32" s="13"/>
      <c r="B32" s="13"/>
      <c r="C32" s="13"/>
      <c r="D32" s="16" t="s">
        <v>35</v>
      </c>
      <c r="E32" s="14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5"/>
      <c r="Q32" s="14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5"/>
      <c r="AC32" s="14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5"/>
      <c r="AO32" s="14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5"/>
      <c r="BA32" s="14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5"/>
      <c r="BM32" s="14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5"/>
      <c r="BY32" s="14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5"/>
      <c r="CK32" s="14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5"/>
      <c r="CW32" s="14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5"/>
      <c r="DI32" s="14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5"/>
    </row>
    <row r="33" spans="1:124" x14ac:dyDescent="0.25">
      <c r="A33" s="13"/>
      <c r="B33" s="13"/>
      <c r="C33" s="13"/>
      <c r="D33" s="16" t="s">
        <v>36</v>
      </c>
      <c r="E33" s="14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5"/>
      <c r="Q33" s="14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5"/>
      <c r="AC33" s="14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5"/>
      <c r="AO33" s="14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5"/>
      <c r="BA33" s="14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5"/>
      <c r="BM33" s="14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5"/>
      <c r="BY33" s="14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5"/>
      <c r="CK33" s="14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5"/>
      <c r="CW33" s="14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5"/>
      <c r="DI33" s="14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5"/>
    </row>
    <row r="34" spans="1:124" x14ac:dyDescent="0.25">
      <c r="A34" s="13"/>
      <c r="B34" s="13"/>
      <c r="C34" s="13"/>
      <c r="D34" s="16" t="s">
        <v>37</v>
      </c>
      <c r="E34" s="14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5"/>
      <c r="Q34" s="14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5"/>
      <c r="AC34" s="14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5"/>
      <c r="AO34" s="14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5"/>
      <c r="BA34" s="14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5"/>
      <c r="BM34" s="14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5"/>
      <c r="BY34" s="14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5"/>
      <c r="CK34" s="14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5"/>
      <c r="CW34" s="14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5"/>
      <c r="DI34" s="14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5"/>
    </row>
    <row r="35" spans="1:124" x14ac:dyDescent="0.25">
      <c r="A35" s="13"/>
      <c r="B35" s="13"/>
      <c r="C35" s="13"/>
      <c r="D35" s="16" t="s">
        <v>38</v>
      </c>
      <c r="E35" s="14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5"/>
      <c r="Q35" s="14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5"/>
      <c r="AC35" s="14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5"/>
      <c r="AO35" s="14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5"/>
      <c r="BA35" s="14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5"/>
      <c r="BM35" s="14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5"/>
      <c r="BY35" s="14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5"/>
      <c r="CK35" s="14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5"/>
      <c r="CW35" s="14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5"/>
      <c r="DI35" s="14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5"/>
    </row>
    <row r="36" spans="1:124" x14ac:dyDescent="0.25">
      <c r="A36" s="13"/>
      <c r="B36" s="13"/>
      <c r="C36" s="13"/>
      <c r="D36" s="16" t="s">
        <v>39</v>
      </c>
      <c r="E36" s="14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5"/>
      <c r="Q36" s="14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5"/>
      <c r="AC36" s="14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5"/>
      <c r="AO36" s="14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5"/>
      <c r="BA36" s="14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5"/>
      <c r="BM36" s="14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5"/>
      <c r="BY36" s="14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5"/>
      <c r="CK36" s="14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5"/>
      <c r="CW36" s="14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5"/>
      <c r="DI36" s="14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5"/>
    </row>
    <row r="37" spans="1:124" x14ac:dyDescent="0.25">
      <c r="A37" s="13"/>
      <c r="B37" s="13"/>
      <c r="C37" s="13"/>
      <c r="D37" s="16" t="s">
        <v>40</v>
      </c>
      <c r="E37" s="14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5"/>
      <c r="Q37" s="14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5"/>
      <c r="AC37" s="14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5"/>
      <c r="AO37" s="14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5"/>
      <c r="BA37" s="14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5"/>
      <c r="BM37" s="14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5"/>
      <c r="BY37" s="14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5"/>
      <c r="CK37" s="14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5"/>
      <c r="CW37" s="14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5"/>
      <c r="DI37" s="14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5"/>
    </row>
    <row r="38" spans="1:124" x14ac:dyDescent="0.25">
      <c r="A38" s="13"/>
      <c r="B38" s="13"/>
      <c r="C38" s="13"/>
      <c r="D38" s="16" t="s">
        <v>41</v>
      </c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5"/>
      <c r="Q38" s="14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5"/>
      <c r="AC38" s="14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5"/>
      <c r="AO38" s="14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5"/>
      <c r="BA38" s="14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5"/>
      <c r="BM38" s="14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5"/>
      <c r="BY38" s="14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5"/>
      <c r="CK38" s="14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5"/>
      <c r="CW38" s="14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5"/>
      <c r="DI38" s="14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5"/>
    </row>
    <row r="39" spans="1:124" x14ac:dyDescent="0.25">
      <c r="A39" s="13"/>
      <c r="B39" s="13"/>
      <c r="C39" s="13"/>
      <c r="D39" s="16" t="s">
        <v>42</v>
      </c>
      <c r="E39" s="14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5"/>
      <c r="Q39" s="14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5"/>
      <c r="AC39" s="14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5"/>
      <c r="AO39" s="14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5"/>
      <c r="BA39" s="14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5"/>
      <c r="BM39" s="14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5"/>
      <c r="BY39" s="14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5"/>
      <c r="CK39" s="14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5"/>
      <c r="CW39" s="14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5"/>
      <c r="DI39" s="14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5"/>
    </row>
    <row r="40" spans="1:124" x14ac:dyDescent="0.25">
      <c r="A40" s="13"/>
      <c r="B40" s="13"/>
      <c r="C40" s="13"/>
      <c r="D40" s="16" t="s">
        <v>43</v>
      </c>
      <c r="E40" s="14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5"/>
      <c r="Q40" s="14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5"/>
      <c r="AC40" s="14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5"/>
      <c r="AO40" s="14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5"/>
      <c r="BA40" s="14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5"/>
      <c r="BM40" s="14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5"/>
      <c r="BY40" s="14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5"/>
      <c r="CK40" s="14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5"/>
      <c r="CW40" s="14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5"/>
      <c r="DI40" s="14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5"/>
    </row>
    <row r="41" spans="1:124" x14ac:dyDescent="0.25">
      <c r="A41" s="13"/>
      <c r="B41" s="13"/>
      <c r="C41" s="13"/>
      <c r="D41" s="16" t="s">
        <v>44</v>
      </c>
      <c r="E41" s="14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5"/>
      <c r="Q41" s="14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5"/>
      <c r="AC41" s="14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5"/>
      <c r="AO41" s="14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5"/>
      <c r="BA41" s="14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5"/>
      <c r="BM41" s="14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5"/>
      <c r="BY41" s="14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5"/>
      <c r="CK41" s="14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5"/>
      <c r="CW41" s="14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5"/>
      <c r="DI41" s="14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5"/>
    </row>
    <row r="42" spans="1:124" x14ac:dyDescent="0.25">
      <c r="A42" s="13"/>
      <c r="B42" s="13"/>
      <c r="C42" s="13"/>
      <c r="D42" s="16" t="s">
        <v>45</v>
      </c>
      <c r="E42" s="1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5"/>
      <c r="Q42" s="14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5"/>
      <c r="AC42" s="14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5"/>
      <c r="AO42" s="14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5"/>
      <c r="BA42" s="14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5"/>
      <c r="BM42" s="14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5"/>
      <c r="BY42" s="14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5"/>
      <c r="CK42" s="14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5"/>
      <c r="CW42" s="14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5"/>
      <c r="DI42" s="14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5"/>
    </row>
    <row r="43" spans="1:124" x14ac:dyDescent="0.25">
      <c r="A43" s="13"/>
      <c r="B43" s="13"/>
      <c r="C43" s="13"/>
      <c r="D43" s="16" t="s">
        <v>46</v>
      </c>
      <c r="E43" s="14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5"/>
      <c r="Q43" s="14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5"/>
      <c r="AC43" s="14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5"/>
      <c r="AO43" s="14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5"/>
      <c r="BA43" s="14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5"/>
      <c r="BM43" s="14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5"/>
      <c r="BY43" s="14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5"/>
      <c r="CK43" s="14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5"/>
      <c r="CW43" s="14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5"/>
      <c r="DI43" s="14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5"/>
    </row>
    <row r="44" spans="1:124" x14ac:dyDescent="0.25">
      <c r="A44" s="13"/>
      <c r="B44" s="13"/>
      <c r="C44" s="13"/>
      <c r="D44" s="16" t="s">
        <v>47</v>
      </c>
      <c r="E44" s="14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5"/>
      <c r="Q44" s="14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5"/>
      <c r="AC44" s="14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5"/>
      <c r="AO44" s="14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5"/>
      <c r="BA44" s="14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5"/>
      <c r="BM44" s="14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5"/>
      <c r="BY44" s="14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5"/>
      <c r="CK44" s="14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5"/>
      <c r="CW44" s="14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5"/>
      <c r="DI44" s="14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5"/>
    </row>
    <row r="45" spans="1:124" x14ac:dyDescent="0.25">
      <c r="A45" s="13"/>
      <c r="B45" s="13"/>
      <c r="C45" s="13"/>
      <c r="D45" s="16" t="s">
        <v>48</v>
      </c>
      <c r="E45" s="14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5"/>
      <c r="Q45" s="14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5"/>
      <c r="AC45" s="14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5"/>
      <c r="AO45" s="14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5"/>
      <c r="BA45" s="14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5"/>
      <c r="BM45" s="14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5"/>
      <c r="BY45" s="14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5"/>
      <c r="CK45" s="14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5"/>
      <c r="CW45" s="14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5"/>
      <c r="DI45" s="14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5"/>
    </row>
    <row r="46" spans="1:124" x14ac:dyDescent="0.25">
      <c r="A46" s="13"/>
      <c r="B46" s="13"/>
      <c r="C46" s="13"/>
      <c r="D46" s="16" t="s">
        <v>49</v>
      </c>
      <c r="E46" s="14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5"/>
      <c r="Q46" s="14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5"/>
      <c r="AC46" s="14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5"/>
      <c r="AO46" s="14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5"/>
      <c r="BA46" s="14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5"/>
      <c r="BM46" s="14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5"/>
      <c r="BY46" s="14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5"/>
      <c r="CK46" s="14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5"/>
      <c r="CW46" s="14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5"/>
      <c r="DI46" s="14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5"/>
    </row>
    <row r="47" spans="1:124" x14ac:dyDescent="0.25">
      <c r="A47" s="13"/>
      <c r="B47" s="13"/>
      <c r="C47" s="13"/>
      <c r="D47" s="16" t="s">
        <v>50</v>
      </c>
      <c r="E47" s="14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5"/>
      <c r="Q47" s="14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5"/>
      <c r="AC47" s="14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5"/>
      <c r="AO47" s="14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5"/>
      <c r="BA47" s="14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5"/>
      <c r="BM47" s="14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5"/>
      <c r="BY47" s="14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5"/>
      <c r="CK47" s="14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5"/>
      <c r="CW47" s="14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5"/>
      <c r="DI47" s="14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5"/>
    </row>
    <row r="48" spans="1:124" x14ac:dyDescent="0.25">
      <c r="A48" s="13"/>
      <c r="B48" s="13"/>
      <c r="C48" s="13"/>
      <c r="D48" s="16" t="s">
        <v>51</v>
      </c>
      <c r="E48" s="14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5"/>
      <c r="Q48" s="14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5"/>
      <c r="AC48" s="14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5"/>
      <c r="AO48" s="14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5"/>
      <c r="BA48" s="14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5"/>
      <c r="BM48" s="14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5"/>
      <c r="BY48" s="14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5"/>
      <c r="CK48" s="14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5"/>
      <c r="CW48" s="14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5"/>
      <c r="DI48" s="14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5"/>
    </row>
    <row r="49" spans="1:124" x14ac:dyDescent="0.25">
      <c r="A49" s="13"/>
      <c r="B49" s="13"/>
      <c r="C49" s="13"/>
      <c r="D49" s="16" t="s">
        <v>52</v>
      </c>
      <c r="E49" s="14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5"/>
      <c r="Q49" s="14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5"/>
      <c r="AC49" s="14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5"/>
      <c r="AO49" s="14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5"/>
      <c r="BA49" s="14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5"/>
      <c r="BM49" s="14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5"/>
      <c r="BY49" s="14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5"/>
      <c r="CK49" s="14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5"/>
      <c r="CW49" s="14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5"/>
      <c r="DI49" s="14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5"/>
    </row>
    <row r="50" spans="1:124" x14ac:dyDescent="0.25">
      <c r="A50" s="13"/>
      <c r="B50" s="13"/>
      <c r="C50" s="13"/>
      <c r="D50" s="16" t="s">
        <v>53</v>
      </c>
      <c r="E50" s="14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5"/>
      <c r="Q50" s="14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5"/>
      <c r="AC50" s="14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5"/>
      <c r="AO50" s="14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5"/>
      <c r="BA50" s="14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5"/>
      <c r="BM50" s="14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5"/>
      <c r="BY50" s="14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5"/>
      <c r="CK50" s="14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5"/>
      <c r="CW50" s="14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5"/>
      <c r="DI50" s="14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5"/>
    </row>
    <row r="51" spans="1:124" x14ac:dyDescent="0.25">
      <c r="A51" s="13"/>
      <c r="B51" s="13"/>
      <c r="C51" s="13"/>
      <c r="D51" s="16" t="s">
        <v>54</v>
      </c>
      <c r="E51" s="14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5"/>
      <c r="Q51" s="14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5"/>
      <c r="AC51" s="14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5"/>
      <c r="AO51" s="14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5"/>
      <c r="BA51" s="14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5"/>
      <c r="BM51" s="14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5"/>
      <c r="BY51" s="14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5"/>
      <c r="CK51" s="14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5"/>
      <c r="CW51" s="14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5"/>
      <c r="DI51" s="14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5"/>
    </row>
    <row r="52" spans="1:124" x14ac:dyDescent="0.25">
      <c r="A52" s="13"/>
      <c r="B52" s="13"/>
      <c r="C52" s="13"/>
      <c r="D52" s="16" t="s">
        <v>55</v>
      </c>
      <c r="E52" s="14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5"/>
      <c r="Q52" s="14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5"/>
      <c r="AC52" s="14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5"/>
      <c r="AO52" s="14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5"/>
      <c r="BA52" s="14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5"/>
      <c r="BM52" s="14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5"/>
      <c r="BY52" s="14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5"/>
      <c r="CK52" s="14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5"/>
      <c r="CW52" s="14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5"/>
      <c r="DI52" s="14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5"/>
    </row>
    <row r="53" spans="1:124" x14ac:dyDescent="0.25">
      <c r="A53" s="13"/>
      <c r="B53" s="13"/>
      <c r="C53" s="13"/>
      <c r="D53" s="16" t="s">
        <v>56</v>
      </c>
      <c r="E53" s="14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5"/>
      <c r="Q53" s="14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5"/>
      <c r="AC53" s="14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5"/>
      <c r="AO53" s="14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5"/>
      <c r="BA53" s="14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5"/>
      <c r="BM53" s="14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5"/>
      <c r="BY53" s="14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5"/>
      <c r="CK53" s="14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5"/>
      <c r="CW53" s="14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5"/>
      <c r="DI53" s="14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5"/>
    </row>
    <row r="54" spans="1:124" x14ac:dyDescent="0.25">
      <c r="A54" s="13"/>
      <c r="B54" s="13"/>
      <c r="C54" s="13"/>
      <c r="D54" s="16" t="s">
        <v>57</v>
      </c>
      <c r="E54" s="14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5"/>
      <c r="Q54" s="14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5"/>
      <c r="AC54" s="14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5"/>
      <c r="AO54" s="14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5"/>
      <c r="BA54" s="14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5"/>
      <c r="BM54" s="14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5"/>
      <c r="BY54" s="14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5"/>
      <c r="CK54" s="14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5"/>
      <c r="CW54" s="14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5"/>
      <c r="DI54" s="14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5"/>
    </row>
    <row r="55" spans="1:124" x14ac:dyDescent="0.25">
      <c r="A55" s="13"/>
      <c r="B55" s="13"/>
      <c r="C55" s="13"/>
      <c r="D55" s="16" t="s">
        <v>58</v>
      </c>
      <c r="E55" s="14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5"/>
      <c r="Q55" s="14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5"/>
      <c r="AC55" s="14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5"/>
      <c r="AO55" s="14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5"/>
      <c r="BA55" s="14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5"/>
      <c r="BM55" s="14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5"/>
      <c r="BY55" s="14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5"/>
      <c r="CK55" s="14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5"/>
      <c r="CW55" s="14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5"/>
      <c r="DI55" s="14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5"/>
    </row>
    <row r="56" spans="1:124" x14ac:dyDescent="0.25">
      <c r="A56" s="13"/>
      <c r="B56" s="13"/>
      <c r="C56" s="13"/>
      <c r="D56" s="16" t="s">
        <v>59</v>
      </c>
      <c r="E56" s="14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5"/>
      <c r="Q56" s="14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5"/>
      <c r="AC56" s="14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5"/>
      <c r="AO56" s="14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5"/>
      <c r="BA56" s="14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5"/>
      <c r="BM56" s="14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5"/>
      <c r="BY56" s="14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5"/>
      <c r="CK56" s="14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5"/>
      <c r="CW56" s="14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5"/>
      <c r="DI56" s="14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5"/>
    </row>
    <row r="57" spans="1:124" x14ac:dyDescent="0.25">
      <c r="A57" s="13"/>
      <c r="B57" s="13"/>
      <c r="C57" s="13"/>
      <c r="D57" s="16" t="s">
        <v>60</v>
      </c>
      <c r="E57" s="14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5"/>
      <c r="Q57" s="14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5"/>
      <c r="AC57" s="14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5"/>
      <c r="AO57" s="14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5"/>
      <c r="BA57" s="14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5"/>
      <c r="BM57" s="14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5"/>
      <c r="BY57" s="14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5"/>
      <c r="CK57" s="14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5"/>
      <c r="CW57" s="14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5"/>
      <c r="DI57" s="14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5"/>
    </row>
    <row r="58" spans="1:124" x14ac:dyDescent="0.25">
      <c r="A58" s="13"/>
      <c r="B58" s="13"/>
      <c r="C58" s="13"/>
      <c r="D58" s="16" t="s">
        <v>61</v>
      </c>
      <c r="E58" s="14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5"/>
      <c r="Q58" s="14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5"/>
      <c r="AC58" s="14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5"/>
      <c r="AO58" s="14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5"/>
      <c r="BA58" s="14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5"/>
      <c r="BM58" s="14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5"/>
      <c r="BY58" s="14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5"/>
      <c r="CK58" s="14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5"/>
      <c r="CW58" s="14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5"/>
      <c r="DI58" s="14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5"/>
    </row>
    <row r="59" spans="1:124" x14ac:dyDescent="0.25">
      <c r="A59" s="13"/>
      <c r="B59" s="13"/>
      <c r="C59" s="13"/>
      <c r="D59" s="16" t="s">
        <v>62</v>
      </c>
      <c r="E59" s="14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5"/>
      <c r="Q59" s="14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5"/>
      <c r="AC59" s="14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5"/>
      <c r="AO59" s="14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5"/>
      <c r="BA59" s="14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5"/>
      <c r="BM59" s="14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5"/>
      <c r="BY59" s="14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5"/>
      <c r="CK59" s="14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5"/>
      <c r="CW59" s="14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5"/>
      <c r="DI59" s="14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5"/>
    </row>
    <row r="60" spans="1:124" x14ac:dyDescent="0.25">
      <c r="A60" s="13"/>
      <c r="B60" s="13"/>
      <c r="C60" s="13"/>
      <c r="D60" s="16" t="s">
        <v>63</v>
      </c>
      <c r="E60" s="14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5"/>
      <c r="Q60" s="14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5"/>
      <c r="AC60" s="14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5"/>
      <c r="AO60" s="14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5"/>
      <c r="BA60" s="14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5"/>
      <c r="BM60" s="14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5"/>
      <c r="BY60" s="14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5"/>
      <c r="CK60" s="14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5"/>
      <c r="CW60" s="14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5"/>
      <c r="DI60" s="14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5"/>
    </row>
    <row r="61" spans="1:124" x14ac:dyDescent="0.25">
      <c r="A61" s="13"/>
      <c r="B61" s="13"/>
      <c r="C61" s="13"/>
      <c r="D61" s="16" t="s">
        <v>64</v>
      </c>
      <c r="E61" s="14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5"/>
      <c r="Q61" s="14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5"/>
      <c r="AC61" s="14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5"/>
      <c r="AO61" s="14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5"/>
      <c r="BA61" s="14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5"/>
      <c r="BM61" s="14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5"/>
      <c r="BY61" s="14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5"/>
      <c r="CK61" s="14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5"/>
      <c r="CW61" s="14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5"/>
      <c r="DI61" s="14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5"/>
    </row>
    <row r="62" spans="1:124" x14ac:dyDescent="0.25">
      <c r="A62" s="13"/>
      <c r="B62" s="13"/>
      <c r="C62" s="13"/>
      <c r="D62" s="16" t="s">
        <v>65</v>
      </c>
      <c r="E62" s="14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5"/>
      <c r="Q62" s="14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5"/>
      <c r="AC62" s="14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5"/>
      <c r="AO62" s="14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5"/>
      <c r="BA62" s="14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5"/>
      <c r="BM62" s="14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5"/>
      <c r="BY62" s="14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5"/>
      <c r="CK62" s="14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5"/>
      <c r="CW62" s="14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5"/>
      <c r="DI62" s="14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5"/>
    </row>
    <row r="63" spans="1:124" x14ac:dyDescent="0.25">
      <c r="A63" s="13"/>
      <c r="B63" s="13"/>
      <c r="C63" s="13"/>
      <c r="D63" s="16" t="s">
        <v>66</v>
      </c>
      <c r="E63" s="14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5"/>
      <c r="Q63" s="14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5"/>
      <c r="AC63" s="14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5"/>
      <c r="AO63" s="14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5"/>
      <c r="BA63" s="14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5"/>
      <c r="BM63" s="14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5"/>
      <c r="BY63" s="14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5"/>
      <c r="CK63" s="14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5"/>
      <c r="CW63" s="14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5"/>
      <c r="DI63" s="14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5"/>
    </row>
    <row r="64" spans="1:124" x14ac:dyDescent="0.25">
      <c r="A64" s="13"/>
      <c r="B64" s="13"/>
      <c r="C64" s="13"/>
      <c r="D64" s="16" t="s">
        <v>67</v>
      </c>
      <c r="E64" s="14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5"/>
      <c r="Q64" s="14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5"/>
      <c r="AC64" s="14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5"/>
      <c r="AO64" s="14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5"/>
      <c r="BA64" s="14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5"/>
      <c r="BM64" s="14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5"/>
      <c r="BY64" s="14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5"/>
      <c r="CK64" s="14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5"/>
      <c r="CW64" s="14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5"/>
      <c r="DI64" s="14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5"/>
    </row>
    <row r="65" spans="1:124" x14ac:dyDescent="0.25">
      <c r="A65" s="13"/>
      <c r="B65" s="13"/>
      <c r="C65" s="13"/>
      <c r="D65" s="16" t="s">
        <v>68</v>
      </c>
      <c r="E65" s="14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5"/>
      <c r="Q65" s="14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5"/>
      <c r="AC65" s="14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5"/>
      <c r="AO65" s="14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5"/>
      <c r="BA65" s="14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5"/>
      <c r="BM65" s="14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5"/>
      <c r="BY65" s="14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5"/>
      <c r="CK65" s="14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5"/>
      <c r="CW65" s="14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5"/>
      <c r="DI65" s="14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5"/>
    </row>
    <row r="66" spans="1:124" x14ac:dyDescent="0.25">
      <c r="A66" s="13"/>
      <c r="B66" s="13"/>
      <c r="C66" s="13"/>
      <c r="D66" s="16" t="s">
        <v>69</v>
      </c>
      <c r="E66" s="14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5"/>
      <c r="Q66" s="14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5"/>
      <c r="AC66" s="14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5"/>
      <c r="AO66" s="14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5"/>
      <c r="BA66" s="14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5"/>
      <c r="BM66" s="14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5"/>
      <c r="BY66" s="14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5"/>
      <c r="CK66" s="14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5"/>
      <c r="CW66" s="14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5"/>
      <c r="DI66" s="14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5"/>
    </row>
    <row r="67" spans="1:124" x14ac:dyDescent="0.25">
      <c r="A67" s="13"/>
      <c r="B67" s="13"/>
      <c r="C67" s="13"/>
      <c r="D67" s="16" t="s">
        <v>70</v>
      </c>
      <c r="E67" s="14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5"/>
      <c r="Q67" s="14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5"/>
      <c r="AC67" s="14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5"/>
      <c r="AO67" s="14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5"/>
      <c r="BA67" s="14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5"/>
      <c r="BM67" s="14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5"/>
      <c r="BY67" s="14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5"/>
      <c r="CK67" s="14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5"/>
      <c r="CW67" s="14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5"/>
      <c r="DI67" s="14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5"/>
    </row>
    <row r="68" spans="1:124" x14ac:dyDescent="0.25">
      <c r="A68" s="13"/>
      <c r="B68" s="13"/>
      <c r="C68" s="13"/>
      <c r="D68" s="16" t="s">
        <v>71</v>
      </c>
      <c r="E68" s="14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5"/>
      <c r="Q68" s="14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5"/>
      <c r="AC68" s="14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5"/>
      <c r="AO68" s="14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5"/>
      <c r="BA68" s="14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5"/>
      <c r="BM68" s="14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5"/>
      <c r="BY68" s="14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5"/>
      <c r="CK68" s="14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5"/>
      <c r="CW68" s="14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5"/>
      <c r="DI68" s="14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5"/>
    </row>
    <row r="69" spans="1:124" x14ac:dyDescent="0.25">
      <c r="A69" s="13"/>
      <c r="B69" s="13"/>
      <c r="C69" s="13"/>
      <c r="D69" s="16" t="s">
        <v>72</v>
      </c>
      <c r="E69" s="14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5"/>
      <c r="Q69" s="14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5"/>
      <c r="AC69" s="14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5"/>
      <c r="AO69" s="14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5"/>
      <c r="BA69" s="14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5"/>
      <c r="BM69" s="14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5"/>
      <c r="BY69" s="14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5"/>
      <c r="CK69" s="14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5"/>
      <c r="CW69" s="14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5"/>
      <c r="DI69" s="14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5"/>
    </row>
    <row r="70" spans="1:124" x14ac:dyDescent="0.25">
      <c r="A70" s="13"/>
      <c r="B70" s="13"/>
      <c r="C70" s="13"/>
      <c r="D70" s="16" t="s">
        <v>73</v>
      </c>
      <c r="E70" s="14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5"/>
      <c r="Q70" s="14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5"/>
      <c r="AC70" s="14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5"/>
      <c r="AO70" s="14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5"/>
      <c r="BA70" s="14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5"/>
      <c r="BM70" s="14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5"/>
      <c r="BY70" s="14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5"/>
      <c r="CK70" s="14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5"/>
      <c r="CW70" s="14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5"/>
      <c r="DI70" s="14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5"/>
    </row>
    <row r="71" spans="1:124" x14ac:dyDescent="0.25">
      <c r="A71" s="13"/>
      <c r="B71" s="13"/>
      <c r="C71" s="13"/>
      <c r="D71" s="16" t="s">
        <v>74</v>
      </c>
      <c r="E71" s="14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5"/>
      <c r="Q71" s="14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5"/>
      <c r="AC71" s="14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5"/>
      <c r="AO71" s="14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5"/>
      <c r="BA71" s="14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5"/>
      <c r="BM71" s="14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5"/>
      <c r="BY71" s="14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5"/>
      <c r="CK71" s="14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5"/>
      <c r="CW71" s="14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5"/>
      <c r="DI71" s="14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5"/>
    </row>
    <row r="72" spans="1:124" x14ac:dyDescent="0.25">
      <c r="A72" s="13"/>
      <c r="B72" s="13"/>
      <c r="C72" s="13"/>
      <c r="D72" s="16" t="s">
        <v>75</v>
      </c>
      <c r="E72" s="14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5"/>
      <c r="Q72" s="14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5"/>
      <c r="AC72" s="14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5"/>
      <c r="AO72" s="14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5"/>
      <c r="BA72" s="14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5"/>
      <c r="BM72" s="14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5"/>
      <c r="BY72" s="14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5"/>
      <c r="CK72" s="14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5"/>
      <c r="CW72" s="14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5"/>
      <c r="DI72" s="14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5"/>
    </row>
    <row r="73" spans="1:124" x14ac:dyDescent="0.25">
      <c r="A73" s="13"/>
      <c r="B73" s="13"/>
      <c r="C73" s="13"/>
      <c r="D73" s="16" t="s">
        <v>76</v>
      </c>
      <c r="E73" s="14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5"/>
      <c r="Q73" s="14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5"/>
      <c r="AC73" s="14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5"/>
      <c r="AO73" s="14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5"/>
      <c r="BA73" s="14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5"/>
      <c r="BM73" s="14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5"/>
      <c r="BY73" s="14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5"/>
      <c r="CK73" s="14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5"/>
      <c r="CW73" s="14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5"/>
      <c r="DI73" s="14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5"/>
    </row>
    <row r="74" spans="1:124" x14ac:dyDescent="0.25">
      <c r="A74" s="13"/>
      <c r="B74" s="13"/>
      <c r="C74" s="13"/>
      <c r="D74" s="16" t="s">
        <v>77</v>
      </c>
      <c r="E74" s="14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5"/>
      <c r="Q74" s="14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5"/>
      <c r="AC74" s="14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5"/>
      <c r="AO74" s="14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5"/>
      <c r="BA74" s="14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5"/>
      <c r="BM74" s="14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5"/>
      <c r="BY74" s="14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5"/>
      <c r="CK74" s="14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5"/>
      <c r="CW74" s="14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5"/>
      <c r="DI74" s="14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5"/>
    </row>
    <row r="75" spans="1:124" x14ac:dyDescent="0.25">
      <c r="A75" s="13"/>
      <c r="B75" s="13"/>
      <c r="C75" s="13"/>
      <c r="D75" s="16" t="s">
        <v>78</v>
      </c>
      <c r="E75" s="14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5"/>
      <c r="Q75" s="14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5"/>
      <c r="AC75" s="14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5"/>
      <c r="AO75" s="14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5"/>
      <c r="BA75" s="14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5"/>
      <c r="BM75" s="14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5"/>
      <c r="BY75" s="14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5"/>
      <c r="CK75" s="14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5"/>
      <c r="CW75" s="14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5"/>
      <c r="DI75" s="14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5"/>
    </row>
    <row r="76" spans="1:124" x14ac:dyDescent="0.25">
      <c r="A76" s="13"/>
      <c r="B76" s="13"/>
      <c r="C76" s="13"/>
      <c r="D76" s="16" t="s">
        <v>79</v>
      </c>
      <c r="E76" s="14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5"/>
      <c r="Q76" s="14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5"/>
      <c r="AC76" s="14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5"/>
      <c r="AO76" s="14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5"/>
      <c r="BA76" s="14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5"/>
      <c r="BM76" s="14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5"/>
      <c r="BY76" s="14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5"/>
      <c r="CK76" s="14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5"/>
      <c r="CW76" s="14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5"/>
      <c r="DI76" s="14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5"/>
    </row>
    <row r="77" spans="1:124" x14ac:dyDescent="0.25">
      <c r="A77" s="13"/>
      <c r="B77" s="13"/>
      <c r="C77" s="13"/>
      <c r="D77" s="16"/>
      <c r="E77" s="14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5"/>
      <c r="Q77" s="14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5"/>
      <c r="AC77" s="14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5"/>
      <c r="AO77" s="14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5"/>
      <c r="BA77" s="14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5"/>
      <c r="BM77" s="14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5"/>
      <c r="BY77" s="14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5"/>
      <c r="CK77" s="14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5"/>
      <c r="CW77" s="14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5"/>
      <c r="DI77" s="14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5"/>
    </row>
    <row r="78" spans="1:124" x14ac:dyDescent="0.25">
      <c r="A78" s="13"/>
      <c r="B78" s="13"/>
      <c r="C78" s="13"/>
      <c r="D78" s="16"/>
      <c r="E78" s="1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5"/>
      <c r="Q78" s="14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5"/>
      <c r="AC78" s="14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5"/>
      <c r="AO78" s="14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5"/>
      <c r="BA78" s="14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5"/>
      <c r="BM78" s="14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5"/>
      <c r="BY78" s="14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5"/>
      <c r="CK78" s="14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5"/>
      <c r="CW78" s="14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5"/>
      <c r="DI78" s="14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5"/>
    </row>
    <row r="79" spans="1:124" x14ac:dyDescent="0.25">
      <c r="A79" s="13"/>
      <c r="B79" s="13"/>
      <c r="C79" s="13"/>
      <c r="D79" s="16"/>
      <c r="E79" s="1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5"/>
      <c r="Q79" s="14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5"/>
      <c r="AC79" s="14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5"/>
      <c r="AO79" s="14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5"/>
      <c r="BA79" s="14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5"/>
      <c r="BM79" s="14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5"/>
      <c r="BY79" s="14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5"/>
      <c r="CK79" s="14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5"/>
      <c r="CW79" s="14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5"/>
      <c r="DI79" s="14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5"/>
    </row>
    <row r="80" spans="1:124" x14ac:dyDescent="0.25">
      <c r="A80" s="13"/>
      <c r="B80" s="13"/>
      <c r="C80" s="13"/>
      <c r="D80" s="16"/>
      <c r="E80" s="1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5"/>
      <c r="Q80" s="14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5"/>
      <c r="AC80" s="14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5"/>
      <c r="AO80" s="14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5"/>
      <c r="BA80" s="14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5"/>
      <c r="BM80" s="14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5"/>
      <c r="BY80" s="14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5"/>
      <c r="CK80" s="14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5"/>
      <c r="CW80" s="14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5"/>
      <c r="DI80" s="14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5"/>
    </row>
    <row r="81" spans="1:124" x14ac:dyDescent="0.25">
      <c r="A81" s="13"/>
      <c r="B81" s="13"/>
      <c r="C81" s="13"/>
      <c r="D81" s="16"/>
      <c r="E81" s="1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5"/>
      <c r="Q81" s="14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5"/>
      <c r="AC81" s="14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5"/>
      <c r="AO81" s="14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5"/>
      <c r="BA81" s="14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5"/>
      <c r="BM81" s="14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5"/>
      <c r="BY81" s="14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5"/>
      <c r="CK81" s="14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5"/>
      <c r="CW81" s="14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5"/>
      <c r="DI81" s="14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5"/>
    </row>
    <row r="82" spans="1:124" x14ac:dyDescent="0.25">
      <c r="A82" s="13"/>
      <c r="B82" s="13"/>
      <c r="C82" s="13"/>
      <c r="D82" s="16"/>
      <c r="E82" s="1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5"/>
      <c r="Q82" s="14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5"/>
      <c r="AC82" s="14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5"/>
      <c r="AO82" s="14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5"/>
      <c r="BA82" s="14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5"/>
      <c r="BM82" s="14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5"/>
      <c r="BY82" s="14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5"/>
      <c r="CK82" s="14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5"/>
      <c r="CW82" s="14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5"/>
      <c r="DI82" s="14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5"/>
    </row>
    <row r="83" spans="1:124" x14ac:dyDescent="0.25">
      <c r="A83" s="13"/>
      <c r="B83" s="13"/>
      <c r="C83" s="13"/>
      <c r="D83" s="16"/>
      <c r="E83" s="14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5"/>
      <c r="Q83" s="14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5"/>
      <c r="AC83" s="14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5"/>
      <c r="AO83" s="14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5"/>
      <c r="BA83" s="14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5"/>
      <c r="BM83" s="14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5"/>
      <c r="BY83" s="14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5"/>
      <c r="CK83" s="14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5"/>
      <c r="CW83" s="14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5"/>
      <c r="DI83" s="14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5"/>
    </row>
    <row r="84" spans="1:124" x14ac:dyDescent="0.25">
      <c r="A84" s="13"/>
      <c r="B84" s="13"/>
      <c r="C84" s="13"/>
      <c r="D84" s="16"/>
      <c r="E84" s="14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5"/>
      <c r="Q84" s="14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5"/>
      <c r="AC84" s="14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5"/>
      <c r="AO84" s="14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5"/>
      <c r="BA84" s="14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5"/>
      <c r="BM84" s="14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5"/>
      <c r="BY84" s="14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5"/>
      <c r="CK84" s="14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5"/>
      <c r="CW84" s="14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5"/>
      <c r="DI84" s="14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5"/>
    </row>
    <row r="85" spans="1:124" x14ac:dyDescent="0.25">
      <c r="A85" s="13"/>
      <c r="B85" s="13"/>
      <c r="C85" s="13"/>
      <c r="D85" s="16"/>
      <c r="E85" s="14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5"/>
      <c r="Q85" s="14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5"/>
      <c r="AC85" s="14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5"/>
      <c r="AO85" s="14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5"/>
      <c r="BA85" s="14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5"/>
      <c r="BM85" s="14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5"/>
      <c r="BY85" s="14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5"/>
      <c r="CK85" s="14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5"/>
      <c r="CW85" s="14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5"/>
      <c r="DI85" s="14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5"/>
    </row>
    <row r="86" spans="1:124" x14ac:dyDescent="0.25">
      <c r="A86" s="13"/>
      <c r="B86" s="13"/>
      <c r="C86" s="13"/>
      <c r="D86" s="16"/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5"/>
      <c r="Q86" s="14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5"/>
      <c r="AC86" s="14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5"/>
      <c r="AO86" s="14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5"/>
      <c r="BA86" s="14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5"/>
      <c r="BM86" s="14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5"/>
      <c r="BY86" s="14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5"/>
      <c r="CK86" s="14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5"/>
      <c r="CW86" s="14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5"/>
      <c r="DI86" s="14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5"/>
    </row>
    <row r="87" spans="1:124" x14ac:dyDescent="0.25">
      <c r="A87" s="13"/>
      <c r="B87" s="13"/>
      <c r="C87" s="13"/>
      <c r="D87" s="16"/>
      <c r="E87" s="14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5"/>
      <c r="Q87" s="14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5"/>
      <c r="AC87" s="14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5"/>
      <c r="AO87" s="14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5"/>
      <c r="BA87" s="14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5"/>
      <c r="BM87" s="14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5"/>
      <c r="BY87" s="14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5"/>
      <c r="CK87" s="14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5"/>
      <c r="CW87" s="14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5"/>
      <c r="DI87" s="14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5"/>
    </row>
    <row r="88" spans="1:124" x14ac:dyDescent="0.25">
      <c r="A88" s="13"/>
      <c r="B88" s="13"/>
      <c r="C88" s="13"/>
      <c r="D88" s="16"/>
      <c r="E88" s="14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5"/>
      <c r="Q88" s="14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5"/>
      <c r="AC88" s="14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5"/>
      <c r="AO88" s="14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5"/>
      <c r="BA88" s="14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5"/>
      <c r="BM88" s="14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5"/>
      <c r="BY88" s="14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5"/>
      <c r="CK88" s="14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5"/>
      <c r="CW88" s="14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5"/>
      <c r="DI88" s="14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5"/>
    </row>
    <row r="89" spans="1:124" x14ac:dyDescent="0.25">
      <c r="A89" s="13"/>
      <c r="B89" s="13"/>
      <c r="C89" s="13"/>
      <c r="D89" s="16"/>
      <c r="E89" s="14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5"/>
      <c r="Q89" s="14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5"/>
      <c r="AC89" s="14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5"/>
      <c r="AO89" s="14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5"/>
      <c r="BA89" s="14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5"/>
      <c r="BM89" s="14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5"/>
      <c r="BY89" s="14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5"/>
      <c r="CK89" s="14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5"/>
      <c r="CW89" s="14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5"/>
      <c r="DI89" s="14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5"/>
    </row>
    <row r="90" spans="1:124" x14ac:dyDescent="0.25">
      <c r="A90" s="13"/>
      <c r="B90" s="13"/>
      <c r="C90" s="13"/>
      <c r="D90" s="16"/>
      <c r="E90" s="14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5"/>
      <c r="Q90" s="14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5"/>
      <c r="AC90" s="14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5"/>
      <c r="AO90" s="14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5"/>
      <c r="BA90" s="14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5"/>
      <c r="BM90" s="14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5"/>
      <c r="BY90" s="14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5"/>
      <c r="CK90" s="14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5"/>
      <c r="CW90" s="14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5"/>
      <c r="DI90" s="14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5"/>
    </row>
    <row r="91" spans="1:124" x14ac:dyDescent="0.25">
      <c r="A91" s="13"/>
      <c r="B91" s="13"/>
      <c r="C91" s="13"/>
      <c r="D91" s="16"/>
      <c r="E91" s="14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5"/>
      <c r="Q91" s="14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5"/>
      <c r="AC91" s="14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5"/>
      <c r="AO91" s="14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5"/>
      <c r="BA91" s="14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5"/>
      <c r="BM91" s="14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5"/>
      <c r="BY91" s="14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5"/>
      <c r="CK91" s="14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5"/>
      <c r="CW91" s="14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5"/>
      <c r="DI91" s="14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5"/>
    </row>
    <row r="92" spans="1:124" x14ac:dyDescent="0.25">
      <c r="A92" s="13"/>
      <c r="B92" s="13"/>
      <c r="C92" s="13"/>
      <c r="D92" s="16"/>
      <c r="E92" s="14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5"/>
      <c r="Q92" s="14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5"/>
      <c r="AC92" s="14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5"/>
      <c r="AO92" s="14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5"/>
      <c r="BA92" s="14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5"/>
      <c r="BM92" s="14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5"/>
      <c r="BY92" s="14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5"/>
      <c r="CK92" s="14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5"/>
      <c r="CW92" s="14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5"/>
      <c r="DI92" s="14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5"/>
    </row>
    <row r="93" spans="1:124" x14ac:dyDescent="0.25">
      <c r="A93" s="13"/>
      <c r="B93" s="13"/>
      <c r="C93" s="13"/>
      <c r="D93" s="16"/>
      <c r="E93" s="14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5"/>
      <c r="Q93" s="14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5"/>
      <c r="AC93" s="14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5"/>
      <c r="AO93" s="14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5"/>
      <c r="BA93" s="14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5"/>
      <c r="BM93" s="14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5"/>
      <c r="BY93" s="14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5"/>
      <c r="CK93" s="14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5"/>
      <c r="CW93" s="14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5"/>
      <c r="DI93" s="14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5"/>
    </row>
    <row r="94" spans="1:124" x14ac:dyDescent="0.25">
      <c r="A94" s="13"/>
      <c r="B94" s="13"/>
      <c r="C94" s="13"/>
      <c r="D94" s="16"/>
      <c r="E94" s="14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5"/>
      <c r="Q94" s="14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5"/>
      <c r="AC94" s="14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5"/>
      <c r="AO94" s="14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5"/>
      <c r="BA94" s="14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5"/>
      <c r="BM94" s="14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5"/>
      <c r="BY94" s="14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5"/>
      <c r="CK94" s="14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5"/>
      <c r="CW94" s="14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5"/>
      <c r="DI94" s="14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5"/>
    </row>
    <row r="95" spans="1:124" x14ac:dyDescent="0.25">
      <c r="A95" s="13"/>
      <c r="B95" s="13"/>
      <c r="C95" s="13"/>
      <c r="D95" s="16"/>
      <c r="E95" s="14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5"/>
      <c r="Q95" s="14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5"/>
      <c r="AC95" s="14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5"/>
      <c r="AO95" s="14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5"/>
      <c r="BA95" s="14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5"/>
      <c r="BM95" s="14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5"/>
      <c r="BY95" s="14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5"/>
      <c r="CK95" s="14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5"/>
      <c r="CW95" s="14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5"/>
      <c r="DI95" s="14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5"/>
    </row>
    <row r="96" spans="1:124" x14ac:dyDescent="0.25">
      <c r="A96" s="13"/>
      <c r="B96" s="13"/>
      <c r="C96" s="13"/>
      <c r="D96" s="16"/>
      <c r="E96" s="14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5"/>
      <c r="Q96" s="14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5"/>
      <c r="AC96" s="14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5"/>
      <c r="AO96" s="14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5"/>
      <c r="BA96" s="14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5"/>
      <c r="BM96" s="14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5"/>
      <c r="BY96" s="14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5"/>
      <c r="CK96" s="14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5"/>
      <c r="CW96" s="14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5"/>
      <c r="DI96" s="14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5"/>
    </row>
    <row r="97" spans="1:124" x14ac:dyDescent="0.25">
      <c r="A97" s="13"/>
      <c r="B97" s="13"/>
      <c r="C97" s="13"/>
      <c r="D97" s="16"/>
      <c r="E97" s="14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5"/>
      <c r="Q97" s="14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5"/>
      <c r="AC97" s="14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5"/>
      <c r="AO97" s="14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5"/>
      <c r="BA97" s="14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5"/>
      <c r="BM97" s="14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5"/>
      <c r="BY97" s="14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5"/>
      <c r="CK97" s="14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5"/>
      <c r="CW97" s="14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5"/>
      <c r="DI97" s="14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5"/>
    </row>
    <row r="98" spans="1:124" x14ac:dyDescent="0.25">
      <c r="A98" s="13"/>
      <c r="B98" s="13"/>
      <c r="C98" s="13"/>
      <c r="D98" s="16"/>
      <c r="E98" s="14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5"/>
      <c r="Q98" s="14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5"/>
      <c r="AC98" s="14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5"/>
      <c r="AO98" s="14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5"/>
      <c r="BA98" s="14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5"/>
      <c r="BM98" s="14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5"/>
      <c r="BY98" s="14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5"/>
      <c r="CK98" s="14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5"/>
      <c r="CW98" s="14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5"/>
      <c r="DI98" s="14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5"/>
    </row>
    <row r="99" spans="1:124" x14ac:dyDescent="0.25">
      <c r="A99" s="13"/>
      <c r="B99" s="13"/>
      <c r="C99" s="13"/>
      <c r="D99" s="16"/>
      <c r="E99" s="14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5"/>
      <c r="Q99" s="14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5"/>
      <c r="AC99" s="14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5"/>
      <c r="AO99" s="14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5"/>
      <c r="BA99" s="14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5"/>
      <c r="BM99" s="14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5"/>
      <c r="BY99" s="14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5"/>
      <c r="CK99" s="14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5"/>
      <c r="CW99" s="14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5"/>
      <c r="DI99" s="14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5"/>
    </row>
    <row r="100" spans="1:124" x14ac:dyDescent="0.25">
      <c r="A100" s="13"/>
      <c r="B100" s="13"/>
      <c r="C100" s="13"/>
      <c r="D100" s="16"/>
      <c r="E100" s="14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5"/>
      <c r="Q100" s="14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5"/>
      <c r="AC100" s="14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5"/>
      <c r="AO100" s="14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5"/>
      <c r="BA100" s="14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5"/>
      <c r="BM100" s="14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5"/>
      <c r="BY100" s="14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5"/>
      <c r="CK100" s="14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5"/>
      <c r="CW100" s="14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5"/>
      <c r="DI100" s="14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5"/>
    </row>
    <row r="101" spans="1:124" x14ac:dyDescent="0.25">
      <c r="A101" s="13"/>
      <c r="B101" s="13"/>
      <c r="C101" s="13"/>
      <c r="D101" s="16"/>
      <c r="E101" s="14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5"/>
      <c r="Q101" s="14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5"/>
      <c r="AC101" s="14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5"/>
      <c r="AO101" s="14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5"/>
      <c r="BA101" s="14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5"/>
      <c r="BM101" s="14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5"/>
      <c r="BY101" s="14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5"/>
      <c r="CK101" s="14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5"/>
      <c r="CW101" s="14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5"/>
      <c r="DI101" s="14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5"/>
    </row>
    <row r="102" spans="1:124" x14ac:dyDescent="0.25">
      <c r="A102" s="13"/>
      <c r="B102" s="13"/>
      <c r="C102" s="13"/>
      <c r="D102" s="16"/>
      <c r="E102" s="14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5"/>
      <c r="Q102" s="14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5"/>
      <c r="AC102" s="14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5"/>
      <c r="AO102" s="14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5"/>
      <c r="BA102" s="14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5"/>
      <c r="BM102" s="14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5"/>
      <c r="BY102" s="14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5"/>
      <c r="CK102" s="14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5"/>
      <c r="CW102" s="14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5"/>
      <c r="DI102" s="14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5"/>
    </row>
    <row r="103" spans="1:124" x14ac:dyDescent="0.25">
      <c r="A103" s="13"/>
      <c r="B103" s="13"/>
      <c r="C103" s="13"/>
      <c r="D103" s="16"/>
      <c r="E103" s="14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5"/>
      <c r="Q103" s="14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5"/>
      <c r="AC103" s="14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5"/>
      <c r="AO103" s="14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5"/>
      <c r="BA103" s="14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5"/>
      <c r="BM103" s="14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5"/>
      <c r="BY103" s="14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5"/>
      <c r="CK103" s="14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5"/>
      <c r="CW103" s="14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5"/>
      <c r="DI103" s="14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5"/>
    </row>
    <row r="104" spans="1:124" x14ac:dyDescent="0.25">
      <c r="A104" s="13"/>
      <c r="B104" s="13"/>
      <c r="C104" s="13"/>
      <c r="D104" s="16"/>
      <c r="E104" s="14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5"/>
      <c r="Q104" s="14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5"/>
      <c r="AC104" s="14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5"/>
      <c r="AO104" s="14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5"/>
      <c r="BA104" s="14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5"/>
      <c r="BM104" s="14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5"/>
      <c r="BY104" s="14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5"/>
      <c r="CK104" s="14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5"/>
      <c r="CW104" s="14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5"/>
      <c r="DI104" s="14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5"/>
    </row>
    <row r="105" spans="1:124" x14ac:dyDescent="0.25">
      <c r="A105" s="13"/>
      <c r="B105" s="13"/>
      <c r="C105" s="13"/>
      <c r="D105" s="16"/>
      <c r="E105" s="14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5"/>
      <c r="Q105" s="14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5"/>
      <c r="AC105" s="14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5"/>
      <c r="AO105" s="14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5"/>
      <c r="BA105" s="14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5"/>
      <c r="BM105" s="14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5"/>
      <c r="BY105" s="14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5"/>
      <c r="CK105" s="14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5"/>
      <c r="CW105" s="14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5"/>
      <c r="DI105" s="14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5"/>
    </row>
    <row r="106" spans="1:124" x14ac:dyDescent="0.25">
      <c r="A106" s="13"/>
      <c r="B106" s="13"/>
      <c r="C106" s="13"/>
      <c r="D106" s="16"/>
      <c r="E106" s="14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5"/>
      <c r="Q106" s="14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5"/>
      <c r="AC106" s="14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5"/>
      <c r="AO106" s="14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5"/>
      <c r="BA106" s="14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5"/>
      <c r="BM106" s="14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5"/>
      <c r="BY106" s="14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5"/>
      <c r="CK106" s="14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5"/>
      <c r="CW106" s="14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5"/>
      <c r="DI106" s="14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5"/>
    </row>
    <row r="107" spans="1:124" x14ac:dyDescent="0.25">
      <c r="A107" s="13"/>
      <c r="B107" s="13"/>
      <c r="C107" s="13"/>
      <c r="D107" s="16"/>
      <c r="E107" s="14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5"/>
      <c r="Q107" s="14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5"/>
      <c r="AC107" s="14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5"/>
      <c r="AO107" s="14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5"/>
      <c r="BA107" s="14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5"/>
      <c r="BM107" s="14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5"/>
      <c r="BY107" s="14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5"/>
      <c r="CK107" s="14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5"/>
      <c r="CW107" s="14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5"/>
      <c r="DI107" s="14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5"/>
    </row>
    <row r="108" spans="1:124" x14ac:dyDescent="0.25">
      <c r="A108" s="13"/>
      <c r="B108" s="13"/>
      <c r="C108" s="13"/>
      <c r="D108" s="16"/>
      <c r="E108" s="14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5"/>
      <c r="Q108" s="14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5"/>
      <c r="AC108" s="14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5"/>
      <c r="AO108" s="14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5"/>
      <c r="BA108" s="14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5"/>
      <c r="BM108" s="14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5"/>
      <c r="BY108" s="14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5"/>
      <c r="CK108" s="14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5"/>
      <c r="CW108" s="14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5"/>
      <c r="DI108" s="14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5"/>
    </row>
    <row r="109" spans="1:124" x14ac:dyDescent="0.25">
      <c r="A109" s="13"/>
      <c r="B109" s="13"/>
      <c r="C109" s="13"/>
      <c r="D109" s="16"/>
      <c r="E109" s="14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5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5"/>
      <c r="AC109" s="14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5"/>
      <c r="AO109" s="14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5"/>
      <c r="BA109" s="14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5"/>
      <c r="BM109" s="14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5"/>
      <c r="BY109" s="14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5"/>
      <c r="CK109" s="14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5"/>
      <c r="CW109" s="14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5"/>
      <c r="DI109" s="14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5"/>
    </row>
    <row r="110" spans="1:124" x14ac:dyDescent="0.25">
      <c r="A110" s="13"/>
      <c r="B110" s="13"/>
      <c r="C110" s="13"/>
      <c r="D110" s="16"/>
      <c r="E110" s="14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5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5"/>
      <c r="AC110" s="14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5"/>
      <c r="AO110" s="14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5"/>
      <c r="BA110" s="14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5"/>
      <c r="BM110" s="14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5"/>
      <c r="BY110" s="14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5"/>
      <c r="CK110" s="14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5"/>
      <c r="CW110" s="14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5"/>
      <c r="DI110" s="14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5"/>
    </row>
    <row r="111" spans="1:124" x14ac:dyDescent="0.25">
      <c r="A111" s="13"/>
      <c r="B111" s="13"/>
      <c r="C111" s="13"/>
      <c r="D111" s="16"/>
      <c r="E111" s="14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5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5"/>
      <c r="AC111" s="14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5"/>
      <c r="AO111" s="14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5"/>
      <c r="BA111" s="14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5"/>
      <c r="BM111" s="14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5"/>
      <c r="BY111" s="14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5"/>
      <c r="CK111" s="14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5"/>
      <c r="CW111" s="14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5"/>
      <c r="DI111" s="14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5"/>
    </row>
    <row r="112" spans="1:124" x14ac:dyDescent="0.25">
      <c r="A112" s="13"/>
      <c r="B112" s="13"/>
      <c r="C112" s="13"/>
      <c r="D112" s="16"/>
      <c r="E112" s="14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5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5"/>
      <c r="AC112" s="14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5"/>
      <c r="AO112" s="14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5"/>
      <c r="BA112" s="14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5"/>
      <c r="BM112" s="14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5"/>
      <c r="BY112" s="14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5"/>
      <c r="CK112" s="14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5"/>
      <c r="CW112" s="14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5"/>
      <c r="DI112" s="14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5"/>
    </row>
    <row r="113" spans="1:124" x14ac:dyDescent="0.25">
      <c r="A113" s="13"/>
      <c r="B113" s="13"/>
      <c r="C113" s="13"/>
      <c r="D113" s="16"/>
      <c r="E113" s="14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5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5"/>
      <c r="AC113" s="14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5"/>
      <c r="AO113" s="14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5"/>
      <c r="BA113" s="14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5"/>
      <c r="BM113" s="14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5"/>
      <c r="BY113" s="14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5"/>
      <c r="CK113" s="14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5"/>
      <c r="CW113" s="14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5"/>
      <c r="DI113" s="14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5"/>
    </row>
    <row r="114" spans="1:124" x14ac:dyDescent="0.25">
      <c r="A114" s="13"/>
      <c r="B114" s="13"/>
      <c r="C114" s="13"/>
      <c r="D114" s="16"/>
      <c r="E114" s="14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5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5"/>
      <c r="AC114" s="14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5"/>
      <c r="AO114" s="14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5"/>
      <c r="BA114" s="14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5"/>
      <c r="BM114" s="14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5"/>
      <c r="BY114" s="14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5"/>
      <c r="CK114" s="14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5"/>
      <c r="CW114" s="14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5"/>
      <c r="DI114" s="14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5"/>
    </row>
    <row r="115" spans="1:124" x14ac:dyDescent="0.25">
      <c r="A115" s="13"/>
      <c r="B115" s="13"/>
      <c r="C115" s="13"/>
      <c r="D115" s="16"/>
      <c r="E115" s="14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5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5"/>
      <c r="AC115" s="14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5"/>
      <c r="AO115" s="14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5"/>
      <c r="BA115" s="14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5"/>
      <c r="BM115" s="14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5"/>
      <c r="BY115" s="14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5"/>
      <c r="CK115" s="14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5"/>
      <c r="CW115" s="14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5"/>
      <c r="DI115" s="14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5"/>
    </row>
    <row r="116" spans="1:124" x14ac:dyDescent="0.25">
      <c r="A116" s="13"/>
      <c r="B116" s="13"/>
      <c r="C116" s="13"/>
      <c r="D116" s="16"/>
      <c r="E116" s="14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5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5"/>
      <c r="AC116" s="14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5"/>
      <c r="AO116" s="14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5"/>
      <c r="BA116" s="14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5"/>
      <c r="BM116" s="14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5"/>
      <c r="BY116" s="14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5"/>
      <c r="CK116" s="14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5"/>
      <c r="CW116" s="14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5"/>
      <c r="DI116" s="14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5"/>
    </row>
    <row r="117" spans="1:124" x14ac:dyDescent="0.25">
      <c r="A117" s="13"/>
      <c r="B117" s="13"/>
      <c r="C117" s="13"/>
      <c r="D117" s="16"/>
      <c r="E117" s="14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5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5"/>
      <c r="AC117" s="14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5"/>
      <c r="AO117" s="14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5"/>
      <c r="BA117" s="14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5"/>
      <c r="BM117" s="14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5"/>
      <c r="BY117" s="14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5"/>
      <c r="CK117" s="14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5"/>
      <c r="CW117" s="14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5"/>
      <c r="DI117" s="14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5"/>
    </row>
    <row r="118" spans="1:124" x14ac:dyDescent="0.25">
      <c r="A118" s="13"/>
      <c r="B118" s="13"/>
      <c r="C118" s="13"/>
      <c r="D118" s="16"/>
      <c r="E118" s="14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5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5"/>
      <c r="AC118" s="14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5"/>
      <c r="AO118" s="14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5"/>
      <c r="BA118" s="14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5"/>
      <c r="BM118" s="14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5"/>
      <c r="BY118" s="14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5"/>
      <c r="CK118" s="14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5"/>
      <c r="CW118" s="14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5"/>
      <c r="DI118" s="14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5"/>
    </row>
    <row r="119" spans="1:124" x14ac:dyDescent="0.25">
      <c r="A119" s="13"/>
      <c r="B119" s="13"/>
      <c r="C119" s="13"/>
      <c r="D119" s="16"/>
      <c r="E119" s="14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5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5"/>
      <c r="AC119" s="14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5"/>
      <c r="AO119" s="14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5"/>
      <c r="BA119" s="14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5"/>
      <c r="BM119" s="14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5"/>
      <c r="BY119" s="14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5"/>
      <c r="CK119" s="14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5"/>
      <c r="CW119" s="14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5"/>
      <c r="DI119" s="14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5"/>
    </row>
    <row r="120" spans="1:124" x14ac:dyDescent="0.25">
      <c r="A120" s="13"/>
      <c r="B120" s="13"/>
      <c r="C120" s="13"/>
      <c r="D120" s="16"/>
      <c r="E120" s="14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5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5"/>
      <c r="AC120" s="14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5"/>
      <c r="AO120" s="14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5"/>
      <c r="BA120" s="14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5"/>
      <c r="BM120" s="14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5"/>
      <c r="BY120" s="14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5"/>
      <c r="CK120" s="14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5"/>
      <c r="CW120" s="14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5"/>
      <c r="DI120" s="14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5"/>
    </row>
    <row r="121" spans="1:124" x14ac:dyDescent="0.25">
      <c r="A121" s="13"/>
      <c r="B121" s="13"/>
      <c r="C121" s="13"/>
      <c r="D121" s="16"/>
      <c r="E121" s="1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5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5"/>
      <c r="AC121" s="14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5"/>
      <c r="AO121" s="14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5"/>
      <c r="BA121" s="14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5"/>
      <c r="BM121" s="14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5"/>
      <c r="BY121" s="14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5"/>
      <c r="CK121" s="14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5"/>
      <c r="CW121" s="14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5"/>
      <c r="DI121" s="14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5"/>
    </row>
    <row r="122" spans="1:124" x14ac:dyDescent="0.25">
      <c r="A122" s="13"/>
      <c r="B122" s="13"/>
      <c r="C122" s="13"/>
      <c r="D122" s="16"/>
      <c r="E122" s="14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5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5"/>
      <c r="AC122" s="14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5"/>
      <c r="AO122" s="14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5"/>
      <c r="BA122" s="14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5"/>
      <c r="BM122" s="14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5"/>
      <c r="BY122" s="14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5"/>
      <c r="CK122" s="14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5"/>
      <c r="CW122" s="14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5"/>
      <c r="DI122" s="14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5"/>
    </row>
    <row r="123" spans="1:124" x14ac:dyDescent="0.25">
      <c r="A123" s="13"/>
      <c r="B123" s="13"/>
      <c r="C123" s="13"/>
      <c r="D123" s="16"/>
      <c r="E123" s="14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5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5"/>
      <c r="AC123" s="14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5"/>
      <c r="AO123" s="14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5"/>
      <c r="BA123" s="14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5"/>
      <c r="BM123" s="14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5"/>
      <c r="BY123" s="14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5"/>
      <c r="CK123" s="14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5"/>
      <c r="CW123" s="14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5"/>
      <c r="DI123" s="14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5"/>
    </row>
    <row r="124" spans="1:124" x14ac:dyDescent="0.25">
      <c r="A124" s="13"/>
      <c r="B124" s="13"/>
      <c r="C124" s="13"/>
      <c r="D124" s="16"/>
      <c r="E124" s="14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5"/>
      <c r="Q124" s="14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5"/>
      <c r="AC124" s="14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5"/>
      <c r="AO124" s="14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5"/>
      <c r="BA124" s="14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5"/>
      <c r="BM124" s="14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5"/>
      <c r="BY124" s="14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5"/>
      <c r="CK124" s="14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5"/>
      <c r="CW124" s="14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5"/>
      <c r="DI124" s="14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5"/>
    </row>
    <row r="125" spans="1:124" x14ac:dyDescent="0.25">
      <c r="A125" s="13"/>
      <c r="B125" s="13"/>
      <c r="C125" s="13"/>
      <c r="D125" s="16"/>
      <c r="E125" s="14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5"/>
      <c r="Q125" s="14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5"/>
      <c r="AC125" s="14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5"/>
      <c r="AO125" s="14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5"/>
      <c r="BA125" s="14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5"/>
      <c r="BM125" s="14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5"/>
      <c r="BY125" s="14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5"/>
      <c r="CK125" s="14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5"/>
      <c r="CW125" s="14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5"/>
      <c r="DI125" s="14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5"/>
    </row>
    <row r="126" spans="1:124" x14ac:dyDescent="0.25">
      <c r="A126" s="13"/>
      <c r="B126" s="13"/>
      <c r="C126" s="13"/>
      <c r="D126" s="16"/>
      <c r="E126" s="14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5"/>
      <c r="Q126" s="14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5"/>
      <c r="AC126" s="14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5"/>
      <c r="AO126" s="14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5"/>
      <c r="BA126" s="14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5"/>
      <c r="BM126" s="14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5"/>
      <c r="BY126" s="14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5"/>
      <c r="CK126" s="14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5"/>
      <c r="CW126" s="14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5"/>
      <c r="DI126" s="14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5"/>
    </row>
    <row r="127" spans="1:124" x14ac:dyDescent="0.25">
      <c r="A127" s="13"/>
      <c r="B127" s="13"/>
      <c r="C127" s="13"/>
      <c r="D127" s="16"/>
      <c r="E127" s="14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5"/>
      <c r="Q127" s="14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5"/>
      <c r="AC127" s="14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5"/>
      <c r="AO127" s="14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5"/>
      <c r="BA127" s="14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5"/>
      <c r="BM127" s="14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5"/>
      <c r="BY127" s="14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5"/>
      <c r="CK127" s="14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5"/>
      <c r="CW127" s="14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5"/>
      <c r="DI127" s="14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5"/>
    </row>
    <row r="128" spans="1:124" x14ac:dyDescent="0.25">
      <c r="A128" s="13"/>
      <c r="B128" s="13"/>
      <c r="C128" s="13"/>
      <c r="D128" s="16"/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5"/>
      <c r="Q128" s="14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5"/>
      <c r="AC128" s="14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5"/>
      <c r="AO128" s="14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5"/>
      <c r="BA128" s="14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5"/>
      <c r="BM128" s="14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5"/>
      <c r="BY128" s="14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5"/>
      <c r="CK128" s="14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5"/>
      <c r="CW128" s="14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5"/>
      <c r="DI128" s="14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5"/>
    </row>
    <row r="129" spans="1:124" x14ac:dyDescent="0.25">
      <c r="A129" s="13"/>
      <c r="B129" s="13"/>
      <c r="C129" s="13"/>
      <c r="D129" s="16"/>
      <c r="E129" s="14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5"/>
      <c r="Q129" s="14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5"/>
      <c r="AC129" s="14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5"/>
      <c r="AO129" s="14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5"/>
      <c r="BA129" s="14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5"/>
      <c r="BM129" s="14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5"/>
      <c r="BY129" s="14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5"/>
      <c r="CK129" s="14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5"/>
      <c r="CW129" s="14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5"/>
      <c r="DI129" s="14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5"/>
    </row>
  </sheetData>
  <mergeCells count="10">
    <mergeCell ref="BY1:CJ1"/>
    <mergeCell ref="CK1:CV1"/>
    <mergeCell ref="CW1:DH1"/>
    <mergeCell ref="DI1:DT1"/>
    <mergeCell ref="E1:P1"/>
    <mergeCell ref="Q1:AB1"/>
    <mergeCell ref="AC1:AN1"/>
    <mergeCell ref="AO1:AZ1"/>
    <mergeCell ref="BA1:BL1"/>
    <mergeCell ref="BM1:BX1"/>
  </mergeCells>
  <conditionalFormatting sqref="A3:D129">
    <cfRule type="expression" dxfId="173" priority="176">
      <formula>LEFT(INDIRECT(ADDRESS(ROW(),4,1,1)),1)="C"</formula>
    </cfRule>
    <cfRule type="expression" dxfId="172" priority="177">
      <formula>LEFT(INDIRECT(ADDRESS(ROW(),4,1,1)),1)="N"</formula>
    </cfRule>
    <cfRule type="expression" dxfId="171" priority="178">
      <formula>LEFT(INDIRECT(ADDRESS(ROW(),4,1,1)),1)="5"</formula>
    </cfRule>
    <cfRule type="expression" dxfId="170" priority="179">
      <formula>LEFT(INDIRECT(ADDRESS(ROW(),4,1,1)),1)="B"</formula>
    </cfRule>
    <cfRule type="expression" dxfId="169" priority="180">
      <formula>LEFT(INDIRECT(ADDRESS(ROW(),4,1,1)),1)="D"</formula>
    </cfRule>
  </conditionalFormatting>
  <conditionalFormatting sqref="E4:P5 E7:P79 K6:P6 E3:I3 E81:P92 E80:I80 P80 E94:P129 K93:P93">
    <cfRule type="beginsWith" dxfId="168" priority="154" operator="beginsWith" text="S">
      <formula>LEFT(E3,LEN("S"))="S"</formula>
    </cfRule>
    <cfRule type="cellIs" dxfId="167" priority="155" operator="equal">
      <formula>"x"</formula>
    </cfRule>
    <cfRule type="beginsWith" dxfId="166" priority="156" operator="beginsWith" text="V">
      <formula>LEFT(E3,LEN("V"))="V"</formula>
    </cfRule>
    <cfRule type="cellIs" dxfId="165" priority="157" operator="greaterThan">
      <formula>25</formula>
    </cfRule>
  </conditionalFormatting>
  <conditionalFormatting sqref="E4:P5 E7:P79 K6:P6 E3:I3 E81:P92 E80:I80 P80 E94:P129 K93:P93">
    <cfRule type="expression" dxfId="164" priority="158">
      <formula>LEFT(INDIRECT(ADDRESS(ROW(),4,1,1)),1)="C"</formula>
    </cfRule>
    <cfRule type="expression" dxfId="163" priority="159">
      <formula>LEFT(INDIRECT(ADDRESS(ROW(),4,1,1)),1)="N"</formula>
    </cfRule>
    <cfRule type="expression" dxfId="162" priority="160">
      <formula>LEFT(INDIRECT(ADDRESS(ROW(),4,1,1)),1)="5"</formula>
    </cfRule>
    <cfRule type="expression" dxfId="161" priority="161">
      <formula>LEFT(INDIRECT(ADDRESS(ROW(),4,1,1)),1)="B"</formula>
    </cfRule>
    <cfRule type="expression" dxfId="160" priority="162">
      <formula>LEFT(INDIRECT(ADDRESS(ROW(),4,1,1)),1)="D"</formula>
    </cfRule>
  </conditionalFormatting>
  <conditionalFormatting sqref="Q4:AB19 R3:AB3 Q21:AB129 R20:AB20">
    <cfRule type="beginsWith" dxfId="159" priority="145" operator="beginsWith" text="S">
      <formula>LEFT(Q3,LEN("S"))="S"</formula>
    </cfRule>
    <cfRule type="cellIs" dxfId="158" priority="146" operator="equal">
      <formula>"x"</formula>
    </cfRule>
    <cfRule type="beginsWith" dxfId="157" priority="147" operator="beginsWith" text="V">
      <formula>LEFT(Q3,LEN("V"))="V"</formula>
    </cfRule>
    <cfRule type="cellIs" dxfId="156" priority="148" operator="greaterThan">
      <formula>25</formula>
    </cfRule>
  </conditionalFormatting>
  <conditionalFormatting sqref="Q4:AB19 R3:AB3 Q21:AB129 R20:AB20">
    <cfRule type="expression" dxfId="155" priority="149">
      <formula>LEFT(INDIRECT(ADDRESS(ROW(),4,1,1)),1)="C"</formula>
    </cfRule>
    <cfRule type="expression" dxfId="154" priority="150">
      <formula>LEFT(INDIRECT(ADDRESS(ROW(),4,1,1)),1)="N"</formula>
    </cfRule>
    <cfRule type="expression" dxfId="153" priority="151">
      <formula>LEFT(INDIRECT(ADDRESS(ROW(),4,1,1)),1)="5"</formula>
    </cfRule>
    <cfRule type="expression" dxfId="152" priority="152">
      <formula>LEFT(INDIRECT(ADDRESS(ROW(),4,1,1)),1)="B"</formula>
    </cfRule>
    <cfRule type="expression" dxfId="151" priority="153">
      <formula>LEFT(INDIRECT(ADDRESS(ROW(),4,1,1)),1)="D"</formula>
    </cfRule>
  </conditionalFormatting>
  <conditionalFormatting sqref="AC3:AN109 AC111:AN129 AC110:AD110 AK110:AN110">
    <cfRule type="beginsWith" dxfId="150" priority="136" operator="beginsWith" text="S">
      <formula>LEFT(AC3,LEN("S"))="S"</formula>
    </cfRule>
    <cfRule type="cellIs" dxfId="149" priority="137" operator="equal">
      <formula>"x"</formula>
    </cfRule>
    <cfRule type="beginsWith" dxfId="148" priority="138" operator="beginsWith" text="V">
      <formula>LEFT(AC3,LEN("V"))="V"</formula>
    </cfRule>
    <cfRule type="cellIs" dxfId="147" priority="139" operator="greaterThan">
      <formula>25</formula>
    </cfRule>
  </conditionalFormatting>
  <conditionalFormatting sqref="AC3:AN109 AC111:AN129 AC110:AD110 AK110:AN110">
    <cfRule type="expression" dxfId="146" priority="140">
      <formula>LEFT(INDIRECT(ADDRESS(ROW(),4,1,1)),1)="C"</formula>
    </cfRule>
    <cfRule type="expression" dxfId="145" priority="141">
      <formula>LEFT(INDIRECT(ADDRESS(ROW(),4,1,1)),1)="N"</formula>
    </cfRule>
    <cfRule type="expression" dxfId="144" priority="142">
      <formula>LEFT(INDIRECT(ADDRESS(ROW(),4,1,1)),1)="5"</formula>
    </cfRule>
    <cfRule type="expression" dxfId="143" priority="143">
      <formula>LEFT(INDIRECT(ADDRESS(ROW(),4,1,1)),1)="B"</formula>
    </cfRule>
    <cfRule type="expression" dxfId="142" priority="144">
      <formula>LEFT(INDIRECT(ADDRESS(ROW(),4,1,1)),1)="D"</formula>
    </cfRule>
  </conditionalFormatting>
  <conditionalFormatting sqref="AO3:AZ129">
    <cfRule type="beginsWith" dxfId="141" priority="127" operator="beginsWith" text="S">
      <formula>LEFT(AO3,LEN("S"))="S"</formula>
    </cfRule>
    <cfRule type="cellIs" dxfId="140" priority="128" operator="equal">
      <formula>"x"</formula>
    </cfRule>
    <cfRule type="beginsWith" dxfId="139" priority="129" operator="beginsWith" text="V">
      <formula>LEFT(AO3,LEN("V"))="V"</formula>
    </cfRule>
    <cfRule type="cellIs" dxfId="138" priority="130" operator="greaterThan">
      <formula>25</formula>
    </cfRule>
  </conditionalFormatting>
  <conditionalFormatting sqref="AO3:AZ129">
    <cfRule type="expression" dxfId="137" priority="131">
      <formula>LEFT(INDIRECT(ADDRESS(ROW(),4,1,1)),1)="C"</formula>
    </cfRule>
    <cfRule type="expression" dxfId="136" priority="132">
      <formula>LEFT(INDIRECT(ADDRESS(ROW(),4,1,1)),1)="N"</formula>
    </cfRule>
    <cfRule type="expression" dxfId="135" priority="133">
      <formula>LEFT(INDIRECT(ADDRESS(ROW(),4,1,1)),1)="5"</formula>
    </cfRule>
    <cfRule type="expression" dxfId="134" priority="134">
      <formula>LEFT(INDIRECT(ADDRESS(ROW(),4,1,1)),1)="B"</formula>
    </cfRule>
    <cfRule type="expression" dxfId="133" priority="135">
      <formula>LEFT(INDIRECT(ADDRESS(ROW(),4,1,1)),1)="D"</formula>
    </cfRule>
  </conditionalFormatting>
  <conditionalFormatting sqref="BA3:BL129">
    <cfRule type="beginsWith" dxfId="132" priority="118" operator="beginsWith" text="S">
      <formula>LEFT(BA3,LEN("S"))="S"</formula>
    </cfRule>
    <cfRule type="cellIs" dxfId="131" priority="119" operator="equal">
      <formula>"x"</formula>
    </cfRule>
    <cfRule type="beginsWith" dxfId="130" priority="120" operator="beginsWith" text="V">
      <formula>LEFT(BA3,LEN("V"))="V"</formula>
    </cfRule>
    <cfRule type="cellIs" dxfId="129" priority="121" operator="greaterThan">
      <formula>25</formula>
    </cfRule>
  </conditionalFormatting>
  <conditionalFormatting sqref="BA3:BL129">
    <cfRule type="expression" dxfId="128" priority="122">
      <formula>LEFT(INDIRECT(ADDRESS(ROW(),4,1,1)),1)="C"</formula>
    </cfRule>
    <cfRule type="expression" dxfId="127" priority="123">
      <formula>LEFT(INDIRECT(ADDRESS(ROW(),4,1,1)),1)="N"</formula>
    </cfRule>
    <cfRule type="expression" dxfId="126" priority="124">
      <formula>LEFT(INDIRECT(ADDRESS(ROW(),4,1,1)),1)="5"</formula>
    </cfRule>
    <cfRule type="expression" dxfId="125" priority="125">
      <formula>LEFT(INDIRECT(ADDRESS(ROW(),4,1,1)),1)="B"</formula>
    </cfRule>
    <cfRule type="expression" dxfId="124" priority="126">
      <formula>LEFT(INDIRECT(ADDRESS(ROW(),4,1,1)),1)="D"</formula>
    </cfRule>
  </conditionalFormatting>
  <conditionalFormatting sqref="BM3:BX129">
    <cfRule type="beginsWith" dxfId="123" priority="109" operator="beginsWith" text="S">
      <formula>LEFT(BM3,LEN("S"))="S"</formula>
    </cfRule>
    <cfRule type="cellIs" dxfId="122" priority="110" operator="equal">
      <formula>"x"</formula>
    </cfRule>
    <cfRule type="beginsWith" dxfId="121" priority="111" operator="beginsWith" text="V">
      <formula>LEFT(BM3,LEN("V"))="V"</formula>
    </cfRule>
    <cfRule type="cellIs" dxfId="120" priority="112" operator="greaterThan">
      <formula>25</formula>
    </cfRule>
  </conditionalFormatting>
  <conditionalFormatting sqref="BM3:BX129">
    <cfRule type="expression" dxfId="119" priority="113">
      <formula>LEFT(INDIRECT(ADDRESS(ROW(),4,1,1)),1)="C"</formula>
    </cfRule>
    <cfRule type="expression" dxfId="118" priority="114">
      <formula>LEFT(INDIRECT(ADDRESS(ROW(),4,1,1)),1)="N"</formula>
    </cfRule>
    <cfRule type="expression" dxfId="117" priority="115">
      <formula>LEFT(INDIRECT(ADDRESS(ROW(),4,1,1)),1)="5"</formula>
    </cfRule>
    <cfRule type="expression" dxfId="116" priority="116">
      <formula>LEFT(INDIRECT(ADDRESS(ROW(),4,1,1)),1)="B"</formula>
    </cfRule>
    <cfRule type="expression" dxfId="115" priority="117">
      <formula>LEFT(INDIRECT(ADDRESS(ROW(),4,1,1)),1)="D"</formula>
    </cfRule>
  </conditionalFormatting>
  <conditionalFormatting sqref="BY3:CJ129">
    <cfRule type="beginsWith" dxfId="114" priority="100" operator="beginsWith" text="S">
      <formula>LEFT(BY3,LEN("S"))="S"</formula>
    </cfRule>
    <cfRule type="cellIs" dxfId="113" priority="101" operator="equal">
      <formula>"x"</formula>
    </cfRule>
    <cfRule type="beginsWith" dxfId="112" priority="102" operator="beginsWith" text="V">
      <formula>LEFT(BY3,LEN("V"))="V"</formula>
    </cfRule>
    <cfRule type="cellIs" dxfId="111" priority="103" operator="greaterThan">
      <formula>25</formula>
    </cfRule>
  </conditionalFormatting>
  <conditionalFormatting sqref="BY3:CJ129">
    <cfRule type="expression" dxfId="110" priority="104">
      <formula>LEFT(INDIRECT(ADDRESS(ROW(),4,1,1)),1)="C"</formula>
    </cfRule>
    <cfRule type="expression" dxfId="109" priority="105">
      <formula>LEFT(INDIRECT(ADDRESS(ROW(),4,1,1)),1)="N"</formula>
    </cfRule>
    <cfRule type="expression" dxfId="108" priority="106">
      <formula>LEFT(INDIRECT(ADDRESS(ROW(),4,1,1)),1)="5"</formula>
    </cfRule>
    <cfRule type="expression" dxfId="107" priority="107">
      <formula>LEFT(INDIRECT(ADDRESS(ROW(),4,1,1)),1)="B"</formula>
    </cfRule>
    <cfRule type="expression" dxfId="106" priority="108">
      <formula>LEFT(INDIRECT(ADDRESS(ROW(),4,1,1)),1)="D"</formula>
    </cfRule>
  </conditionalFormatting>
  <conditionalFormatting sqref="CK3:CV129">
    <cfRule type="beginsWith" dxfId="105" priority="91" operator="beginsWith" text="S">
      <formula>LEFT(CK3,LEN("S"))="S"</formula>
    </cfRule>
    <cfRule type="cellIs" dxfId="104" priority="92" operator="equal">
      <formula>"x"</formula>
    </cfRule>
    <cfRule type="beginsWith" dxfId="103" priority="93" operator="beginsWith" text="V">
      <formula>LEFT(CK3,LEN("V"))="V"</formula>
    </cfRule>
    <cfRule type="cellIs" dxfId="102" priority="94" operator="greaterThan">
      <formula>25</formula>
    </cfRule>
  </conditionalFormatting>
  <conditionalFormatting sqref="CK3:CV129">
    <cfRule type="expression" dxfId="101" priority="95">
      <formula>LEFT(INDIRECT(ADDRESS(ROW(),4,1,1)),1)="C"</formula>
    </cfRule>
    <cfRule type="expression" dxfId="100" priority="96">
      <formula>LEFT(INDIRECT(ADDRESS(ROW(),4,1,1)),1)="N"</formula>
    </cfRule>
    <cfRule type="expression" dxfId="99" priority="97">
      <formula>LEFT(INDIRECT(ADDRESS(ROW(),4,1,1)),1)="5"</formula>
    </cfRule>
    <cfRule type="expression" dxfId="98" priority="98">
      <formula>LEFT(INDIRECT(ADDRESS(ROW(),4,1,1)),1)="B"</formula>
    </cfRule>
    <cfRule type="expression" dxfId="97" priority="99">
      <formula>LEFT(INDIRECT(ADDRESS(ROW(),4,1,1)),1)="D"</formula>
    </cfRule>
  </conditionalFormatting>
  <conditionalFormatting sqref="CW3:DH129">
    <cfRule type="beginsWith" dxfId="96" priority="82" operator="beginsWith" text="S">
      <formula>LEFT(CW3,LEN("S"))="S"</formula>
    </cfRule>
    <cfRule type="cellIs" dxfId="95" priority="83" operator="equal">
      <formula>"x"</formula>
    </cfRule>
    <cfRule type="beginsWith" dxfId="94" priority="84" operator="beginsWith" text="V">
      <formula>LEFT(CW3,LEN("V"))="V"</formula>
    </cfRule>
    <cfRule type="cellIs" dxfId="93" priority="85" operator="greaterThan">
      <formula>25</formula>
    </cfRule>
  </conditionalFormatting>
  <conditionalFormatting sqref="CW3:DH129">
    <cfRule type="expression" dxfId="92" priority="86">
      <formula>LEFT(INDIRECT(ADDRESS(ROW(),4,1,1)),1)="C"</formula>
    </cfRule>
    <cfRule type="expression" dxfId="91" priority="87">
      <formula>LEFT(INDIRECT(ADDRESS(ROW(),4,1,1)),1)="N"</formula>
    </cfRule>
    <cfRule type="expression" dxfId="90" priority="88">
      <formula>LEFT(INDIRECT(ADDRESS(ROW(),4,1,1)),1)="5"</formula>
    </cfRule>
    <cfRule type="expression" dxfId="89" priority="89">
      <formula>LEFT(INDIRECT(ADDRESS(ROW(),4,1,1)),1)="B"</formula>
    </cfRule>
    <cfRule type="expression" dxfId="88" priority="90">
      <formula>LEFT(INDIRECT(ADDRESS(ROW(),4,1,1)),1)="D"</formula>
    </cfRule>
  </conditionalFormatting>
  <conditionalFormatting sqref="DI3:DT129">
    <cfRule type="beginsWith" dxfId="87" priority="73" operator="beginsWith" text="S">
      <formula>LEFT(DI3,LEN("S"))="S"</formula>
    </cfRule>
    <cfRule type="cellIs" dxfId="86" priority="74" operator="equal">
      <formula>"x"</formula>
    </cfRule>
    <cfRule type="beginsWith" dxfId="85" priority="75" operator="beginsWith" text="V">
      <formula>LEFT(DI3,LEN("V"))="V"</formula>
    </cfRule>
    <cfRule type="cellIs" dxfId="84" priority="76" operator="greaterThan">
      <formula>25</formula>
    </cfRule>
  </conditionalFormatting>
  <conditionalFormatting sqref="DI3:DT129">
    <cfRule type="expression" dxfId="83" priority="77">
      <formula>LEFT(INDIRECT(ADDRESS(ROW(),4,1,1)),1)="C"</formula>
    </cfRule>
    <cfRule type="expression" dxfId="82" priority="78">
      <formula>LEFT(INDIRECT(ADDRESS(ROW(),4,1,1)),1)="N"</formula>
    </cfRule>
    <cfRule type="expression" dxfId="81" priority="79">
      <formula>LEFT(INDIRECT(ADDRESS(ROW(),4,1,1)),1)="5"</formula>
    </cfRule>
    <cfRule type="expression" dxfId="80" priority="80">
      <formula>LEFT(INDIRECT(ADDRESS(ROW(),4,1,1)),1)="B"</formula>
    </cfRule>
    <cfRule type="expression" dxfId="79" priority="81">
      <formula>LEFT(INDIRECT(ADDRESS(ROW(),4,1,1)),1)="D"</formula>
    </cfRule>
  </conditionalFormatting>
  <conditionalFormatting sqref="Q20">
    <cfRule type="beginsWith" dxfId="78" priority="55" operator="beginsWith" text="S">
      <formula>LEFT(Q20,LEN("S"))="S"</formula>
    </cfRule>
    <cfRule type="cellIs" dxfId="77" priority="56" operator="equal">
      <formula>"x"</formula>
    </cfRule>
    <cfRule type="beginsWith" dxfId="76" priority="57" operator="beginsWith" text="V">
      <formula>LEFT(Q20,LEN("V"))="V"</formula>
    </cfRule>
    <cfRule type="cellIs" dxfId="75" priority="58" operator="greaterThan">
      <formula>25</formula>
    </cfRule>
  </conditionalFormatting>
  <conditionalFormatting sqref="Q20">
    <cfRule type="expression" dxfId="74" priority="59">
      <formula>LEFT(INDIRECT(ADDRESS(ROW(),4,1,1)),1)="C"</formula>
    </cfRule>
    <cfRule type="expression" dxfId="73" priority="60">
      <formula>LEFT(INDIRECT(ADDRESS(ROW(),4,1,1)),1)="N"</formula>
    </cfRule>
    <cfRule type="expression" dxfId="72" priority="61">
      <formula>LEFT(INDIRECT(ADDRESS(ROW(),4,1,1)),1)="5"</formula>
    </cfRule>
    <cfRule type="expression" dxfId="71" priority="62">
      <formula>LEFT(INDIRECT(ADDRESS(ROW(),4,1,1)),1)="B"</formula>
    </cfRule>
    <cfRule type="expression" dxfId="70" priority="63">
      <formula>LEFT(INDIRECT(ADDRESS(ROW(),4,1,1)),1)="D"</formula>
    </cfRule>
  </conditionalFormatting>
  <conditionalFormatting sqref="E6:J6">
    <cfRule type="beginsWith" dxfId="69" priority="37" operator="beginsWith" text="S">
      <formula>LEFT(E6,LEN("S"))="S"</formula>
    </cfRule>
    <cfRule type="cellIs" dxfId="68" priority="38" operator="equal">
      <formula>"x"</formula>
    </cfRule>
    <cfRule type="beginsWith" dxfId="67" priority="39" operator="beginsWith" text="V">
      <formula>LEFT(E6,LEN("V"))="V"</formula>
    </cfRule>
    <cfRule type="cellIs" dxfId="66" priority="40" operator="greaterThan">
      <formula>25</formula>
    </cfRule>
  </conditionalFormatting>
  <conditionalFormatting sqref="E6:J6">
    <cfRule type="expression" dxfId="65" priority="41">
      <formula>LEFT(INDIRECT(ADDRESS(ROW(),4,1,1)),1)="C"</formula>
    </cfRule>
    <cfRule type="expression" dxfId="64" priority="42">
      <formula>LEFT(INDIRECT(ADDRESS(ROW(),4,1,1)),1)="N"</formula>
    </cfRule>
    <cfRule type="expression" dxfId="63" priority="43">
      <formula>LEFT(INDIRECT(ADDRESS(ROW(),4,1,1)),1)="5"</formula>
    </cfRule>
    <cfRule type="expression" dxfId="62" priority="44">
      <formula>LEFT(INDIRECT(ADDRESS(ROW(),4,1,1)),1)="B"</formula>
    </cfRule>
    <cfRule type="expression" dxfId="61" priority="45">
      <formula>LEFT(INDIRECT(ADDRESS(ROW(),4,1,1)),1)="D"</formula>
    </cfRule>
  </conditionalFormatting>
  <conditionalFormatting sqref="J3:Q3">
    <cfRule type="beginsWith" dxfId="60" priority="28" operator="beginsWith" text="S">
      <formula>LEFT(J3,LEN("S"))="S"</formula>
    </cfRule>
    <cfRule type="cellIs" dxfId="59" priority="29" operator="equal">
      <formula>"x"</formula>
    </cfRule>
    <cfRule type="beginsWith" dxfId="58" priority="30" operator="beginsWith" text="V">
      <formula>LEFT(J3,LEN("V"))="V"</formula>
    </cfRule>
    <cfRule type="cellIs" dxfId="57" priority="31" operator="greaterThan">
      <formula>25</formula>
    </cfRule>
  </conditionalFormatting>
  <conditionalFormatting sqref="J3:Q3">
    <cfRule type="expression" dxfId="56" priority="32">
      <formula>LEFT(INDIRECT(ADDRESS(ROW(),4,1,1)),1)="C"</formula>
    </cfRule>
    <cfRule type="expression" dxfId="55" priority="33">
      <formula>LEFT(INDIRECT(ADDRESS(ROW(),4,1,1)),1)="N"</formula>
    </cfRule>
    <cfRule type="expression" dxfId="54" priority="34">
      <formula>LEFT(INDIRECT(ADDRESS(ROW(),4,1,1)),1)="5"</formula>
    </cfRule>
    <cfRule type="expression" dxfId="53" priority="35">
      <formula>LEFT(INDIRECT(ADDRESS(ROW(),4,1,1)),1)="B"</formula>
    </cfRule>
    <cfRule type="expression" dxfId="52" priority="36">
      <formula>LEFT(INDIRECT(ADDRESS(ROW(),4,1,1)),1)="D"</formula>
    </cfRule>
  </conditionalFormatting>
  <conditionalFormatting sqref="J80:O80">
    <cfRule type="beginsWith" dxfId="51" priority="19" operator="beginsWith" text="S">
      <formula>LEFT(J80,LEN("S"))="S"</formula>
    </cfRule>
    <cfRule type="cellIs" dxfId="50" priority="20" operator="equal">
      <formula>"x"</formula>
    </cfRule>
    <cfRule type="beginsWith" dxfId="49" priority="21" operator="beginsWith" text="V">
      <formula>LEFT(J80,LEN("V"))="V"</formula>
    </cfRule>
    <cfRule type="cellIs" dxfId="48" priority="22" operator="greaterThan">
      <formula>25</formula>
    </cfRule>
  </conditionalFormatting>
  <conditionalFormatting sqref="J80:O80">
    <cfRule type="expression" dxfId="47" priority="23">
      <formula>LEFT(INDIRECT(ADDRESS(ROW(),4,1,1)),1)="C"</formula>
    </cfRule>
    <cfRule type="expression" dxfId="46" priority="24">
      <formula>LEFT(INDIRECT(ADDRESS(ROW(),4,1,1)),1)="N"</formula>
    </cfRule>
    <cfRule type="expression" dxfId="45" priority="25">
      <formula>LEFT(INDIRECT(ADDRESS(ROW(),4,1,1)),1)="5"</formula>
    </cfRule>
    <cfRule type="expression" dxfId="44" priority="26">
      <formula>LEFT(INDIRECT(ADDRESS(ROW(),4,1,1)),1)="B"</formula>
    </cfRule>
    <cfRule type="expression" dxfId="43" priority="27">
      <formula>LEFT(INDIRECT(ADDRESS(ROW(),4,1,1)),1)="D"</formula>
    </cfRule>
  </conditionalFormatting>
  <conditionalFormatting sqref="AE110:AJ110">
    <cfRule type="beginsWith" dxfId="42" priority="10" operator="beginsWith" text="S">
      <formula>LEFT(AE110,LEN("S"))="S"</formula>
    </cfRule>
    <cfRule type="cellIs" dxfId="41" priority="11" operator="equal">
      <formula>"x"</formula>
    </cfRule>
    <cfRule type="beginsWith" dxfId="40" priority="12" operator="beginsWith" text="V">
      <formula>LEFT(AE110,LEN("V"))="V"</formula>
    </cfRule>
    <cfRule type="cellIs" dxfId="39" priority="13" operator="greaterThan">
      <formula>25</formula>
    </cfRule>
  </conditionalFormatting>
  <conditionalFormatting sqref="AE110:AJ110">
    <cfRule type="expression" dxfId="38" priority="14">
      <formula>LEFT(INDIRECT(ADDRESS(ROW(),4,1,1)),1)="C"</formula>
    </cfRule>
    <cfRule type="expression" dxfId="37" priority="15">
      <formula>LEFT(INDIRECT(ADDRESS(ROW(),4,1,1)),1)="N"</formula>
    </cfRule>
    <cfRule type="expression" dxfId="36" priority="16">
      <formula>LEFT(INDIRECT(ADDRESS(ROW(),4,1,1)),1)="5"</formula>
    </cfRule>
    <cfRule type="expression" dxfId="35" priority="17">
      <formula>LEFT(INDIRECT(ADDRESS(ROW(),4,1,1)),1)="B"</formula>
    </cfRule>
    <cfRule type="expression" dxfId="34" priority="18">
      <formula>LEFT(INDIRECT(ADDRESS(ROW(),4,1,1)),1)="D"</formula>
    </cfRule>
  </conditionalFormatting>
  <conditionalFormatting sqref="E93:J93">
    <cfRule type="beginsWith" dxfId="33" priority="1" operator="beginsWith" text="S">
      <formula>LEFT(E93,LEN("S"))="S"</formula>
    </cfRule>
    <cfRule type="cellIs" dxfId="32" priority="2" operator="equal">
      <formula>"x"</formula>
    </cfRule>
    <cfRule type="beginsWith" dxfId="31" priority="3" operator="beginsWith" text="V">
      <formula>LEFT(E93,LEN("V"))="V"</formula>
    </cfRule>
    <cfRule type="cellIs" dxfId="30" priority="4" operator="greaterThan">
      <formula>25</formula>
    </cfRule>
  </conditionalFormatting>
  <conditionalFormatting sqref="E93:J93">
    <cfRule type="expression" dxfId="29" priority="5">
      <formula>LEFT(INDIRECT(ADDRESS(ROW(),4,1,1)),1)="C"</formula>
    </cfRule>
    <cfRule type="expression" dxfId="28" priority="6">
      <formula>LEFT(INDIRECT(ADDRESS(ROW(),4,1,1)),1)="N"</formula>
    </cfRule>
    <cfRule type="expression" dxfId="27" priority="7">
      <formula>LEFT(INDIRECT(ADDRESS(ROW(),4,1,1)),1)="5"</formula>
    </cfRule>
    <cfRule type="expression" dxfId="26" priority="8">
      <formula>LEFT(INDIRECT(ADDRESS(ROW(),4,1,1)),1)="B"</formula>
    </cfRule>
    <cfRule type="expression" dxfId="25" priority="9">
      <formula>LEFT(INDIRECT(ADDRESS(ROW(),4,1,1)),1)="D"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DX129"/>
  <sheetViews>
    <sheetView zoomScale="55" zoomScaleNormal="5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N31" sqref="CN31"/>
    </sheetView>
  </sheetViews>
  <sheetFormatPr baseColWidth="10" defaultColWidth="9.140625"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9.71093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bestFit="1" customWidth="1"/>
    <col min="12" max="12" width="6.85546875" style="12" bestFit="1" customWidth="1"/>
    <col min="13" max="13" width="6.5703125" style="12" bestFit="1" customWidth="1"/>
    <col min="14" max="14" width="6.42578125" style="12" bestFit="1" customWidth="1"/>
    <col min="15" max="15" width="6.85546875" style="12" bestFit="1" customWidth="1"/>
    <col min="16" max="16" width="6.5703125" style="12" customWidth="1"/>
    <col min="17" max="17" width="6.140625" style="12" bestFit="1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bestFit="1" customWidth="1"/>
    <col min="78" max="78" width="6.5703125" style="12" bestFit="1" customWidth="1"/>
    <col min="79" max="79" width="6.85546875" style="12" bestFit="1" customWidth="1"/>
    <col min="80" max="80" width="6.5703125" style="12" bestFit="1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13" width="6.140625" style="12" bestFit="1" customWidth="1"/>
    <col min="114" max="114" width="6.5703125" style="12" bestFit="1" customWidth="1"/>
    <col min="115" max="115" width="6.85546875" style="12" bestFit="1" customWidth="1"/>
    <col min="116" max="116" width="6.5703125" style="12" bestFit="1" customWidth="1"/>
    <col min="117" max="117" width="7.140625" style="12" bestFit="1" customWidth="1"/>
    <col min="118" max="118" width="6.140625" style="12" bestFit="1" customWidth="1"/>
    <col min="119" max="119" width="5.5703125" style="12" bestFit="1" customWidth="1"/>
    <col min="120" max="120" width="6.85546875" style="12" bestFit="1" customWidth="1"/>
    <col min="121" max="121" width="6.5703125" style="12" bestFit="1" customWidth="1"/>
    <col min="122" max="122" width="6.42578125" style="12" bestFit="1" customWidth="1"/>
    <col min="123" max="123" width="6.85546875" style="12" bestFit="1" customWidth="1"/>
    <col min="124" max="124" width="6.5703125" style="12" bestFit="1" customWidth="1"/>
    <col min="125" max="16384" width="9.140625" style="12"/>
  </cols>
  <sheetData>
    <row r="1" spans="1:1480" s="11" customFormat="1" ht="20.25" x14ac:dyDescent="0.25">
      <c r="E1" s="24">
        <f>YEAR(DATE(2018,1,1))</f>
        <v>2018</v>
      </c>
      <c r="F1" s="25"/>
      <c r="G1" s="25"/>
      <c r="H1" s="25"/>
      <c r="I1" s="25"/>
      <c r="J1" s="25"/>
      <c r="K1" s="25"/>
      <c r="L1" s="25"/>
      <c r="M1" s="25"/>
      <c r="N1" s="25"/>
      <c r="O1" s="25"/>
      <c r="P1" s="26"/>
      <c r="Q1" s="24">
        <f>YEAR(DATE(2018,13,1))</f>
        <v>2019</v>
      </c>
      <c r="R1" s="25"/>
      <c r="S1" s="25"/>
      <c r="T1" s="25"/>
      <c r="U1" s="25"/>
      <c r="V1" s="25"/>
      <c r="W1" s="25"/>
      <c r="X1" s="25"/>
      <c r="Y1" s="25"/>
      <c r="Z1" s="25"/>
      <c r="AA1" s="25"/>
      <c r="AB1" s="26"/>
      <c r="AC1" s="24">
        <f>YEAR(DATE(2018,25,1))</f>
        <v>2020</v>
      </c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6"/>
      <c r="AO1" s="24">
        <f>YEAR(DATE(2018,37,1))</f>
        <v>2021</v>
      </c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6"/>
      <c r="BA1" s="24">
        <f>YEAR(DATE(2018,49,1))</f>
        <v>2022</v>
      </c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6"/>
      <c r="BM1" s="24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6"/>
      <c r="BY1" s="24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6"/>
      <c r="CK1" s="24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6"/>
      <c r="CW1" s="24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6"/>
      <c r="DI1" s="24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6"/>
    </row>
    <row r="2" spans="1:1480" x14ac:dyDescent="0.25">
      <c r="A2" s="7" t="s">
        <v>141</v>
      </c>
      <c r="B2" s="7" t="s">
        <v>142</v>
      </c>
      <c r="C2" s="7" t="s">
        <v>143</v>
      </c>
      <c r="D2" s="7" t="s">
        <v>144</v>
      </c>
      <c r="E2" s="8">
        <f>DATE(2018,1,1)</f>
        <v>43101</v>
      </c>
      <c r="F2" s="9">
        <f>DATE(2018,2,1)</f>
        <v>43132</v>
      </c>
      <c r="G2" s="9">
        <f>DATE(2018,3,1)</f>
        <v>43160</v>
      </c>
      <c r="H2" s="9">
        <f>DATE(2018,4,1)</f>
        <v>43191</v>
      </c>
      <c r="I2" s="9">
        <f>DATE(2018,5,1)</f>
        <v>43221</v>
      </c>
      <c r="J2" s="9">
        <f>DATE(2018,6,1)</f>
        <v>43252</v>
      </c>
      <c r="K2" s="9">
        <f>DATE(2018,7,1)</f>
        <v>43282</v>
      </c>
      <c r="L2" s="9">
        <f>DATE(2018,8,1)</f>
        <v>43313</v>
      </c>
      <c r="M2" s="9">
        <f>DATE(2018,9,1)</f>
        <v>43344</v>
      </c>
      <c r="N2" s="9">
        <f>DATE(2018,10,1)</f>
        <v>43374</v>
      </c>
      <c r="O2" s="9">
        <f>DATE(2018,11,1)</f>
        <v>43405</v>
      </c>
      <c r="P2" s="10">
        <f>DATE(2018,12,1)</f>
        <v>43435</v>
      </c>
      <c r="Q2" s="8">
        <f>DATE(2018,13,1)</f>
        <v>43466</v>
      </c>
      <c r="R2" s="9">
        <f>DATE(2018,14,1)</f>
        <v>43497</v>
      </c>
      <c r="S2" s="9">
        <f>DATE(2018,15,1)</f>
        <v>43525</v>
      </c>
      <c r="T2" s="9">
        <f>DATE(2018,16,1)</f>
        <v>43556</v>
      </c>
      <c r="U2" s="9">
        <f>DATE(2018,17,1)</f>
        <v>43586</v>
      </c>
      <c r="V2" s="9">
        <f>DATE(2018,18,1)</f>
        <v>43617</v>
      </c>
      <c r="W2" s="9">
        <f>DATE(2018,19,1)</f>
        <v>43647</v>
      </c>
      <c r="X2" s="9">
        <f>DATE(2018,20,1)</f>
        <v>43678</v>
      </c>
      <c r="Y2" s="9">
        <f>DATE(2018,21,1)</f>
        <v>43709</v>
      </c>
      <c r="Z2" s="9">
        <f>DATE(2018,22,1)</f>
        <v>43739</v>
      </c>
      <c r="AA2" s="9">
        <f>DATE(2018,23,1)</f>
        <v>43770</v>
      </c>
      <c r="AB2" s="10">
        <f>DATE(2018,24,1)</f>
        <v>43800</v>
      </c>
      <c r="AC2" s="8">
        <f>DATE(2018,25,1)</f>
        <v>43831</v>
      </c>
      <c r="AD2" s="9">
        <f>DATE(2018,26,1)</f>
        <v>43862</v>
      </c>
      <c r="AE2" s="9">
        <f>DATE(2018,27,1)</f>
        <v>43891</v>
      </c>
      <c r="AF2" s="9">
        <f>DATE(2018,28,1)</f>
        <v>43922</v>
      </c>
      <c r="AG2" s="9">
        <f>DATE(2018,29,1)</f>
        <v>43952</v>
      </c>
      <c r="AH2" s="9">
        <f>DATE(2018,30,1)</f>
        <v>43983</v>
      </c>
      <c r="AI2" s="9">
        <f>DATE(2018,31,1)</f>
        <v>44013</v>
      </c>
      <c r="AJ2" s="9">
        <f>DATE(2018,32,1)</f>
        <v>44044</v>
      </c>
      <c r="AK2" s="9">
        <f>DATE(2018,33,1)</f>
        <v>44075</v>
      </c>
      <c r="AL2" s="9">
        <f>DATE(2018,34,1)</f>
        <v>44105</v>
      </c>
      <c r="AM2" s="9">
        <f>DATE(2018,35,1)</f>
        <v>44136</v>
      </c>
      <c r="AN2" s="10">
        <f>DATE(2018,36,1)</f>
        <v>44166</v>
      </c>
      <c r="AO2" s="8">
        <f>DATE(2018,37,1)</f>
        <v>44197</v>
      </c>
      <c r="AP2" s="9">
        <f>DATE(2018,38,1)</f>
        <v>44228</v>
      </c>
      <c r="AQ2" s="9">
        <f>DATE(2018,39,1)</f>
        <v>44256</v>
      </c>
      <c r="AR2" s="9">
        <f>DATE(2018,40,1)</f>
        <v>44287</v>
      </c>
      <c r="AS2" s="9">
        <f>DATE(2018,41,1)</f>
        <v>44317</v>
      </c>
      <c r="AT2" s="9">
        <f>DATE(2018,42,1)</f>
        <v>44348</v>
      </c>
      <c r="AU2" s="9">
        <f>DATE(2018,43,1)</f>
        <v>44378</v>
      </c>
      <c r="AV2" s="9">
        <f>DATE(2018,44,1)</f>
        <v>44409</v>
      </c>
      <c r="AW2" s="9">
        <f>DATE(2018,45,1)</f>
        <v>44440</v>
      </c>
      <c r="AX2" s="9">
        <f>DATE(2018,46,1)</f>
        <v>44470</v>
      </c>
      <c r="AY2" s="9">
        <f>DATE(2018,47,1)</f>
        <v>44501</v>
      </c>
      <c r="AZ2" s="10">
        <f>DATE(2018,48,1)</f>
        <v>44531</v>
      </c>
      <c r="BA2" s="8">
        <f>DATE(2018,49,1)</f>
        <v>44562</v>
      </c>
      <c r="BB2" s="9">
        <f>DATE(2018,50,1)</f>
        <v>44593</v>
      </c>
      <c r="BC2" s="9">
        <f>DATE(2018,51,1)</f>
        <v>44621</v>
      </c>
      <c r="BD2" s="9">
        <f>DATE(2018,52,1)</f>
        <v>44652</v>
      </c>
      <c r="BE2" s="9">
        <f>DATE(2018,53,1)</f>
        <v>44682</v>
      </c>
      <c r="BF2" s="9">
        <f>DATE(2018,54,1)</f>
        <v>44713</v>
      </c>
      <c r="BG2" s="9">
        <f>DATE(2018,55,1)</f>
        <v>44743</v>
      </c>
      <c r="BH2" s="9">
        <f>DATE(2018,56,1)</f>
        <v>44774</v>
      </c>
      <c r="BI2" s="9">
        <f>DATE(2018,57,1)</f>
        <v>44805</v>
      </c>
      <c r="BJ2" s="9">
        <f>DATE(2018,58,1)</f>
        <v>44835</v>
      </c>
      <c r="BK2" s="9">
        <f>DATE(2018,59,1)</f>
        <v>44866</v>
      </c>
      <c r="BL2" s="10">
        <f>DATE(2018,60,1)</f>
        <v>44896</v>
      </c>
      <c r="BM2" s="8"/>
      <c r="BN2" s="9"/>
      <c r="BO2" s="9"/>
      <c r="BP2" s="9"/>
      <c r="BQ2" s="9"/>
      <c r="BR2" s="9"/>
      <c r="BS2" s="9"/>
      <c r="BT2" s="9"/>
      <c r="BU2" s="9"/>
      <c r="BV2" s="9"/>
      <c r="BW2" s="9"/>
      <c r="BX2" s="10"/>
      <c r="BY2" s="8"/>
      <c r="BZ2" s="9"/>
      <c r="CA2" s="9"/>
      <c r="CB2" s="9"/>
      <c r="CC2" s="9"/>
      <c r="CD2" s="9"/>
      <c r="CE2" s="9"/>
      <c r="CF2" s="9"/>
      <c r="CG2" s="9"/>
      <c r="CH2" s="9"/>
      <c r="CI2" s="9"/>
      <c r="CJ2" s="10"/>
      <c r="CK2" s="8"/>
      <c r="CL2" s="9"/>
      <c r="CM2" s="9"/>
      <c r="CN2" s="9"/>
      <c r="CO2" s="9"/>
      <c r="CP2" s="9"/>
      <c r="CQ2" s="9"/>
      <c r="CR2" s="9"/>
      <c r="CS2" s="9"/>
      <c r="CT2" s="9"/>
      <c r="CU2" s="9"/>
      <c r="CV2" s="10"/>
      <c r="CW2" s="8"/>
      <c r="CX2" s="9"/>
      <c r="CY2" s="9"/>
      <c r="CZ2" s="9"/>
      <c r="DA2" s="9"/>
      <c r="DB2" s="9"/>
      <c r="DC2" s="9"/>
      <c r="DD2" s="9"/>
      <c r="DE2" s="9"/>
      <c r="DF2" s="9"/>
      <c r="DG2" s="9"/>
      <c r="DH2" s="10"/>
      <c r="DI2" s="8"/>
      <c r="DJ2" s="9"/>
      <c r="DK2" s="9"/>
      <c r="DL2" s="9"/>
      <c r="DM2" s="9"/>
      <c r="DN2" s="9"/>
      <c r="DO2" s="9"/>
      <c r="DP2" s="9"/>
      <c r="DQ2" s="9"/>
      <c r="DR2" s="9"/>
      <c r="DS2" s="9"/>
      <c r="DT2" s="1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  <c r="HA2" s="20"/>
      <c r="HB2" s="20"/>
      <c r="HC2" s="20"/>
      <c r="HD2" s="20"/>
      <c r="HE2" s="20"/>
      <c r="HF2" s="20"/>
      <c r="HG2" s="20"/>
      <c r="HH2" s="20"/>
      <c r="HI2" s="20"/>
      <c r="HJ2" s="20"/>
      <c r="HK2" s="20"/>
      <c r="HL2" s="20"/>
      <c r="HM2" s="20"/>
      <c r="HN2" s="20"/>
      <c r="HO2" s="20"/>
      <c r="HP2" s="20"/>
      <c r="HQ2" s="20"/>
      <c r="HR2" s="20"/>
      <c r="HS2" s="20"/>
      <c r="HT2" s="20"/>
      <c r="HU2" s="20"/>
      <c r="HV2" s="20"/>
      <c r="HW2" s="20"/>
      <c r="HX2" s="20"/>
      <c r="HY2" s="20"/>
      <c r="HZ2" s="20"/>
      <c r="IA2" s="20"/>
      <c r="IB2" s="20"/>
      <c r="IC2" s="20"/>
      <c r="ID2" s="20"/>
      <c r="IE2" s="20"/>
      <c r="IF2" s="20"/>
      <c r="IG2" s="20"/>
      <c r="IH2" s="20"/>
      <c r="II2" s="20"/>
      <c r="IJ2" s="20"/>
      <c r="IK2" s="20"/>
      <c r="IL2" s="20"/>
      <c r="IM2" s="20"/>
      <c r="IN2" s="20"/>
      <c r="IO2" s="20"/>
      <c r="IP2" s="20"/>
      <c r="IQ2" s="20"/>
      <c r="IR2" s="20"/>
      <c r="IS2" s="20"/>
      <c r="IT2" s="20"/>
      <c r="IU2" s="20"/>
      <c r="IV2" s="20"/>
      <c r="IW2" s="20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0"/>
      <c r="QX2" s="20"/>
      <c r="QY2" s="20"/>
      <c r="QZ2" s="20"/>
      <c r="RA2" s="20"/>
      <c r="RB2" s="20"/>
      <c r="RC2" s="20"/>
      <c r="RD2" s="20"/>
      <c r="RE2" s="20"/>
      <c r="RF2" s="20"/>
      <c r="RG2" s="20"/>
      <c r="RH2" s="20"/>
      <c r="RI2" s="20"/>
      <c r="RJ2" s="20"/>
      <c r="RK2" s="20"/>
      <c r="RL2" s="20"/>
      <c r="RM2" s="20"/>
      <c r="RN2" s="20"/>
      <c r="RO2" s="20"/>
      <c r="RP2" s="20"/>
      <c r="RQ2" s="20"/>
      <c r="RR2" s="20"/>
      <c r="RS2" s="20"/>
      <c r="RT2" s="20"/>
      <c r="RU2" s="20"/>
      <c r="RV2" s="20"/>
      <c r="RW2" s="20"/>
      <c r="RX2" s="20"/>
      <c r="RY2" s="20"/>
      <c r="RZ2" s="20"/>
      <c r="SA2" s="20"/>
      <c r="SB2" s="20"/>
      <c r="SC2" s="20"/>
      <c r="SD2" s="20"/>
      <c r="SE2" s="20"/>
      <c r="SF2" s="20"/>
      <c r="SG2" s="20"/>
      <c r="SH2" s="20"/>
      <c r="SI2" s="20"/>
      <c r="SJ2" s="20"/>
      <c r="SK2" s="20"/>
      <c r="SL2" s="20"/>
      <c r="SM2" s="20"/>
      <c r="SN2" s="20"/>
      <c r="SO2" s="20"/>
      <c r="SP2" s="20"/>
      <c r="SQ2" s="20"/>
      <c r="SR2" s="20"/>
      <c r="SS2" s="20"/>
      <c r="ST2" s="20"/>
      <c r="SU2" s="20"/>
      <c r="SV2" s="20"/>
      <c r="SW2" s="20"/>
      <c r="SX2" s="20"/>
      <c r="SY2" s="20"/>
      <c r="SZ2" s="20"/>
      <c r="TA2" s="20"/>
      <c r="TB2" s="20"/>
      <c r="TC2" s="20"/>
      <c r="TD2" s="20"/>
      <c r="TE2" s="20"/>
      <c r="TF2" s="20"/>
      <c r="TG2" s="20"/>
      <c r="TH2" s="20"/>
      <c r="TI2" s="20"/>
      <c r="TJ2" s="20"/>
      <c r="TK2" s="20"/>
      <c r="TL2" s="20"/>
      <c r="TM2" s="20"/>
      <c r="TN2" s="20"/>
      <c r="TO2" s="20"/>
      <c r="TP2" s="20"/>
      <c r="TQ2" s="20"/>
      <c r="TR2" s="20"/>
      <c r="TS2" s="20"/>
      <c r="TT2" s="20"/>
      <c r="TU2" s="20"/>
      <c r="TV2" s="20"/>
      <c r="TW2" s="20"/>
      <c r="TX2" s="20"/>
      <c r="TY2" s="20"/>
      <c r="TZ2" s="20"/>
      <c r="UA2" s="20"/>
      <c r="UB2" s="20"/>
      <c r="UC2" s="20"/>
      <c r="UD2" s="20"/>
      <c r="UE2" s="20"/>
      <c r="UF2" s="20"/>
      <c r="UG2" s="20"/>
      <c r="UH2" s="20"/>
      <c r="UI2" s="20"/>
      <c r="UJ2" s="20"/>
      <c r="UK2" s="20"/>
      <c r="UL2" s="20"/>
      <c r="UM2" s="20"/>
      <c r="UN2" s="20"/>
      <c r="UO2" s="20"/>
      <c r="UP2" s="20"/>
      <c r="UQ2" s="20"/>
      <c r="UR2" s="20"/>
      <c r="US2" s="20"/>
      <c r="UT2" s="20"/>
      <c r="UU2" s="20"/>
      <c r="UV2" s="20"/>
      <c r="UW2" s="20"/>
      <c r="UX2" s="20"/>
      <c r="UY2" s="20"/>
      <c r="UZ2" s="20"/>
      <c r="VA2" s="20"/>
      <c r="VB2" s="20"/>
      <c r="VC2" s="20"/>
      <c r="VD2" s="20"/>
      <c r="VE2" s="20"/>
      <c r="VF2" s="20"/>
      <c r="VG2" s="20"/>
      <c r="VH2" s="20"/>
      <c r="VI2" s="20"/>
      <c r="VJ2" s="20"/>
      <c r="VK2" s="20"/>
      <c r="VL2" s="20"/>
      <c r="VM2" s="20"/>
      <c r="VN2" s="20"/>
      <c r="VO2" s="20"/>
      <c r="VP2" s="20"/>
      <c r="VQ2" s="20"/>
      <c r="VR2" s="20"/>
      <c r="VS2" s="20"/>
      <c r="VT2" s="20"/>
      <c r="VU2" s="20"/>
      <c r="VV2" s="20"/>
      <c r="VW2" s="20"/>
      <c r="VX2" s="20"/>
      <c r="VY2" s="20"/>
      <c r="VZ2" s="20"/>
      <c r="WA2" s="20"/>
      <c r="WB2" s="20"/>
      <c r="WC2" s="20"/>
      <c r="WD2" s="20"/>
      <c r="WE2" s="20"/>
      <c r="WF2" s="20"/>
      <c r="WG2" s="20"/>
      <c r="WH2" s="20"/>
      <c r="WI2" s="20"/>
      <c r="WJ2" s="20"/>
      <c r="WK2" s="20"/>
      <c r="WL2" s="20"/>
      <c r="WM2" s="20"/>
      <c r="WN2" s="20"/>
      <c r="WO2" s="20"/>
      <c r="WP2" s="20"/>
      <c r="WQ2" s="20"/>
      <c r="WR2" s="20"/>
      <c r="WS2" s="20"/>
      <c r="WT2" s="20"/>
      <c r="WU2" s="20"/>
      <c r="WV2" s="20"/>
      <c r="WW2" s="20"/>
      <c r="WX2" s="20"/>
      <c r="WY2" s="20"/>
      <c r="WZ2" s="20"/>
      <c r="XA2" s="20"/>
      <c r="XB2" s="20"/>
      <c r="XC2" s="20"/>
      <c r="XD2" s="20"/>
      <c r="XE2" s="20"/>
      <c r="XF2" s="20"/>
      <c r="XG2" s="20"/>
      <c r="XH2" s="20"/>
      <c r="XI2" s="20"/>
      <c r="XJ2" s="20"/>
      <c r="XK2" s="20"/>
      <c r="XL2" s="20"/>
      <c r="XM2" s="20"/>
      <c r="XN2" s="20"/>
      <c r="XO2" s="20"/>
      <c r="XP2" s="20"/>
      <c r="XQ2" s="20"/>
      <c r="XR2" s="20"/>
      <c r="XS2" s="20"/>
      <c r="XT2" s="20"/>
      <c r="XU2" s="20"/>
      <c r="XV2" s="20"/>
      <c r="XW2" s="20"/>
      <c r="XX2" s="20"/>
      <c r="XY2" s="20"/>
      <c r="XZ2" s="20"/>
      <c r="YA2" s="20"/>
      <c r="YB2" s="20"/>
      <c r="YC2" s="20"/>
      <c r="YD2" s="20"/>
      <c r="YE2" s="20"/>
      <c r="YF2" s="20"/>
      <c r="YG2" s="20"/>
      <c r="YH2" s="20"/>
      <c r="YI2" s="20"/>
      <c r="YJ2" s="20"/>
      <c r="YK2" s="20"/>
      <c r="YL2" s="20"/>
      <c r="YM2" s="20"/>
      <c r="YN2" s="20"/>
      <c r="YO2" s="20"/>
      <c r="YP2" s="20"/>
      <c r="YQ2" s="20"/>
      <c r="YR2" s="20"/>
      <c r="YS2" s="20"/>
      <c r="YT2" s="20"/>
      <c r="YU2" s="20"/>
      <c r="YV2" s="20"/>
      <c r="YW2" s="20"/>
      <c r="YX2" s="20"/>
      <c r="YY2" s="20"/>
      <c r="YZ2" s="20"/>
      <c r="ZA2" s="20"/>
      <c r="ZB2" s="20"/>
      <c r="ZC2" s="20"/>
      <c r="ZD2" s="20"/>
      <c r="ZE2" s="20"/>
      <c r="ZF2" s="20"/>
      <c r="ZG2" s="20"/>
      <c r="ZH2" s="20"/>
      <c r="ZI2" s="20"/>
      <c r="ZJ2" s="20"/>
      <c r="ZK2" s="20"/>
      <c r="ZL2" s="20"/>
      <c r="ZM2" s="20"/>
      <c r="ZN2" s="20"/>
      <c r="ZO2" s="20"/>
      <c r="ZP2" s="20"/>
      <c r="ZQ2" s="20"/>
      <c r="ZR2" s="20"/>
      <c r="ZS2" s="20"/>
      <c r="ZT2" s="20"/>
      <c r="ZU2" s="20"/>
      <c r="ZV2" s="20"/>
      <c r="ZW2" s="20"/>
      <c r="ZX2" s="20"/>
      <c r="ZY2" s="20"/>
      <c r="ZZ2" s="20"/>
      <c r="AAA2" s="20"/>
      <c r="AAB2" s="20"/>
      <c r="AAC2" s="20"/>
      <c r="AAD2" s="20"/>
      <c r="AAE2" s="20"/>
      <c r="AAF2" s="20"/>
      <c r="AAG2" s="20"/>
      <c r="AAH2" s="20"/>
      <c r="AAI2" s="20"/>
      <c r="AAJ2" s="20"/>
      <c r="AAK2" s="20"/>
      <c r="AAL2" s="20"/>
      <c r="AAM2" s="20"/>
      <c r="AAN2" s="20"/>
      <c r="AAO2" s="20"/>
      <c r="AAP2" s="20"/>
      <c r="AAQ2" s="20"/>
      <c r="AAR2" s="20"/>
      <c r="AAS2" s="20"/>
      <c r="AAT2" s="20"/>
      <c r="AAU2" s="20"/>
      <c r="AAV2" s="20"/>
      <c r="AAW2" s="20"/>
      <c r="AAX2" s="20"/>
      <c r="AAY2" s="20"/>
      <c r="AAZ2" s="20"/>
      <c r="ABA2" s="20"/>
      <c r="ABB2" s="20"/>
      <c r="ABC2" s="20"/>
      <c r="ABD2" s="20"/>
      <c r="ABE2" s="20"/>
      <c r="ABF2" s="20"/>
      <c r="ABG2" s="20"/>
      <c r="ABH2" s="20"/>
      <c r="ABI2" s="20"/>
      <c r="ABJ2" s="20"/>
      <c r="ABK2" s="20"/>
      <c r="ABL2" s="20"/>
      <c r="ABM2" s="20"/>
      <c r="ABN2" s="20"/>
      <c r="ABO2" s="20"/>
      <c r="ABP2" s="20"/>
      <c r="ABQ2" s="20"/>
      <c r="ABR2" s="20"/>
      <c r="ABS2" s="20"/>
      <c r="ABT2" s="20"/>
      <c r="ABU2" s="20"/>
      <c r="ABV2" s="20"/>
      <c r="ABW2" s="20"/>
      <c r="ABX2" s="20"/>
      <c r="ABY2" s="20"/>
      <c r="ABZ2" s="20"/>
      <c r="ACA2" s="20"/>
      <c r="ACB2" s="20"/>
      <c r="ACC2" s="20"/>
      <c r="ACD2" s="20"/>
      <c r="ACE2" s="20"/>
      <c r="ACF2" s="20"/>
      <c r="ACG2" s="20"/>
      <c r="ACH2" s="20"/>
      <c r="ACI2" s="20"/>
      <c r="ACJ2" s="20"/>
      <c r="ACK2" s="20"/>
      <c r="ACL2" s="20"/>
      <c r="ACM2" s="20"/>
      <c r="ACN2" s="20"/>
      <c r="ACO2" s="20"/>
      <c r="ACP2" s="20"/>
      <c r="ACQ2" s="20"/>
      <c r="ACR2" s="20"/>
      <c r="ACS2" s="20"/>
      <c r="ACT2" s="20"/>
      <c r="ACU2" s="20"/>
      <c r="ACV2" s="20"/>
      <c r="ACW2" s="20"/>
      <c r="ACX2" s="20"/>
      <c r="ACY2" s="20"/>
      <c r="ACZ2" s="20"/>
      <c r="ADA2" s="20"/>
      <c r="ADB2" s="20"/>
      <c r="ADC2" s="20"/>
      <c r="ADD2" s="20"/>
      <c r="ADE2" s="20"/>
      <c r="ADF2" s="20"/>
      <c r="ADG2" s="20"/>
      <c r="ADH2" s="20"/>
      <c r="ADI2" s="20"/>
      <c r="ADJ2" s="20"/>
      <c r="ADK2" s="20"/>
      <c r="ADL2" s="20"/>
      <c r="ADM2" s="20"/>
      <c r="ADN2" s="20"/>
      <c r="ADO2" s="20"/>
      <c r="ADP2" s="20"/>
      <c r="ADQ2" s="20"/>
      <c r="ADR2" s="20"/>
      <c r="ADS2" s="20"/>
      <c r="ADT2" s="20"/>
      <c r="ADU2" s="20"/>
      <c r="ADV2" s="20"/>
      <c r="ADW2" s="20"/>
      <c r="ADX2" s="20"/>
      <c r="ADY2" s="20"/>
      <c r="ADZ2" s="20"/>
      <c r="AEA2" s="20"/>
      <c r="AEB2" s="20"/>
      <c r="AEC2" s="20"/>
      <c r="AED2" s="20"/>
      <c r="AEE2" s="20"/>
      <c r="AEF2" s="20"/>
      <c r="AEG2" s="20"/>
      <c r="AEH2" s="20"/>
      <c r="AEI2" s="20"/>
      <c r="AEJ2" s="20"/>
      <c r="AEK2" s="20"/>
      <c r="AEL2" s="20"/>
      <c r="AEM2" s="20"/>
      <c r="AEN2" s="20"/>
      <c r="AEO2" s="20"/>
      <c r="AEP2" s="20"/>
      <c r="AEQ2" s="20"/>
      <c r="AER2" s="20"/>
      <c r="AES2" s="20"/>
      <c r="AET2" s="20"/>
      <c r="AEU2" s="20"/>
      <c r="AEV2" s="20"/>
      <c r="AEW2" s="20"/>
      <c r="AEX2" s="20"/>
      <c r="AEY2" s="20"/>
      <c r="AEZ2" s="20"/>
      <c r="AFA2" s="20"/>
      <c r="AFB2" s="20"/>
      <c r="AFC2" s="20"/>
      <c r="AFD2" s="20"/>
      <c r="AFE2" s="20"/>
      <c r="AFF2" s="20"/>
      <c r="AFG2" s="20"/>
      <c r="AFH2" s="20"/>
      <c r="AFI2" s="20"/>
      <c r="AFJ2" s="20"/>
      <c r="AFK2" s="20"/>
      <c r="AFL2" s="20"/>
      <c r="AFM2" s="20"/>
      <c r="AFN2" s="20"/>
      <c r="AFO2" s="20"/>
      <c r="AFP2" s="20"/>
      <c r="AFQ2" s="20"/>
      <c r="AFR2" s="20"/>
      <c r="AFS2" s="20"/>
      <c r="AFT2" s="20"/>
      <c r="AFU2" s="20"/>
      <c r="AFV2" s="20"/>
      <c r="AFW2" s="20"/>
      <c r="AFX2" s="20"/>
      <c r="AFY2" s="20"/>
      <c r="AFZ2" s="20"/>
      <c r="AGA2" s="20"/>
      <c r="AGB2" s="20"/>
      <c r="AGC2" s="20"/>
      <c r="AGD2" s="20"/>
      <c r="AGE2" s="20"/>
      <c r="AGF2" s="20"/>
      <c r="AGG2" s="20"/>
      <c r="AGH2" s="20"/>
      <c r="AGI2" s="20"/>
      <c r="AGJ2" s="20"/>
      <c r="AGK2" s="20"/>
      <c r="AGL2" s="20"/>
      <c r="AGM2" s="20"/>
      <c r="AGN2" s="20"/>
      <c r="AGO2" s="20"/>
      <c r="AGP2" s="20"/>
      <c r="AGQ2" s="20"/>
      <c r="AGR2" s="20"/>
      <c r="AGS2" s="20"/>
      <c r="AGT2" s="20"/>
      <c r="AGU2" s="20"/>
      <c r="AGV2" s="20"/>
      <c r="AGW2" s="20"/>
      <c r="AGX2" s="20"/>
      <c r="AGY2" s="20"/>
      <c r="AGZ2" s="20"/>
      <c r="AHA2" s="20"/>
      <c r="AHB2" s="20"/>
      <c r="AHC2" s="20"/>
      <c r="AHD2" s="20"/>
      <c r="AHE2" s="20"/>
      <c r="AHF2" s="20"/>
      <c r="AHG2" s="20"/>
      <c r="AHH2" s="20"/>
      <c r="AHI2" s="20"/>
      <c r="AHJ2" s="20"/>
      <c r="AHK2" s="20"/>
      <c r="AHL2" s="20"/>
      <c r="AHM2" s="20"/>
      <c r="AHN2" s="20"/>
      <c r="AHO2" s="20"/>
      <c r="AHP2" s="20"/>
      <c r="AHQ2" s="20"/>
      <c r="AHR2" s="20"/>
      <c r="AHS2" s="20"/>
      <c r="AHT2" s="20"/>
      <c r="AHU2" s="20"/>
      <c r="AHV2" s="20"/>
      <c r="AHW2" s="20"/>
      <c r="AHX2" s="20"/>
      <c r="AHY2" s="20"/>
      <c r="AHZ2" s="20"/>
      <c r="AIA2" s="20"/>
      <c r="AIB2" s="20"/>
      <c r="AIC2" s="20"/>
      <c r="AID2" s="20"/>
      <c r="AIE2" s="20"/>
      <c r="AIF2" s="20"/>
      <c r="AIG2" s="20"/>
      <c r="AIH2" s="20"/>
      <c r="AII2" s="20"/>
      <c r="AIJ2" s="20"/>
      <c r="AIK2" s="20"/>
      <c r="AIL2" s="20"/>
      <c r="AIM2" s="20"/>
      <c r="AIN2" s="20"/>
      <c r="AIO2" s="20"/>
      <c r="AIP2" s="20"/>
      <c r="AIQ2" s="20"/>
      <c r="AIR2" s="20"/>
      <c r="AIS2" s="20"/>
      <c r="AIT2" s="20"/>
      <c r="AIU2" s="20"/>
      <c r="AIV2" s="20"/>
      <c r="AIW2" s="20"/>
      <c r="AIX2" s="20"/>
      <c r="AIY2" s="20"/>
      <c r="AIZ2" s="20"/>
      <c r="AJA2" s="20"/>
      <c r="AJB2" s="20"/>
      <c r="AJC2" s="20"/>
      <c r="AJD2" s="20"/>
      <c r="AJE2" s="20"/>
      <c r="AJF2" s="20"/>
      <c r="AJG2" s="20"/>
      <c r="AJH2" s="20"/>
      <c r="AJI2" s="20"/>
      <c r="AJJ2" s="20"/>
      <c r="AJK2" s="20"/>
      <c r="AJL2" s="20"/>
      <c r="AJM2" s="20"/>
      <c r="AJN2" s="20"/>
      <c r="AJO2" s="20"/>
      <c r="AJP2" s="20"/>
      <c r="AJQ2" s="20"/>
      <c r="AJR2" s="20"/>
      <c r="AJS2" s="20"/>
      <c r="AJT2" s="20"/>
      <c r="AJU2" s="20"/>
      <c r="AJV2" s="20"/>
      <c r="AJW2" s="20"/>
      <c r="AJX2" s="20"/>
      <c r="AJY2" s="20"/>
      <c r="AJZ2" s="20"/>
      <c r="AKA2" s="20"/>
      <c r="AKB2" s="20"/>
      <c r="AKC2" s="20"/>
      <c r="AKD2" s="20"/>
      <c r="AKE2" s="20"/>
      <c r="AKF2" s="20"/>
      <c r="AKG2" s="20"/>
      <c r="AKH2" s="20"/>
      <c r="AKI2" s="20"/>
      <c r="AKJ2" s="20"/>
      <c r="AKK2" s="20"/>
      <c r="AKL2" s="20"/>
      <c r="AKM2" s="20"/>
      <c r="AKN2" s="20"/>
      <c r="AKO2" s="20"/>
      <c r="AKP2" s="20"/>
      <c r="AKQ2" s="20"/>
      <c r="AKR2" s="20"/>
      <c r="AKS2" s="20"/>
      <c r="AKT2" s="20"/>
      <c r="AKU2" s="20"/>
      <c r="AKV2" s="20"/>
      <c r="AKW2" s="20"/>
      <c r="AKX2" s="20"/>
      <c r="AKY2" s="20"/>
      <c r="AKZ2" s="20"/>
      <c r="ALA2" s="20"/>
      <c r="ALB2" s="20"/>
      <c r="ALC2" s="20"/>
      <c r="ALD2" s="20"/>
      <c r="ALE2" s="20"/>
      <c r="ALF2" s="20"/>
      <c r="ALG2" s="20"/>
      <c r="ALH2" s="20"/>
      <c r="ALI2" s="20"/>
      <c r="ALJ2" s="20"/>
      <c r="ALK2" s="20"/>
      <c r="ALL2" s="20"/>
      <c r="ALM2" s="20"/>
      <c r="ALN2" s="20"/>
      <c r="ALO2" s="20"/>
      <c r="ALP2" s="20"/>
      <c r="ALQ2" s="20"/>
      <c r="ALR2" s="20"/>
      <c r="ALS2" s="20"/>
      <c r="ALT2" s="20"/>
      <c r="ALU2" s="20"/>
      <c r="ALV2" s="20"/>
      <c r="ALW2" s="20"/>
      <c r="ALX2" s="20"/>
      <c r="ALY2" s="20"/>
      <c r="ALZ2" s="20"/>
      <c r="AMA2" s="20"/>
      <c r="AMB2" s="20"/>
      <c r="AMC2" s="20"/>
      <c r="AMD2" s="20"/>
      <c r="AME2" s="20"/>
      <c r="AMF2" s="20"/>
      <c r="AMG2" s="20"/>
      <c r="AMH2" s="20"/>
      <c r="AMI2" s="20"/>
      <c r="AMJ2" s="20"/>
      <c r="AMK2" s="20"/>
      <c r="AML2" s="20"/>
      <c r="AMM2" s="20"/>
      <c r="AMN2" s="20"/>
      <c r="AMO2" s="20"/>
      <c r="AMP2" s="20"/>
      <c r="AMQ2" s="20"/>
      <c r="AMR2" s="20"/>
      <c r="AMS2" s="20"/>
      <c r="AMT2" s="20"/>
      <c r="AMU2" s="20"/>
      <c r="AMV2" s="20"/>
      <c r="AMW2" s="20"/>
      <c r="AMX2" s="20"/>
      <c r="AMY2" s="20"/>
      <c r="AMZ2" s="20"/>
      <c r="ANA2" s="20"/>
      <c r="ANB2" s="20"/>
      <c r="ANC2" s="20"/>
      <c r="AND2" s="20"/>
      <c r="ANE2" s="20"/>
      <c r="ANF2" s="20"/>
      <c r="ANG2" s="20"/>
      <c r="ANH2" s="20"/>
      <c r="ANI2" s="20"/>
      <c r="ANJ2" s="20"/>
      <c r="ANK2" s="20"/>
      <c r="ANL2" s="20"/>
      <c r="ANM2" s="20"/>
      <c r="ANN2" s="20"/>
      <c r="ANO2" s="20"/>
      <c r="ANP2" s="20"/>
      <c r="ANQ2" s="20"/>
      <c r="ANR2" s="20"/>
      <c r="ANS2" s="20"/>
      <c r="ANT2" s="20"/>
      <c r="ANU2" s="20"/>
      <c r="ANV2" s="20"/>
      <c r="ANW2" s="20"/>
      <c r="ANX2" s="20"/>
      <c r="ANY2" s="20"/>
      <c r="ANZ2" s="20"/>
      <c r="AOA2" s="20"/>
      <c r="AOB2" s="20"/>
      <c r="AOC2" s="20"/>
      <c r="AOD2" s="20"/>
      <c r="AOE2" s="20"/>
      <c r="AOF2" s="20"/>
      <c r="AOG2" s="20"/>
      <c r="AOH2" s="20"/>
      <c r="AOI2" s="20"/>
      <c r="AOJ2" s="20"/>
      <c r="AOK2" s="20"/>
      <c r="AOL2" s="20"/>
      <c r="AOM2" s="20"/>
      <c r="AON2" s="20"/>
      <c r="AOO2" s="20"/>
      <c r="AOP2" s="20"/>
      <c r="AOQ2" s="20"/>
      <c r="AOR2" s="20"/>
      <c r="AOS2" s="20"/>
      <c r="AOT2" s="20"/>
      <c r="AOU2" s="20"/>
      <c r="AOV2" s="20"/>
      <c r="AOW2" s="20"/>
      <c r="AOX2" s="20"/>
      <c r="AOY2" s="20"/>
      <c r="AOZ2" s="20"/>
      <c r="APA2" s="20"/>
      <c r="APB2" s="20"/>
      <c r="APC2" s="20"/>
      <c r="APD2" s="20"/>
      <c r="APE2" s="20"/>
      <c r="APF2" s="20"/>
      <c r="APG2" s="20"/>
      <c r="APH2" s="20"/>
      <c r="API2" s="20"/>
      <c r="APJ2" s="20"/>
      <c r="APK2" s="20"/>
      <c r="APL2" s="20"/>
      <c r="APM2" s="20"/>
      <c r="APN2" s="20"/>
      <c r="APO2" s="20"/>
      <c r="APP2" s="20"/>
      <c r="APQ2" s="20"/>
      <c r="APR2" s="20"/>
      <c r="APS2" s="20"/>
      <c r="APT2" s="20"/>
      <c r="APU2" s="20"/>
      <c r="APV2" s="20"/>
      <c r="APW2" s="20"/>
      <c r="APX2" s="20"/>
      <c r="APY2" s="20"/>
      <c r="APZ2" s="20"/>
      <c r="AQA2" s="20"/>
      <c r="AQB2" s="20"/>
      <c r="AQC2" s="20"/>
      <c r="AQD2" s="20"/>
      <c r="AQE2" s="20"/>
      <c r="AQF2" s="20"/>
      <c r="AQG2" s="20"/>
      <c r="AQH2" s="20"/>
      <c r="AQI2" s="20"/>
      <c r="AQJ2" s="20"/>
      <c r="AQK2" s="20"/>
      <c r="AQL2" s="20"/>
      <c r="AQM2" s="20"/>
      <c r="AQN2" s="20"/>
      <c r="AQO2" s="20"/>
      <c r="AQP2" s="20"/>
      <c r="AQQ2" s="20"/>
      <c r="AQR2" s="20"/>
      <c r="AQS2" s="20"/>
      <c r="AQT2" s="20"/>
      <c r="AQU2" s="20"/>
      <c r="AQV2" s="20"/>
      <c r="AQW2" s="20"/>
      <c r="AQX2" s="20"/>
      <c r="AQY2" s="20"/>
      <c r="AQZ2" s="20"/>
      <c r="ARA2" s="20"/>
      <c r="ARB2" s="20"/>
      <c r="ARC2" s="20"/>
      <c r="ARD2" s="20"/>
      <c r="ARE2" s="20"/>
      <c r="ARF2" s="20"/>
      <c r="ARG2" s="20"/>
      <c r="ARH2" s="20"/>
      <c r="ARI2" s="20"/>
      <c r="ARJ2" s="20"/>
      <c r="ARK2" s="20"/>
      <c r="ARL2" s="20"/>
      <c r="ARM2" s="20"/>
      <c r="ARN2" s="20"/>
      <c r="ARO2" s="20"/>
      <c r="ARP2" s="20"/>
      <c r="ARQ2" s="20"/>
      <c r="ARR2" s="20"/>
      <c r="ARS2" s="20"/>
      <c r="ART2" s="20"/>
      <c r="ARU2" s="20"/>
      <c r="ARV2" s="20"/>
      <c r="ARW2" s="20"/>
      <c r="ARX2" s="20"/>
      <c r="ARY2" s="20"/>
      <c r="ARZ2" s="20"/>
      <c r="ASA2" s="20"/>
      <c r="ASB2" s="20"/>
      <c r="ASC2" s="20"/>
      <c r="ASD2" s="20"/>
      <c r="ASE2" s="20"/>
      <c r="ASF2" s="20"/>
      <c r="ASG2" s="20"/>
      <c r="ASH2" s="20"/>
      <c r="ASI2" s="20"/>
      <c r="ASJ2" s="20"/>
      <c r="ASK2" s="20"/>
      <c r="ASL2" s="20"/>
      <c r="ASM2" s="20"/>
      <c r="ASN2" s="20"/>
      <c r="ASO2" s="20"/>
      <c r="ASP2" s="20"/>
      <c r="ASQ2" s="20"/>
      <c r="ASR2" s="20"/>
      <c r="ASS2" s="20"/>
      <c r="AST2" s="20"/>
      <c r="ASU2" s="20"/>
      <c r="ASV2" s="20"/>
      <c r="ASW2" s="20"/>
      <c r="ASX2" s="20"/>
      <c r="ASY2" s="20"/>
      <c r="ASZ2" s="20"/>
      <c r="ATA2" s="20"/>
      <c r="ATB2" s="20"/>
      <c r="ATC2" s="20"/>
      <c r="ATD2" s="20"/>
      <c r="ATE2" s="20"/>
      <c r="ATF2" s="20"/>
      <c r="ATG2" s="20"/>
      <c r="ATH2" s="20"/>
      <c r="ATI2" s="20"/>
      <c r="ATJ2" s="20"/>
      <c r="ATK2" s="20"/>
      <c r="ATL2" s="20"/>
      <c r="ATM2" s="20"/>
      <c r="ATN2" s="20"/>
      <c r="ATO2" s="20"/>
      <c r="ATP2" s="20"/>
      <c r="ATQ2" s="20"/>
      <c r="ATR2" s="20"/>
      <c r="ATS2" s="20"/>
      <c r="ATT2" s="20"/>
      <c r="ATU2" s="20"/>
      <c r="ATV2" s="20"/>
      <c r="ATW2" s="20"/>
      <c r="ATX2" s="20"/>
      <c r="ATY2" s="20"/>
      <c r="ATZ2" s="20"/>
      <c r="AUA2" s="20"/>
      <c r="AUB2" s="20"/>
      <c r="AUC2" s="20"/>
      <c r="AUD2" s="20"/>
      <c r="AUE2" s="20"/>
      <c r="AUF2" s="20"/>
      <c r="AUG2" s="20"/>
      <c r="AUH2" s="20"/>
      <c r="AUI2" s="20"/>
      <c r="AUJ2" s="20"/>
      <c r="AUK2" s="20"/>
      <c r="AUL2" s="20"/>
      <c r="AUM2" s="20"/>
      <c r="AUN2" s="20"/>
      <c r="AUO2" s="20"/>
      <c r="AUP2" s="20"/>
      <c r="AUQ2" s="20"/>
      <c r="AUR2" s="20"/>
      <c r="AUS2" s="20"/>
      <c r="AUT2" s="20"/>
      <c r="AUU2" s="20"/>
      <c r="AUV2" s="20"/>
      <c r="AUW2" s="20"/>
      <c r="AUX2" s="20"/>
      <c r="AUY2" s="20"/>
      <c r="AUZ2" s="20"/>
      <c r="AVA2" s="20"/>
      <c r="AVB2" s="20"/>
      <c r="AVC2" s="20"/>
      <c r="AVD2" s="20"/>
      <c r="AVE2" s="20"/>
      <c r="AVF2" s="20"/>
      <c r="AVG2" s="20"/>
      <c r="AVH2" s="20"/>
      <c r="AVI2" s="20"/>
      <c r="AVJ2" s="20"/>
      <c r="AVK2" s="20"/>
      <c r="AVL2" s="20"/>
      <c r="AVM2" s="20"/>
      <c r="AVN2" s="20"/>
      <c r="AVO2" s="20"/>
      <c r="AVP2" s="20"/>
      <c r="AVQ2" s="20"/>
      <c r="AVR2" s="20"/>
      <c r="AVS2" s="20"/>
      <c r="AVT2" s="20"/>
      <c r="AVU2" s="20"/>
      <c r="AVV2" s="20"/>
      <c r="AVW2" s="20"/>
      <c r="AVX2" s="20"/>
      <c r="AVY2" s="20"/>
      <c r="AVZ2" s="20"/>
      <c r="AWA2" s="20"/>
      <c r="AWB2" s="20"/>
      <c r="AWC2" s="20"/>
      <c r="AWD2" s="20"/>
      <c r="AWE2" s="20"/>
      <c r="AWF2" s="20"/>
      <c r="AWG2" s="20"/>
      <c r="AWH2" s="20"/>
      <c r="AWI2" s="20"/>
      <c r="AWJ2" s="20"/>
      <c r="AWK2" s="20"/>
      <c r="AWL2" s="20"/>
      <c r="AWM2" s="20"/>
      <c r="AWN2" s="20"/>
      <c r="AWO2" s="20"/>
      <c r="AWP2" s="20"/>
      <c r="AWQ2" s="20"/>
      <c r="AWR2" s="20"/>
      <c r="AWS2" s="20"/>
      <c r="AWT2" s="20"/>
      <c r="AWU2" s="20"/>
      <c r="AWV2" s="20"/>
      <c r="AWW2" s="20"/>
      <c r="AWX2" s="20"/>
      <c r="AWY2" s="20"/>
      <c r="AWZ2" s="20"/>
      <c r="AXA2" s="20"/>
      <c r="AXB2" s="20"/>
      <c r="AXC2" s="20"/>
      <c r="AXD2" s="20"/>
      <c r="AXE2" s="20"/>
      <c r="AXF2" s="20"/>
      <c r="AXG2" s="20"/>
      <c r="AXH2" s="20"/>
      <c r="AXI2" s="20"/>
      <c r="AXJ2" s="20"/>
      <c r="AXK2" s="20"/>
      <c r="AXL2" s="20"/>
      <c r="AXM2" s="20"/>
      <c r="AXN2" s="20"/>
      <c r="AXO2" s="20"/>
      <c r="AXP2" s="20"/>
      <c r="AXQ2" s="20"/>
      <c r="AXR2" s="20"/>
      <c r="AXS2" s="20"/>
      <c r="AXT2" s="20"/>
      <c r="AXU2" s="20"/>
      <c r="AXV2" s="20"/>
      <c r="AXW2" s="20"/>
      <c r="AXX2" s="20"/>
      <c r="AXY2" s="20"/>
      <c r="AXZ2" s="20"/>
      <c r="AYA2" s="20"/>
      <c r="AYB2" s="20"/>
      <c r="AYC2" s="20"/>
      <c r="AYD2" s="20"/>
      <c r="AYE2" s="20"/>
      <c r="AYF2" s="20"/>
      <c r="AYG2" s="20"/>
      <c r="AYH2" s="20"/>
      <c r="AYI2" s="20"/>
      <c r="AYJ2" s="20"/>
      <c r="AYK2" s="20"/>
      <c r="AYL2" s="20"/>
      <c r="AYM2" s="20"/>
      <c r="AYN2" s="20"/>
      <c r="AYO2" s="20"/>
      <c r="AYP2" s="20"/>
      <c r="AYQ2" s="20"/>
      <c r="AYR2" s="20"/>
      <c r="AYS2" s="20"/>
      <c r="AYT2" s="20"/>
      <c r="AYU2" s="20"/>
      <c r="AYV2" s="20"/>
      <c r="AYW2" s="20"/>
      <c r="AYX2" s="20"/>
      <c r="AYY2" s="20"/>
      <c r="AYZ2" s="20"/>
      <c r="AZA2" s="20"/>
      <c r="AZB2" s="20"/>
      <c r="AZC2" s="20"/>
      <c r="AZD2" s="20"/>
      <c r="AZE2" s="20"/>
      <c r="AZF2" s="20"/>
      <c r="AZG2" s="20"/>
      <c r="AZH2" s="20"/>
      <c r="AZI2" s="20"/>
      <c r="AZJ2" s="20"/>
      <c r="AZK2" s="20"/>
      <c r="AZL2" s="20"/>
      <c r="AZM2" s="20"/>
      <c r="AZN2" s="20"/>
      <c r="AZO2" s="20"/>
      <c r="AZP2" s="20"/>
      <c r="AZQ2" s="20"/>
      <c r="AZR2" s="20"/>
      <c r="AZS2" s="20"/>
      <c r="AZT2" s="20"/>
      <c r="AZU2" s="20"/>
      <c r="AZV2" s="20"/>
      <c r="AZW2" s="20"/>
      <c r="AZX2" s="20"/>
      <c r="AZY2" s="20"/>
      <c r="AZZ2" s="20"/>
      <c r="BAA2" s="20"/>
      <c r="BAB2" s="20"/>
      <c r="BAC2" s="20"/>
      <c r="BAD2" s="20"/>
      <c r="BAE2" s="20"/>
      <c r="BAF2" s="20"/>
      <c r="BAG2" s="20"/>
      <c r="BAH2" s="20"/>
      <c r="BAI2" s="20"/>
      <c r="BAJ2" s="20"/>
      <c r="BAK2" s="20"/>
      <c r="BAL2" s="20"/>
      <c r="BAM2" s="20"/>
      <c r="BAN2" s="20"/>
      <c r="BAO2" s="20"/>
      <c r="BAP2" s="20"/>
      <c r="BAQ2" s="20"/>
      <c r="BAR2" s="20"/>
      <c r="BAS2" s="20"/>
      <c r="BAT2" s="20"/>
      <c r="BAU2" s="20"/>
      <c r="BAV2" s="20"/>
      <c r="BAW2" s="20"/>
      <c r="BAX2" s="20"/>
      <c r="BAY2" s="20"/>
      <c r="BAZ2" s="20"/>
      <c r="BBA2" s="20"/>
      <c r="BBB2" s="20"/>
      <c r="BBC2" s="20"/>
      <c r="BBD2" s="20"/>
      <c r="BBE2" s="20"/>
      <c r="BBF2" s="20"/>
      <c r="BBG2" s="20"/>
      <c r="BBH2" s="20"/>
      <c r="BBI2" s="20"/>
      <c r="BBJ2" s="20"/>
      <c r="BBK2" s="20"/>
      <c r="BBL2" s="20"/>
      <c r="BBM2" s="20"/>
      <c r="BBN2" s="20"/>
      <c r="BBO2" s="20"/>
      <c r="BBP2" s="20"/>
      <c r="BBQ2" s="20"/>
      <c r="BBR2" s="20"/>
      <c r="BBS2" s="20"/>
      <c r="BBT2" s="20"/>
      <c r="BBU2" s="20"/>
      <c r="BBV2" s="20"/>
      <c r="BBW2" s="20"/>
      <c r="BBX2" s="20"/>
      <c r="BBY2" s="20"/>
      <c r="BBZ2" s="20"/>
      <c r="BCA2" s="20"/>
      <c r="BCB2" s="20"/>
      <c r="BCC2" s="20"/>
      <c r="BCD2" s="20"/>
      <c r="BCE2" s="20"/>
      <c r="BCF2" s="20"/>
      <c r="BCG2" s="20"/>
      <c r="BCH2" s="20"/>
      <c r="BCI2" s="20"/>
      <c r="BCJ2" s="20"/>
      <c r="BCK2" s="20"/>
      <c r="BCL2" s="20"/>
      <c r="BCM2" s="20"/>
      <c r="BCN2" s="20"/>
      <c r="BCO2" s="20"/>
      <c r="BCP2" s="20"/>
      <c r="BCQ2" s="20"/>
      <c r="BCR2" s="20"/>
      <c r="BCS2" s="20"/>
      <c r="BCT2" s="20"/>
      <c r="BCU2" s="20"/>
      <c r="BCV2" s="20"/>
      <c r="BCW2" s="20"/>
      <c r="BCX2" s="20"/>
      <c r="BCY2" s="20"/>
      <c r="BCZ2" s="20"/>
      <c r="BDA2" s="20"/>
      <c r="BDB2" s="20"/>
      <c r="BDC2" s="20"/>
      <c r="BDD2" s="20"/>
      <c r="BDE2" s="20"/>
      <c r="BDF2" s="20"/>
      <c r="BDG2" s="20"/>
      <c r="BDH2" s="20"/>
      <c r="BDI2" s="20"/>
      <c r="BDJ2" s="20"/>
      <c r="BDK2" s="20"/>
      <c r="BDL2" s="20"/>
      <c r="BDM2" s="20"/>
      <c r="BDN2" s="20"/>
      <c r="BDO2" s="20"/>
      <c r="BDP2" s="20"/>
      <c r="BDQ2" s="20"/>
      <c r="BDR2" s="20"/>
      <c r="BDS2" s="20"/>
      <c r="BDT2" s="20"/>
      <c r="BDU2" s="20"/>
      <c r="BDV2" s="20"/>
      <c r="BDW2" s="20"/>
      <c r="BDX2" s="20"/>
    </row>
    <row r="3" spans="1:1480" x14ac:dyDescent="0.25">
      <c r="A3" s="13"/>
      <c r="B3" s="13"/>
      <c r="C3" s="13"/>
      <c r="D3" s="16" t="s">
        <v>14</v>
      </c>
      <c r="E3" s="14" t="s">
        <v>167</v>
      </c>
      <c r="F3" s="13" t="s">
        <v>167</v>
      </c>
      <c r="G3" s="13" t="s">
        <v>167</v>
      </c>
      <c r="H3" s="13" t="s">
        <v>167</v>
      </c>
      <c r="I3" s="13" t="s">
        <v>167</v>
      </c>
      <c r="J3" s="13" t="s">
        <v>167</v>
      </c>
      <c r="K3" s="13" t="s">
        <v>167</v>
      </c>
      <c r="L3" s="13">
        <v>18</v>
      </c>
      <c r="M3" s="13">
        <v>18</v>
      </c>
      <c r="N3" s="13" t="s">
        <v>171</v>
      </c>
      <c r="O3" s="13" t="s">
        <v>171</v>
      </c>
      <c r="P3" s="15" t="s">
        <v>171</v>
      </c>
      <c r="Q3" s="14" t="s">
        <v>171</v>
      </c>
      <c r="R3" s="13">
        <v>18</v>
      </c>
      <c r="S3" s="13">
        <v>18</v>
      </c>
      <c r="T3" s="13" t="s">
        <v>171</v>
      </c>
      <c r="U3" s="13" t="s">
        <v>171</v>
      </c>
      <c r="V3" s="13" t="s">
        <v>171</v>
      </c>
      <c r="W3" s="13" t="s">
        <v>171</v>
      </c>
      <c r="X3" s="13">
        <v>18</v>
      </c>
      <c r="Y3" s="13">
        <v>18</v>
      </c>
      <c r="Z3" s="13" t="s">
        <v>171</v>
      </c>
      <c r="AA3" s="13" t="s">
        <v>171</v>
      </c>
      <c r="AB3" s="15" t="s">
        <v>171</v>
      </c>
      <c r="AC3" s="14" t="s">
        <v>171</v>
      </c>
      <c r="AD3" s="13">
        <v>18</v>
      </c>
      <c r="AE3" s="13">
        <v>18</v>
      </c>
      <c r="AF3" s="13" t="s">
        <v>171</v>
      </c>
      <c r="AG3" s="13" t="s">
        <v>171</v>
      </c>
      <c r="AH3" s="13" t="s">
        <v>171</v>
      </c>
      <c r="AI3" s="13">
        <v>18</v>
      </c>
      <c r="AJ3" s="13">
        <v>18</v>
      </c>
      <c r="AK3" s="13" t="s">
        <v>171</v>
      </c>
      <c r="AL3" s="13" t="s">
        <v>171</v>
      </c>
      <c r="AM3" s="13" t="s">
        <v>171</v>
      </c>
      <c r="AN3" s="15" t="s">
        <v>171</v>
      </c>
      <c r="AO3" s="14">
        <v>18</v>
      </c>
      <c r="AP3" s="13">
        <v>18</v>
      </c>
      <c r="AQ3" s="13" t="s">
        <v>171</v>
      </c>
      <c r="AR3" s="13" t="s">
        <v>171</v>
      </c>
      <c r="AS3" s="13" t="s">
        <v>171</v>
      </c>
      <c r="AT3" s="13" t="s">
        <v>171</v>
      </c>
      <c r="AU3" s="13">
        <v>18</v>
      </c>
      <c r="AV3" s="13">
        <v>18</v>
      </c>
      <c r="AW3" s="13" t="s">
        <v>171</v>
      </c>
      <c r="AX3" s="13" t="s">
        <v>171</v>
      </c>
      <c r="AY3" s="13" t="s">
        <v>171</v>
      </c>
      <c r="AZ3" s="15" t="s">
        <v>171</v>
      </c>
      <c r="BA3" s="14">
        <v>18</v>
      </c>
      <c r="BB3" s="13">
        <v>18</v>
      </c>
      <c r="BC3" s="13" t="s">
        <v>171</v>
      </c>
      <c r="BD3" s="13" t="s">
        <v>171</v>
      </c>
      <c r="BE3" s="13" t="s">
        <v>171</v>
      </c>
      <c r="BF3" s="13" t="s">
        <v>171</v>
      </c>
      <c r="BG3" s="13" t="s">
        <v>170</v>
      </c>
      <c r="BH3" s="13" t="s">
        <v>170</v>
      </c>
      <c r="BI3" s="13" t="s">
        <v>170</v>
      </c>
      <c r="BJ3" s="13" t="s">
        <v>170</v>
      </c>
      <c r="BK3" s="13" t="s">
        <v>170</v>
      </c>
      <c r="BL3" s="15" t="s">
        <v>170</v>
      </c>
      <c r="BM3" s="14" t="s">
        <v>168</v>
      </c>
      <c r="BN3" s="13" t="s">
        <v>168</v>
      </c>
      <c r="BO3" s="13" t="s">
        <v>168</v>
      </c>
      <c r="BP3" s="13" t="s">
        <v>168</v>
      </c>
      <c r="BQ3" s="13">
        <v>18</v>
      </c>
      <c r="BR3" s="13">
        <v>18</v>
      </c>
      <c r="BS3" s="13" t="s">
        <v>171</v>
      </c>
      <c r="BT3" s="13" t="s">
        <v>171</v>
      </c>
      <c r="BU3" s="13" t="s">
        <v>171</v>
      </c>
      <c r="BV3" s="13" t="s">
        <v>171</v>
      </c>
      <c r="BW3" s="13">
        <v>18</v>
      </c>
      <c r="BX3" s="15">
        <v>18</v>
      </c>
      <c r="BY3" s="14" t="s">
        <v>171</v>
      </c>
      <c r="BZ3" s="13" t="s">
        <v>171</v>
      </c>
      <c r="CA3" s="13" t="s">
        <v>171</v>
      </c>
      <c r="CB3" s="13" t="s">
        <v>171</v>
      </c>
      <c r="CC3" s="13">
        <v>18</v>
      </c>
      <c r="CD3" s="13">
        <v>18</v>
      </c>
      <c r="CE3" s="13" t="s">
        <v>171</v>
      </c>
      <c r="CF3" s="13" t="s">
        <v>171</v>
      </c>
      <c r="CG3" s="13" t="s">
        <v>171</v>
      </c>
      <c r="CH3" s="13" t="s">
        <v>171</v>
      </c>
      <c r="CI3" s="13">
        <v>18</v>
      </c>
      <c r="CJ3" s="15">
        <v>18</v>
      </c>
      <c r="CK3" s="14" t="s">
        <v>171</v>
      </c>
      <c r="CL3" s="13" t="s">
        <v>171</v>
      </c>
      <c r="CM3" s="13" t="s">
        <v>171</v>
      </c>
      <c r="CN3" s="13" t="s">
        <v>171</v>
      </c>
      <c r="CO3" s="13">
        <v>18</v>
      </c>
      <c r="CP3" s="13">
        <v>18</v>
      </c>
      <c r="CQ3" s="13" t="s">
        <v>171</v>
      </c>
      <c r="CR3" s="13" t="s">
        <v>171</v>
      </c>
      <c r="CS3" s="13" t="s">
        <v>171</v>
      </c>
      <c r="CT3" s="13" t="s">
        <v>171</v>
      </c>
      <c r="CU3" s="13">
        <v>18</v>
      </c>
      <c r="CV3" s="15">
        <v>18</v>
      </c>
      <c r="CW3" s="14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5"/>
      <c r="DI3" s="14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5"/>
    </row>
    <row r="4" spans="1:1480" x14ac:dyDescent="0.25">
      <c r="A4" s="13"/>
      <c r="B4" s="13"/>
      <c r="C4" s="13"/>
      <c r="D4" s="16" t="s">
        <v>15</v>
      </c>
      <c r="E4" s="14" t="s">
        <v>167</v>
      </c>
      <c r="F4" s="13" t="s">
        <v>167</v>
      </c>
      <c r="G4" s="13" t="s">
        <v>167</v>
      </c>
      <c r="H4" s="13" t="s">
        <v>167</v>
      </c>
      <c r="I4" s="13" t="s">
        <v>167</v>
      </c>
      <c r="J4" s="13" t="s">
        <v>167</v>
      </c>
      <c r="K4" s="13">
        <v>18</v>
      </c>
      <c r="L4" s="13">
        <v>18</v>
      </c>
      <c r="M4" s="13" t="s">
        <v>171</v>
      </c>
      <c r="N4" s="13" t="s">
        <v>171</v>
      </c>
      <c r="O4" s="13" t="s">
        <v>171</v>
      </c>
      <c r="P4" s="15" t="s">
        <v>171</v>
      </c>
      <c r="Q4" s="14">
        <v>18</v>
      </c>
      <c r="R4" s="13">
        <v>18</v>
      </c>
      <c r="S4" s="13" t="s">
        <v>171</v>
      </c>
      <c r="T4" s="13" t="s">
        <v>171</v>
      </c>
      <c r="U4" s="13" t="s">
        <v>171</v>
      </c>
      <c r="V4" s="13" t="s">
        <v>171</v>
      </c>
      <c r="W4" s="13">
        <v>18</v>
      </c>
      <c r="X4" s="13">
        <v>18</v>
      </c>
      <c r="Y4" s="13" t="s">
        <v>171</v>
      </c>
      <c r="Z4" s="13" t="s">
        <v>171</v>
      </c>
      <c r="AA4" s="13" t="s">
        <v>171</v>
      </c>
      <c r="AB4" s="15" t="s">
        <v>171</v>
      </c>
      <c r="AC4" s="14">
        <v>18</v>
      </c>
      <c r="AD4" s="13">
        <v>18</v>
      </c>
      <c r="AE4" s="13" t="s">
        <v>171</v>
      </c>
      <c r="AF4" s="13" t="s">
        <v>171</v>
      </c>
      <c r="AG4" s="13" t="s">
        <v>171</v>
      </c>
      <c r="AH4" s="13" t="s">
        <v>171</v>
      </c>
      <c r="AI4" s="13">
        <v>18</v>
      </c>
      <c r="AJ4" s="13">
        <v>18</v>
      </c>
      <c r="AK4" s="13" t="s">
        <v>171</v>
      </c>
      <c r="AL4" s="13" t="s">
        <v>171</v>
      </c>
      <c r="AM4" s="13" t="s">
        <v>171</v>
      </c>
      <c r="AN4" s="15" t="s">
        <v>171</v>
      </c>
      <c r="AO4" s="14">
        <v>18</v>
      </c>
      <c r="AP4" s="13">
        <v>18</v>
      </c>
      <c r="AQ4" s="13" t="s">
        <v>171</v>
      </c>
      <c r="AR4" s="13" t="s">
        <v>171</v>
      </c>
      <c r="AS4" s="13" t="s">
        <v>171</v>
      </c>
      <c r="AT4" s="13" t="s">
        <v>171</v>
      </c>
      <c r="AU4" s="13">
        <v>18</v>
      </c>
      <c r="AV4" s="13">
        <v>18</v>
      </c>
      <c r="AW4" s="13" t="s">
        <v>171</v>
      </c>
      <c r="AX4" s="13" t="s">
        <v>171</v>
      </c>
      <c r="AY4" s="13" t="s">
        <v>171</v>
      </c>
      <c r="AZ4" s="15" t="s">
        <v>171</v>
      </c>
      <c r="BA4" s="14">
        <v>18</v>
      </c>
      <c r="BB4" s="13">
        <v>18</v>
      </c>
      <c r="BC4" s="13" t="s">
        <v>171</v>
      </c>
      <c r="BD4" s="13" t="s">
        <v>171</v>
      </c>
      <c r="BE4" s="13" t="s">
        <v>171</v>
      </c>
      <c r="BF4" s="13" t="s">
        <v>171</v>
      </c>
      <c r="BG4" s="13" t="s">
        <v>166</v>
      </c>
      <c r="BH4" s="13" t="s">
        <v>166</v>
      </c>
      <c r="BI4" s="13" t="s">
        <v>166</v>
      </c>
      <c r="BJ4" s="13" t="s">
        <v>166</v>
      </c>
      <c r="BK4" s="13" t="s">
        <v>166</v>
      </c>
      <c r="BL4" s="15" t="s">
        <v>166</v>
      </c>
      <c r="BM4" s="14" t="s">
        <v>169</v>
      </c>
      <c r="BN4" s="13" t="s">
        <v>169</v>
      </c>
      <c r="BO4" s="13">
        <v>18</v>
      </c>
      <c r="BP4" s="13">
        <v>18</v>
      </c>
      <c r="BQ4" s="13" t="s">
        <v>171</v>
      </c>
      <c r="BR4" s="13" t="s">
        <v>171</v>
      </c>
      <c r="BS4" s="13" t="s">
        <v>171</v>
      </c>
      <c r="BT4" s="13" t="s">
        <v>171</v>
      </c>
      <c r="BU4" s="13">
        <v>18</v>
      </c>
      <c r="BV4" s="13">
        <v>18</v>
      </c>
      <c r="BW4" s="13" t="s">
        <v>171</v>
      </c>
      <c r="BX4" s="15" t="s">
        <v>171</v>
      </c>
      <c r="BY4" s="14" t="s">
        <v>171</v>
      </c>
      <c r="BZ4" s="13" t="s">
        <v>171</v>
      </c>
      <c r="CA4" s="13">
        <v>18</v>
      </c>
      <c r="CB4" s="13">
        <v>18</v>
      </c>
      <c r="CC4" s="13" t="s">
        <v>171</v>
      </c>
      <c r="CD4" s="13" t="s">
        <v>171</v>
      </c>
      <c r="CE4" s="13" t="s">
        <v>171</v>
      </c>
      <c r="CF4" s="13" t="s">
        <v>171</v>
      </c>
      <c r="CG4" s="13">
        <v>18</v>
      </c>
      <c r="CH4" s="13">
        <v>18</v>
      </c>
      <c r="CI4" s="13" t="s">
        <v>171</v>
      </c>
      <c r="CJ4" s="15" t="s">
        <v>171</v>
      </c>
      <c r="CK4" s="14" t="s">
        <v>171</v>
      </c>
      <c r="CL4" s="13" t="s">
        <v>171</v>
      </c>
      <c r="CM4" s="13">
        <v>18</v>
      </c>
      <c r="CN4" s="13">
        <v>18</v>
      </c>
      <c r="CO4" s="13" t="s">
        <v>171</v>
      </c>
      <c r="CP4" s="13" t="s">
        <v>171</v>
      </c>
      <c r="CQ4" s="13" t="s">
        <v>171</v>
      </c>
      <c r="CR4" s="13" t="s">
        <v>171</v>
      </c>
      <c r="CS4" s="13">
        <v>18</v>
      </c>
      <c r="CT4" s="13">
        <v>18</v>
      </c>
      <c r="CU4" s="13">
        <v>18</v>
      </c>
      <c r="CV4" s="15">
        <v>18</v>
      </c>
      <c r="CW4" s="14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5"/>
      <c r="DI4" s="14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5"/>
    </row>
    <row r="5" spans="1:1480" x14ac:dyDescent="0.25">
      <c r="A5" s="13"/>
      <c r="B5" s="13"/>
      <c r="C5" s="13"/>
      <c r="D5" s="16" t="s">
        <v>17</v>
      </c>
      <c r="E5" s="14" t="s">
        <v>167</v>
      </c>
      <c r="F5" s="13" t="s">
        <v>167</v>
      </c>
      <c r="G5" s="13" t="s">
        <v>167</v>
      </c>
      <c r="H5" s="13" t="s">
        <v>167</v>
      </c>
      <c r="I5" s="13" t="s">
        <v>167</v>
      </c>
      <c r="J5" s="13" t="s">
        <v>167</v>
      </c>
      <c r="K5" s="13" t="s">
        <v>167</v>
      </c>
      <c r="L5" s="13">
        <v>18</v>
      </c>
      <c r="M5" s="13">
        <v>18</v>
      </c>
      <c r="N5" s="13" t="s">
        <v>171</v>
      </c>
      <c r="O5" s="13" t="s">
        <v>171</v>
      </c>
      <c r="P5" s="15" t="s">
        <v>171</v>
      </c>
      <c r="Q5" s="14" t="s">
        <v>171</v>
      </c>
      <c r="R5" s="13">
        <v>18</v>
      </c>
      <c r="S5" s="13">
        <v>18</v>
      </c>
      <c r="T5" s="13" t="s">
        <v>171</v>
      </c>
      <c r="U5" s="13" t="s">
        <v>171</v>
      </c>
      <c r="V5" s="13" t="s">
        <v>171</v>
      </c>
      <c r="W5" s="13" t="s">
        <v>171</v>
      </c>
      <c r="X5" s="13">
        <v>18</v>
      </c>
      <c r="Y5" s="13">
        <v>18</v>
      </c>
      <c r="Z5" s="13" t="s">
        <v>173</v>
      </c>
      <c r="AA5" s="13" t="s">
        <v>173</v>
      </c>
      <c r="AB5" s="15" t="s">
        <v>173</v>
      </c>
      <c r="AC5" s="14" t="s">
        <v>173</v>
      </c>
      <c r="AD5" s="13">
        <v>18</v>
      </c>
      <c r="AE5" s="13">
        <v>18</v>
      </c>
      <c r="AF5" s="13" t="s">
        <v>171</v>
      </c>
      <c r="AG5" s="13" t="s">
        <v>171</v>
      </c>
      <c r="AH5" s="13" t="s">
        <v>171</v>
      </c>
      <c r="AI5" s="13">
        <v>18</v>
      </c>
      <c r="AJ5" s="13">
        <v>18</v>
      </c>
      <c r="AK5" s="13" t="s">
        <v>172</v>
      </c>
      <c r="AL5" s="13" t="s">
        <v>172</v>
      </c>
      <c r="AM5" s="13" t="s">
        <v>172</v>
      </c>
      <c r="AN5" s="15" t="s">
        <v>172</v>
      </c>
      <c r="AO5" s="14">
        <v>18</v>
      </c>
      <c r="AP5" s="13">
        <v>18</v>
      </c>
      <c r="AQ5" s="13">
        <v>18</v>
      </c>
      <c r="AR5" s="13">
        <v>18</v>
      </c>
      <c r="AS5" s="13">
        <v>18</v>
      </c>
      <c r="AT5" s="13">
        <v>18</v>
      </c>
      <c r="AU5" s="13">
        <v>18</v>
      </c>
      <c r="AV5" s="13">
        <v>18</v>
      </c>
      <c r="AW5" s="13">
        <v>18</v>
      </c>
      <c r="AX5" s="13">
        <v>0</v>
      </c>
      <c r="AY5" s="13">
        <v>0</v>
      </c>
      <c r="AZ5" s="15">
        <v>0</v>
      </c>
      <c r="BA5" s="14">
        <v>0</v>
      </c>
      <c r="BB5" s="13">
        <v>0</v>
      </c>
      <c r="BC5" s="13">
        <v>0</v>
      </c>
      <c r="BD5" s="13">
        <v>0</v>
      </c>
      <c r="BE5" s="13">
        <v>0</v>
      </c>
      <c r="BF5" s="13" t="s">
        <v>170</v>
      </c>
      <c r="BG5" s="13" t="s">
        <v>170</v>
      </c>
      <c r="BH5" s="13" t="s">
        <v>170</v>
      </c>
      <c r="BI5" s="13" t="s">
        <v>170</v>
      </c>
      <c r="BJ5" s="13" t="s">
        <v>170</v>
      </c>
      <c r="BK5" s="13" t="s">
        <v>170</v>
      </c>
      <c r="BL5" s="15">
        <v>18</v>
      </c>
      <c r="BM5" s="14" t="s">
        <v>170</v>
      </c>
      <c r="BN5" s="13" t="s">
        <v>170</v>
      </c>
      <c r="BO5" s="13">
        <v>18</v>
      </c>
      <c r="BP5" s="13">
        <v>18</v>
      </c>
      <c r="BQ5" s="13" t="s">
        <v>174</v>
      </c>
      <c r="BR5" s="13" t="s">
        <v>174</v>
      </c>
      <c r="BS5" s="13" t="s">
        <v>174</v>
      </c>
      <c r="BT5" s="13" t="s">
        <v>174</v>
      </c>
      <c r="BU5" s="13">
        <v>18</v>
      </c>
      <c r="BV5" s="13">
        <v>18</v>
      </c>
      <c r="BW5" s="13" t="s">
        <v>174</v>
      </c>
      <c r="BX5" s="15" t="s">
        <v>174</v>
      </c>
      <c r="BY5" s="14" t="s">
        <v>174</v>
      </c>
      <c r="BZ5" s="13" t="s">
        <v>174</v>
      </c>
      <c r="CA5" s="13">
        <v>18</v>
      </c>
      <c r="CB5" s="13">
        <v>18</v>
      </c>
      <c r="CC5" s="13" t="s">
        <v>174</v>
      </c>
      <c r="CD5" s="13" t="s">
        <v>174</v>
      </c>
      <c r="CE5" s="13" t="s">
        <v>174</v>
      </c>
      <c r="CF5" s="13" t="s">
        <v>174</v>
      </c>
      <c r="CG5" s="13">
        <v>18</v>
      </c>
      <c r="CH5" s="13">
        <v>18</v>
      </c>
      <c r="CI5" s="13" t="s">
        <v>174</v>
      </c>
      <c r="CJ5" s="15" t="s">
        <v>174</v>
      </c>
      <c r="CK5" s="14" t="s">
        <v>174</v>
      </c>
      <c r="CL5" s="13" t="s">
        <v>174</v>
      </c>
      <c r="CM5" s="13">
        <v>18</v>
      </c>
      <c r="CN5" s="13">
        <v>18</v>
      </c>
      <c r="CO5" s="13" t="s">
        <v>174</v>
      </c>
      <c r="CP5" s="13" t="s">
        <v>174</v>
      </c>
      <c r="CQ5" s="13">
        <v>18</v>
      </c>
      <c r="CR5" s="13">
        <v>18</v>
      </c>
      <c r="CS5" s="13">
        <v>18</v>
      </c>
      <c r="CT5" s="13">
        <v>18</v>
      </c>
      <c r="CU5" s="13">
        <v>18</v>
      </c>
      <c r="CV5" s="15">
        <v>18</v>
      </c>
      <c r="CW5" s="14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5"/>
      <c r="DI5" s="14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5"/>
    </row>
    <row r="6" spans="1:1480" x14ac:dyDescent="0.25">
      <c r="A6" s="13"/>
      <c r="B6" s="13"/>
      <c r="C6" s="13"/>
      <c r="D6" s="16" t="s">
        <v>18</v>
      </c>
      <c r="E6" s="14" t="s">
        <v>169</v>
      </c>
      <c r="F6" s="13" t="s">
        <v>169</v>
      </c>
      <c r="G6" s="13" t="s">
        <v>169</v>
      </c>
      <c r="H6" s="13" t="s">
        <v>169</v>
      </c>
      <c r="I6" s="13" t="s">
        <v>169</v>
      </c>
      <c r="J6" s="13" t="s">
        <v>169</v>
      </c>
      <c r="K6" s="13">
        <v>18</v>
      </c>
      <c r="L6" s="13">
        <v>18</v>
      </c>
      <c r="M6" s="13" t="s">
        <v>171</v>
      </c>
      <c r="N6" s="13" t="s">
        <v>171</v>
      </c>
      <c r="O6" s="13" t="s">
        <v>171</v>
      </c>
      <c r="P6" s="15" t="s">
        <v>171</v>
      </c>
      <c r="Q6" s="14">
        <v>18</v>
      </c>
      <c r="R6" s="13">
        <v>18</v>
      </c>
      <c r="S6" s="13" t="s">
        <v>171</v>
      </c>
      <c r="T6" s="13" t="s">
        <v>171</v>
      </c>
      <c r="U6" s="13" t="s">
        <v>171</v>
      </c>
      <c r="V6" s="13" t="s">
        <v>171</v>
      </c>
      <c r="W6" s="13">
        <v>18</v>
      </c>
      <c r="X6" s="13">
        <v>18</v>
      </c>
      <c r="Y6" s="13" t="s">
        <v>171</v>
      </c>
      <c r="Z6" s="13" t="s">
        <v>171</v>
      </c>
      <c r="AA6" s="13" t="s">
        <v>171</v>
      </c>
      <c r="AB6" s="15" t="s">
        <v>171</v>
      </c>
      <c r="AC6" s="14">
        <v>18</v>
      </c>
      <c r="AD6" s="13">
        <v>18</v>
      </c>
      <c r="AE6" s="13" t="s">
        <v>171</v>
      </c>
      <c r="AF6" s="13" t="s">
        <v>171</v>
      </c>
      <c r="AG6" s="13" t="s">
        <v>171</v>
      </c>
      <c r="AH6" s="13" t="s">
        <v>171</v>
      </c>
      <c r="AI6" s="13">
        <v>18</v>
      </c>
      <c r="AJ6" s="13">
        <v>18</v>
      </c>
      <c r="AK6" s="13" t="s">
        <v>171</v>
      </c>
      <c r="AL6" s="13" t="s">
        <v>171</v>
      </c>
      <c r="AM6" s="13" t="s">
        <v>171</v>
      </c>
      <c r="AN6" s="15" t="s">
        <v>171</v>
      </c>
      <c r="AO6" s="14">
        <v>18</v>
      </c>
      <c r="AP6" s="13">
        <v>18</v>
      </c>
      <c r="AQ6" s="13" t="s">
        <v>171</v>
      </c>
      <c r="AR6" s="13" t="s">
        <v>171</v>
      </c>
      <c r="AS6" s="13" t="s">
        <v>171</v>
      </c>
      <c r="AT6" s="13" t="s">
        <v>171</v>
      </c>
      <c r="AU6" s="13">
        <v>18</v>
      </c>
      <c r="AV6" s="13">
        <v>18</v>
      </c>
      <c r="AW6" s="13" t="s">
        <v>171</v>
      </c>
      <c r="AX6" s="13" t="s">
        <v>171</v>
      </c>
      <c r="AY6" s="13" t="s">
        <v>171</v>
      </c>
      <c r="AZ6" s="15" t="s">
        <v>171</v>
      </c>
      <c r="BA6" s="14">
        <v>18</v>
      </c>
      <c r="BB6" s="13">
        <v>18</v>
      </c>
      <c r="BC6" s="13" t="s">
        <v>171</v>
      </c>
      <c r="BD6" s="13" t="s">
        <v>171</v>
      </c>
      <c r="BE6" s="13" t="s">
        <v>171</v>
      </c>
      <c r="BF6" s="13" t="s">
        <v>171</v>
      </c>
      <c r="BG6" s="13" t="s">
        <v>149</v>
      </c>
      <c r="BH6" s="13" t="s">
        <v>149</v>
      </c>
      <c r="BI6" s="13" t="s">
        <v>149</v>
      </c>
      <c r="BJ6" s="13" t="s">
        <v>149</v>
      </c>
      <c r="BK6" s="13" t="s">
        <v>149</v>
      </c>
      <c r="BL6" s="15" t="s">
        <v>149</v>
      </c>
      <c r="BM6" s="14" t="s">
        <v>171</v>
      </c>
      <c r="BN6" s="13" t="s">
        <v>171</v>
      </c>
      <c r="BO6" s="13" t="s">
        <v>171</v>
      </c>
      <c r="BP6" s="13" t="s">
        <v>167</v>
      </c>
      <c r="BQ6" s="13" t="s">
        <v>167</v>
      </c>
      <c r="BR6" s="13" t="s">
        <v>167</v>
      </c>
      <c r="BS6" s="13" t="s">
        <v>167</v>
      </c>
      <c r="BT6" s="13" t="s">
        <v>167</v>
      </c>
      <c r="BU6" s="13" t="s">
        <v>167</v>
      </c>
      <c r="BV6" s="13">
        <v>18</v>
      </c>
      <c r="BW6" s="13">
        <v>18</v>
      </c>
      <c r="BX6" s="15" t="s">
        <v>171</v>
      </c>
      <c r="BY6" s="14" t="s">
        <v>171</v>
      </c>
      <c r="BZ6" s="13" t="s">
        <v>171</v>
      </c>
      <c r="CA6" s="13" t="s">
        <v>171</v>
      </c>
      <c r="CB6" s="13">
        <v>18</v>
      </c>
      <c r="CC6" s="13">
        <v>18</v>
      </c>
      <c r="CD6" s="13" t="s">
        <v>171</v>
      </c>
      <c r="CE6" s="13" t="s">
        <v>171</v>
      </c>
      <c r="CF6" s="13" t="s">
        <v>171</v>
      </c>
      <c r="CG6" s="13" t="s">
        <v>171</v>
      </c>
      <c r="CH6" s="13">
        <v>18</v>
      </c>
      <c r="CI6" s="13">
        <v>18</v>
      </c>
      <c r="CJ6" s="15" t="s">
        <v>171</v>
      </c>
      <c r="CK6" s="14" t="s">
        <v>171</v>
      </c>
      <c r="CL6" s="13" t="s">
        <v>171</v>
      </c>
      <c r="CM6" s="13" t="s">
        <v>171</v>
      </c>
      <c r="CN6" s="13">
        <v>18</v>
      </c>
      <c r="CO6" s="13">
        <v>18</v>
      </c>
      <c r="CP6" s="13" t="s">
        <v>171</v>
      </c>
      <c r="CQ6" s="13" t="s">
        <v>171</v>
      </c>
      <c r="CR6" s="13" t="s">
        <v>171</v>
      </c>
      <c r="CS6" s="13" t="s">
        <v>171</v>
      </c>
      <c r="CT6" s="13">
        <v>18</v>
      </c>
      <c r="CU6" s="13">
        <v>18</v>
      </c>
      <c r="CV6" s="15">
        <v>18</v>
      </c>
      <c r="CW6" s="14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5"/>
      <c r="DI6" s="14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5"/>
    </row>
    <row r="7" spans="1:1480" x14ac:dyDescent="0.25">
      <c r="A7" s="13"/>
      <c r="B7" s="13"/>
      <c r="C7" s="13"/>
      <c r="D7" s="16" t="s">
        <v>20</v>
      </c>
      <c r="E7" s="14" t="s">
        <v>168</v>
      </c>
      <c r="F7" s="13" t="s">
        <v>168</v>
      </c>
      <c r="G7" s="13" t="s">
        <v>168</v>
      </c>
      <c r="H7" s="13" t="s">
        <v>168</v>
      </c>
      <c r="I7" s="13" t="s">
        <v>168</v>
      </c>
      <c r="J7" s="13" t="s">
        <v>168</v>
      </c>
      <c r="K7" s="13">
        <v>18</v>
      </c>
      <c r="L7" s="13">
        <v>18</v>
      </c>
      <c r="M7" s="13" t="s">
        <v>171</v>
      </c>
      <c r="N7" s="13" t="s">
        <v>171</v>
      </c>
      <c r="O7" s="13" t="s">
        <v>171</v>
      </c>
      <c r="P7" s="15" t="s">
        <v>171</v>
      </c>
      <c r="Q7" s="14">
        <v>18</v>
      </c>
      <c r="R7" s="13">
        <v>18</v>
      </c>
      <c r="S7" s="13" t="s">
        <v>171</v>
      </c>
      <c r="T7" s="13" t="s">
        <v>171</v>
      </c>
      <c r="U7" s="13" t="s">
        <v>171</v>
      </c>
      <c r="V7" s="13" t="s">
        <v>171</v>
      </c>
      <c r="W7" s="13">
        <v>18</v>
      </c>
      <c r="X7" s="13">
        <v>18</v>
      </c>
      <c r="Y7" s="13" t="s">
        <v>171</v>
      </c>
      <c r="Z7" s="13" t="s">
        <v>171</v>
      </c>
      <c r="AA7" s="13" t="s">
        <v>171</v>
      </c>
      <c r="AB7" s="15" t="s">
        <v>171</v>
      </c>
      <c r="AC7" s="14">
        <v>18</v>
      </c>
      <c r="AD7" s="13">
        <v>18</v>
      </c>
      <c r="AE7" s="13" t="s">
        <v>171</v>
      </c>
      <c r="AF7" s="13" t="s">
        <v>171</v>
      </c>
      <c r="AG7" s="13" t="s">
        <v>171</v>
      </c>
      <c r="AH7" s="13" t="s">
        <v>171</v>
      </c>
      <c r="AI7" s="13">
        <v>18</v>
      </c>
      <c r="AJ7" s="13">
        <v>18</v>
      </c>
      <c r="AK7" s="13" t="s">
        <v>171</v>
      </c>
      <c r="AL7" s="13" t="s">
        <v>171</v>
      </c>
      <c r="AM7" s="13" t="s">
        <v>171</v>
      </c>
      <c r="AN7" s="15" t="s">
        <v>171</v>
      </c>
      <c r="AO7" s="14">
        <v>18</v>
      </c>
      <c r="AP7" s="13">
        <v>18</v>
      </c>
      <c r="AQ7" s="13" t="s">
        <v>171</v>
      </c>
      <c r="AR7" s="13" t="s">
        <v>171</v>
      </c>
      <c r="AS7" s="13" t="s">
        <v>171</v>
      </c>
      <c r="AT7" s="13" t="s">
        <v>171</v>
      </c>
      <c r="AU7" s="13">
        <v>18</v>
      </c>
      <c r="AV7" s="13">
        <v>18</v>
      </c>
      <c r="AW7" s="13" t="s">
        <v>171</v>
      </c>
      <c r="AX7" s="13" t="s">
        <v>171</v>
      </c>
      <c r="AY7" s="13" t="s">
        <v>171</v>
      </c>
      <c r="AZ7" s="15" t="s">
        <v>171</v>
      </c>
      <c r="BA7" s="14">
        <v>18</v>
      </c>
      <c r="BB7" s="13">
        <v>18</v>
      </c>
      <c r="BC7" s="13" t="s">
        <v>171</v>
      </c>
      <c r="BD7" s="13" t="s">
        <v>171</v>
      </c>
      <c r="BE7" s="13" t="s">
        <v>171</v>
      </c>
      <c r="BF7" s="13" t="s">
        <v>171</v>
      </c>
      <c r="BG7" s="13" t="s">
        <v>167</v>
      </c>
      <c r="BH7" s="13" t="s">
        <v>167</v>
      </c>
      <c r="BI7" s="13" t="s">
        <v>167</v>
      </c>
      <c r="BJ7" s="13" t="s">
        <v>167</v>
      </c>
      <c r="BK7" s="13" t="s">
        <v>167</v>
      </c>
      <c r="BL7" s="15" t="s">
        <v>167</v>
      </c>
      <c r="BM7" s="14">
        <v>18</v>
      </c>
      <c r="BN7" s="13">
        <v>18</v>
      </c>
      <c r="BO7" s="13" t="s">
        <v>171</v>
      </c>
      <c r="BP7" s="13" t="s">
        <v>171</v>
      </c>
      <c r="BQ7" s="13" t="s">
        <v>171</v>
      </c>
      <c r="BR7" s="13" t="s">
        <v>171</v>
      </c>
      <c r="BS7" s="13">
        <v>18</v>
      </c>
      <c r="BT7" s="13">
        <v>18</v>
      </c>
      <c r="BU7" s="13" t="s">
        <v>171</v>
      </c>
      <c r="BV7" s="13" t="s">
        <v>171</v>
      </c>
      <c r="BW7" s="13" t="s">
        <v>171</v>
      </c>
      <c r="BX7" s="15" t="s">
        <v>171</v>
      </c>
      <c r="BY7" s="14">
        <v>18</v>
      </c>
      <c r="BZ7" s="13">
        <v>18</v>
      </c>
      <c r="CA7" s="13" t="s">
        <v>171</v>
      </c>
      <c r="CB7" s="13" t="s">
        <v>171</v>
      </c>
      <c r="CC7" s="13" t="s">
        <v>171</v>
      </c>
      <c r="CD7" s="13" t="s">
        <v>171</v>
      </c>
      <c r="CE7" s="13">
        <v>18</v>
      </c>
      <c r="CF7" s="13">
        <v>18</v>
      </c>
      <c r="CG7" s="13" t="s">
        <v>171</v>
      </c>
      <c r="CH7" s="13" t="s">
        <v>171</v>
      </c>
      <c r="CI7" s="13" t="s">
        <v>171</v>
      </c>
      <c r="CJ7" s="15" t="s">
        <v>171</v>
      </c>
      <c r="CK7" s="14">
        <v>18</v>
      </c>
      <c r="CL7" s="13">
        <v>18</v>
      </c>
      <c r="CM7" s="13" t="s">
        <v>171</v>
      </c>
      <c r="CN7" s="13" t="s">
        <v>171</v>
      </c>
      <c r="CO7" s="13" t="s">
        <v>171</v>
      </c>
      <c r="CP7" s="13" t="s">
        <v>171</v>
      </c>
      <c r="CQ7" s="13">
        <v>18</v>
      </c>
      <c r="CR7" s="13">
        <v>18</v>
      </c>
      <c r="CS7" s="13">
        <v>18</v>
      </c>
      <c r="CT7" s="13">
        <v>18</v>
      </c>
      <c r="CU7" s="13">
        <v>18</v>
      </c>
      <c r="CV7" s="15">
        <v>18</v>
      </c>
      <c r="CW7" s="14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5"/>
      <c r="DI7" s="14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5"/>
    </row>
    <row r="8" spans="1:1480" x14ac:dyDescent="0.25">
      <c r="A8" s="13"/>
      <c r="B8" s="13"/>
      <c r="C8" s="13"/>
      <c r="D8" s="16" t="s">
        <v>21</v>
      </c>
      <c r="E8" s="14" t="s">
        <v>167</v>
      </c>
      <c r="F8" s="13" t="s">
        <v>167</v>
      </c>
      <c r="G8" s="13" t="s">
        <v>167</v>
      </c>
      <c r="H8" s="13" t="s">
        <v>167</v>
      </c>
      <c r="I8" s="13" t="s">
        <v>167</v>
      </c>
      <c r="J8" s="13" t="s">
        <v>167</v>
      </c>
      <c r="K8" s="13" t="s">
        <v>167</v>
      </c>
      <c r="L8" s="13">
        <v>18</v>
      </c>
      <c r="M8" s="13">
        <v>18</v>
      </c>
      <c r="N8" s="13" t="s">
        <v>171</v>
      </c>
      <c r="O8" s="13" t="s">
        <v>171</v>
      </c>
      <c r="P8" s="15" t="s">
        <v>171</v>
      </c>
      <c r="Q8" s="14" t="s">
        <v>171</v>
      </c>
      <c r="R8" s="13">
        <v>18</v>
      </c>
      <c r="S8" s="13">
        <v>18</v>
      </c>
      <c r="T8" s="13" t="s">
        <v>171</v>
      </c>
      <c r="U8" s="13" t="s">
        <v>171</v>
      </c>
      <c r="V8" s="13" t="s">
        <v>171</v>
      </c>
      <c r="W8" s="13" t="s">
        <v>171</v>
      </c>
      <c r="X8" s="13">
        <v>18</v>
      </c>
      <c r="Y8" s="13">
        <v>18</v>
      </c>
      <c r="Z8" s="13" t="s">
        <v>171</v>
      </c>
      <c r="AA8" s="13" t="s">
        <v>171</v>
      </c>
      <c r="AB8" s="15" t="s">
        <v>171</v>
      </c>
      <c r="AC8" s="14" t="s">
        <v>171</v>
      </c>
      <c r="AD8" s="13">
        <v>18</v>
      </c>
      <c r="AE8" s="13">
        <v>18</v>
      </c>
      <c r="AF8" s="13" t="s">
        <v>171</v>
      </c>
      <c r="AG8" s="13" t="s">
        <v>171</v>
      </c>
      <c r="AH8" s="13" t="s">
        <v>171</v>
      </c>
      <c r="AI8" s="13">
        <v>18</v>
      </c>
      <c r="AJ8" s="13">
        <v>18</v>
      </c>
      <c r="AK8" s="13" t="s">
        <v>171</v>
      </c>
      <c r="AL8" s="13" t="s">
        <v>171</v>
      </c>
      <c r="AM8" s="13" t="s">
        <v>171</v>
      </c>
      <c r="AN8" s="15" t="s">
        <v>171</v>
      </c>
      <c r="AO8" s="14">
        <v>18</v>
      </c>
      <c r="AP8" s="13">
        <v>18</v>
      </c>
      <c r="AQ8" s="13" t="s">
        <v>171</v>
      </c>
      <c r="AR8" s="13" t="s">
        <v>171</v>
      </c>
      <c r="AS8" s="13" t="s">
        <v>171</v>
      </c>
      <c r="AT8" s="13" t="s">
        <v>171</v>
      </c>
      <c r="AU8" s="13">
        <v>18</v>
      </c>
      <c r="AV8" s="13">
        <v>18</v>
      </c>
      <c r="AW8" s="13" t="s">
        <v>171</v>
      </c>
      <c r="AX8" s="13" t="s">
        <v>171</v>
      </c>
      <c r="AY8" s="13" t="s">
        <v>171</v>
      </c>
      <c r="AZ8" s="15" t="s">
        <v>171</v>
      </c>
      <c r="BA8" s="14">
        <v>18</v>
      </c>
      <c r="BB8" s="13">
        <v>18</v>
      </c>
      <c r="BC8" s="13" t="s">
        <v>171</v>
      </c>
      <c r="BD8" s="13" t="s">
        <v>171</v>
      </c>
      <c r="BE8" s="13" t="s">
        <v>171</v>
      </c>
      <c r="BF8" s="13" t="s">
        <v>171</v>
      </c>
      <c r="BG8" s="13">
        <v>18</v>
      </c>
      <c r="BH8" s="13" t="s">
        <v>170</v>
      </c>
      <c r="BI8" s="13" t="s">
        <v>170</v>
      </c>
      <c r="BJ8" s="13" t="s">
        <v>170</v>
      </c>
      <c r="BK8" s="13" t="s">
        <v>170</v>
      </c>
      <c r="BL8" s="15" t="s">
        <v>170</v>
      </c>
      <c r="BM8" s="14" t="s">
        <v>171</v>
      </c>
      <c r="BN8" s="13" t="s">
        <v>171</v>
      </c>
      <c r="BO8" s="13">
        <v>18</v>
      </c>
      <c r="BP8" s="13">
        <v>18</v>
      </c>
      <c r="BQ8" s="13" t="s">
        <v>171</v>
      </c>
      <c r="BR8" s="13" t="s">
        <v>171</v>
      </c>
      <c r="BS8" s="13" t="s">
        <v>171</v>
      </c>
      <c r="BT8" s="13" t="s">
        <v>171</v>
      </c>
      <c r="BU8" s="13">
        <v>18</v>
      </c>
      <c r="BV8" s="13">
        <v>18</v>
      </c>
      <c r="BW8" s="13" t="s">
        <v>171</v>
      </c>
      <c r="BX8" s="15" t="s">
        <v>171</v>
      </c>
      <c r="BY8" s="14" t="s">
        <v>171</v>
      </c>
      <c r="BZ8" s="13" t="s">
        <v>171</v>
      </c>
      <c r="CA8" s="13">
        <v>18</v>
      </c>
      <c r="CB8" s="13">
        <v>18</v>
      </c>
      <c r="CC8" s="13" t="s">
        <v>171</v>
      </c>
      <c r="CD8" s="13" t="s">
        <v>171</v>
      </c>
      <c r="CE8" s="13" t="s">
        <v>171</v>
      </c>
      <c r="CF8" s="13" t="s">
        <v>171</v>
      </c>
      <c r="CG8" s="13">
        <v>18</v>
      </c>
      <c r="CH8" s="13">
        <v>18</v>
      </c>
      <c r="CI8" s="13" t="s">
        <v>171</v>
      </c>
      <c r="CJ8" s="15" t="s">
        <v>171</v>
      </c>
      <c r="CK8" s="14" t="s">
        <v>171</v>
      </c>
      <c r="CL8" s="13" t="s">
        <v>171</v>
      </c>
      <c r="CM8" s="13">
        <v>18</v>
      </c>
      <c r="CN8" s="13">
        <v>18</v>
      </c>
      <c r="CO8" s="13" t="s">
        <v>171</v>
      </c>
      <c r="CP8" s="13" t="s">
        <v>171</v>
      </c>
      <c r="CQ8" s="13" t="s">
        <v>171</v>
      </c>
      <c r="CR8" s="13" t="s">
        <v>171</v>
      </c>
      <c r="CS8" s="13">
        <v>18</v>
      </c>
      <c r="CT8" s="13">
        <v>18</v>
      </c>
      <c r="CU8" s="13">
        <v>18</v>
      </c>
      <c r="CV8" s="15">
        <v>18</v>
      </c>
      <c r="CW8" s="14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5"/>
      <c r="DI8" s="14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5"/>
    </row>
    <row r="9" spans="1:1480" x14ac:dyDescent="0.25">
      <c r="A9" s="13"/>
      <c r="B9" s="13"/>
      <c r="C9" s="13"/>
      <c r="D9" s="16" t="s">
        <v>23</v>
      </c>
      <c r="E9" s="14" t="s">
        <v>167</v>
      </c>
      <c r="F9" s="13" t="s">
        <v>167</v>
      </c>
      <c r="G9" s="13" t="s">
        <v>167</v>
      </c>
      <c r="H9" s="13" t="s">
        <v>167</v>
      </c>
      <c r="I9" s="13" t="s">
        <v>167</v>
      </c>
      <c r="J9" s="13" t="s">
        <v>167</v>
      </c>
      <c r="K9" s="13" t="s">
        <v>167</v>
      </c>
      <c r="L9" s="13">
        <v>18</v>
      </c>
      <c r="M9" s="13">
        <v>18</v>
      </c>
      <c r="N9" s="13" t="s">
        <v>171</v>
      </c>
      <c r="O9" s="13" t="s">
        <v>171</v>
      </c>
      <c r="P9" s="15" t="s">
        <v>171</v>
      </c>
      <c r="Q9" s="14" t="s">
        <v>171</v>
      </c>
      <c r="R9" s="13">
        <v>18</v>
      </c>
      <c r="S9" s="13">
        <v>18</v>
      </c>
      <c r="T9" s="13" t="s">
        <v>171</v>
      </c>
      <c r="U9" s="13" t="s">
        <v>171</v>
      </c>
      <c r="V9" s="13" t="s">
        <v>171</v>
      </c>
      <c r="W9" s="13" t="s">
        <v>171</v>
      </c>
      <c r="X9" s="13">
        <v>18</v>
      </c>
      <c r="Y9" s="13">
        <v>18</v>
      </c>
      <c r="Z9" s="13" t="s">
        <v>171</v>
      </c>
      <c r="AA9" s="13" t="s">
        <v>171</v>
      </c>
      <c r="AB9" s="15" t="s">
        <v>171</v>
      </c>
      <c r="AC9" s="14" t="s">
        <v>171</v>
      </c>
      <c r="AD9" s="13">
        <v>18</v>
      </c>
      <c r="AE9" s="13">
        <v>18</v>
      </c>
      <c r="AF9" s="13" t="s">
        <v>171</v>
      </c>
      <c r="AG9" s="13" t="s">
        <v>171</v>
      </c>
      <c r="AH9" s="13" t="s">
        <v>171</v>
      </c>
      <c r="AI9" s="13">
        <v>18</v>
      </c>
      <c r="AJ9" s="13">
        <v>18</v>
      </c>
      <c r="AK9" s="13" t="s">
        <v>171</v>
      </c>
      <c r="AL9" s="13" t="s">
        <v>171</v>
      </c>
      <c r="AM9" s="13" t="s">
        <v>171</v>
      </c>
      <c r="AN9" s="15" t="s">
        <v>171</v>
      </c>
      <c r="AO9" s="14">
        <v>18</v>
      </c>
      <c r="AP9" s="13">
        <v>18</v>
      </c>
      <c r="AQ9" s="13" t="s">
        <v>171</v>
      </c>
      <c r="AR9" s="13" t="s">
        <v>171</v>
      </c>
      <c r="AS9" s="13" t="s">
        <v>171</v>
      </c>
      <c r="AT9" s="13" t="s">
        <v>171</v>
      </c>
      <c r="AU9" s="13">
        <v>18</v>
      </c>
      <c r="AV9" s="13">
        <v>18</v>
      </c>
      <c r="AW9" s="13" t="s">
        <v>171</v>
      </c>
      <c r="AX9" s="13" t="s">
        <v>171</v>
      </c>
      <c r="AY9" s="13" t="s">
        <v>171</v>
      </c>
      <c r="AZ9" s="15" t="s">
        <v>171</v>
      </c>
      <c r="BA9" s="14">
        <v>18</v>
      </c>
      <c r="BB9" s="13">
        <v>18</v>
      </c>
      <c r="BC9" s="13" t="s">
        <v>171</v>
      </c>
      <c r="BD9" s="13" t="s">
        <v>171</v>
      </c>
      <c r="BE9" s="13" t="s">
        <v>171</v>
      </c>
      <c r="BF9" s="13" t="s">
        <v>171</v>
      </c>
      <c r="BG9" s="13">
        <v>18</v>
      </c>
      <c r="BH9" s="13" t="s">
        <v>170</v>
      </c>
      <c r="BI9" s="13" t="s">
        <v>170</v>
      </c>
      <c r="BJ9" s="13" t="s">
        <v>170</v>
      </c>
      <c r="BK9" s="13" t="s">
        <v>170</v>
      </c>
      <c r="BL9" s="15" t="s">
        <v>170</v>
      </c>
      <c r="BM9" s="14">
        <v>0</v>
      </c>
      <c r="BN9" s="13" t="s">
        <v>166</v>
      </c>
      <c r="BO9" s="13" t="s">
        <v>166</v>
      </c>
      <c r="BP9" s="13" t="s">
        <v>166</v>
      </c>
      <c r="BQ9" s="13" t="s">
        <v>166</v>
      </c>
      <c r="BR9" s="13" t="s">
        <v>166</v>
      </c>
      <c r="BS9" s="13" t="s">
        <v>166</v>
      </c>
      <c r="BT9" s="13">
        <v>18</v>
      </c>
      <c r="BU9" s="13">
        <v>18</v>
      </c>
      <c r="BV9" s="13" t="s">
        <v>171</v>
      </c>
      <c r="BW9" s="13" t="s">
        <v>171</v>
      </c>
      <c r="BX9" s="15" t="s">
        <v>171</v>
      </c>
      <c r="BY9" s="14" t="s">
        <v>171</v>
      </c>
      <c r="BZ9" s="13">
        <v>18</v>
      </c>
      <c r="CA9" s="13">
        <v>18</v>
      </c>
      <c r="CB9" s="13" t="s">
        <v>171</v>
      </c>
      <c r="CC9" s="13" t="s">
        <v>171</v>
      </c>
      <c r="CD9" s="13" t="s">
        <v>171</v>
      </c>
      <c r="CE9" s="13" t="s">
        <v>171</v>
      </c>
      <c r="CF9" s="13">
        <v>18</v>
      </c>
      <c r="CG9" s="13">
        <v>18</v>
      </c>
      <c r="CH9" s="13" t="s">
        <v>171</v>
      </c>
      <c r="CI9" s="13" t="s">
        <v>171</v>
      </c>
      <c r="CJ9" s="15" t="s">
        <v>171</v>
      </c>
      <c r="CK9" s="14" t="s">
        <v>171</v>
      </c>
      <c r="CL9" s="13">
        <v>18</v>
      </c>
      <c r="CM9" s="13">
        <v>18</v>
      </c>
      <c r="CN9" s="13" t="s">
        <v>171</v>
      </c>
      <c r="CO9" s="13" t="s">
        <v>171</v>
      </c>
      <c r="CP9" s="13" t="s">
        <v>171</v>
      </c>
      <c r="CQ9" s="13" t="s">
        <v>171</v>
      </c>
      <c r="CR9" s="13">
        <v>18</v>
      </c>
      <c r="CS9" s="13">
        <v>18</v>
      </c>
      <c r="CT9" s="13">
        <v>18</v>
      </c>
      <c r="CU9" s="13">
        <v>18</v>
      </c>
      <c r="CV9" s="15">
        <v>18</v>
      </c>
      <c r="CW9" s="14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5"/>
      <c r="DI9" s="14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5"/>
    </row>
    <row r="10" spans="1:1480" x14ac:dyDescent="0.25">
      <c r="A10" s="13"/>
      <c r="B10" s="13"/>
      <c r="C10" s="13"/>
      <c r="D10" s="16" t="s">
        <v>60</v>
      </c>
      <c r="E10" s="14" t="s">
        <v>166</v>
      </c>
      <c r="F10" s="13" t="s">
        <v>166</v>
      </c>
      <c r="G10" s="13" t="s">
        <v>166</v>
      </c>
      <c r="H10" s="13" t="s">
        <v>166</v>
      </c>
      <c r="I10" s="13" t="s">
        <v>166</v>
      </c>
      <c r="J10" s="13" t="s">
        <v>166</v>
      </c>
      <c r="K10" s="13">
        <v>18</v>
      </c>
      <c r="L10" s="13">
        <v>18</v>
      </c>
      <c r="M10" s="13" t="s">
        <v>171</v>
      </c>
      <c r="N10" s="13" t="s">
        <v>171</v>
      </c>
      <c r="O10" s="13" t="s">
        <v>171</v>
      </c>
      <c r="P10" s="15" t="s">
        <v>171</v>
      </c>
      <c r="Q10" s="14">
        <v>18</v>
      </c>
      <c r="R10" s="13">
        <v>18</v>
      </c>
      <c r="S10" s="13" t="s">
        <v>171</v>
      </c>
      <c r="T10" s="13" t="s">
        <v>171</v>
      </c>
      <c r="U10" s="13" t="s">
        <v>171</v>
      </c>
      <c r="V10" s="13" t="s">
        <v>171</v>
      </c>
      <c r="W10" s="13">
        <v>18</v>
      </c>
      <c r="X10" s="13">
        <v>18</v>
      </c>
      <c r="Y10" s="13" t="s">
        <v>171</v>
      </c>
      <c r="Z10" s="13" t="s">
        <v>171</v>
      </c>
      <c r="AA10" s="13" t="s">
        <v>171</v>
      </c>
      <c r="AB10" s="15" t="s">
        <v>171</v>
      </c>
      <c r="AC10" s="14">
        <v>18</v>
      </c>
      <c r="AD10" s="13">
        <v>18</v>
      </c>
      <c r="AE10" s="13" t="s">
        <v>171</v>
      </c>
      <c r="AF10" s="13" t="s">
        <v>171</v>
      </c>
      <c r="AG10" s="13" t="s">
        <v>171</v>
      </c>
      <c r="AH10" s="13" t="s">
        <v>171</v>
      </c>
      <c r="AI10" s="13">
        <v>18</v>
      </c>
      <c r="AJ10" s="13">
        <v>18</v>
      </c>
      <c r="AK10" s="13" t="s">
        <v>171</v>
      </c>
      <c r="AL10" s="13" t="s">
        <v>171</v>
      </c>
      <c r="AM10" s="13" t="s">
        <v>171</v>
      </c>
      <c r="AN10" s="15" t="s">
        <v>171</v>
      </c>
      <c r="AO10" s="14">
        <v>18</v>
      </c>
      <c r="AP10" s="13">
        <v>18</v>
      </c>
      <c r="AQ10" s="13" t="s">
        <v>171</v>
      </c>
      <c r="AR10" s="13" t="s">
        <v>171</v>
      </c>
      <c r="AS10" s="13" t="s">
        <v>171</v>
      </c>
      <c r="AT10" s="13" t="s">
        <v>171</v>
      </c>
      <c r="AU10" s="13">
        <v>18</v>
      </c>
      <c r="AV10" s="13">
        <v>18</v>
      </c>
      <c r="AW10" s="13" t="s">
        <v>171</v>
      </c>
      <c r="AX10" s="13" t="s">
        <v>171</v>
      </c>
      <c r="AY10" s="13" t="s">
        <v>171</v>
      </c>
      <c r="AZ10" s="15" t="s">
        <v>171</v>
      </c>
      <c r="BA10" s="14">
        <v>18</v>
      </c>
      <c r="BB10" s="13">
        <v>18</v>
      </c>
      <c r="BC10" s="13" t="s">
        <v>171</v>
      </c>
      <c r="BD10" s="13" t="s">
        <v>171</v>
      </c>
      <c r="BE10" s="13" t="s">
        <v>171</v>
      </c>
      <c r="BF10" s="13" t="s">
        <v>171</v>
      </c>
      <c r="BG10" s="13" t="s">
        <v>170</v>
      </c>
      <c r="BH10" s="13" t="s">
        <v>170</v>
      </c>
      <c r="BI10" s="13" t="s">
        <v>170</v>
      </c>
      <c r="BJ10" s="13" t="s">
        <v>170</v>
      </c>
      <c r="BK10" s="13" t="s">
        <v>170</v>
      </c>
      <c r="BL10" s="15" t="s">
        <v>170</v>
      </c>
      <c r="BM10" s="14" t="s">
        <v>171</v>
      </c>
      <c r="BN10" s="13" t="s">
        <v>171</v>
      </c>
      <c r="BO10" s="13" t="s">
        <v>171</v>
      </c>
      <c r="BP10" s="13">
        <v>18</v>
      </c>
      <c r="BQ10" s="13">
        <v>18</v>
      </c>
      <c r="BR10" s="13" t="s">
        <v>171</v>
      </c>
      <c r="BS10" s="13" t="s">
        <v>171</v>
      </c>
      <c r="BT10" s="13" t="s">
        <v>171</v>
      </c>
      <c r="BU10" s="13" t="s">
        <v>171</v>
      </c>
      <c r="BV10" s="13">
        <v>18</v>
      </c>
      <c r="BW10" s="13">
        <v>18</v>
      </c>
      <c r="BX10" s="15" t="s">
        <v>171</v>
      </c>
      <c r="BY10" s="14" t="s">
        <v>171</v>
      </c>
      <c r="BZ10" s="13" t="s">
        <v>171</v>
      </c>
      <c r="CA10" s="13" t="s">
        <v>171</v>
      </c>
      <c r="CB10" s="13">
        <v>18</v>
      </c>
      <c r="CC10" s="13">
        <v>18</v>
      </c>
      <c r="CD10" s="13" t="s">
        <v>171</v>
      </c>
      <c r="CE10" s="13" t="s">
        <v>171</v>
      </c>
      <c r="CF10" s="13" t="s">
        <v>171</v>
      </c>
      <c r="CG10" s="13" t="s">
        <v>171</v>
      </c>
      <c r="CH10" s="13">
        <v>18</v>
      </c>
      <c r="CI10" s="13">
        <v>18</v>
      </c>
      <c r="CJ10" s="15" t="s">
        <v>171</v>
      </c>
      <c r="CK10" s="14" t="s">
        <v>171</v>
      </c>
      <c r="CL10" s="13" t="s">
        <v>171</v>
      </c>
      <c r="CM10" s="13" t="s">
        <v>171</v>
      </c>
      <c r="CN10" s="13">
        <v>18</v>
      </c>
      <c r="CO10" s="13">
        <v>18</v>
      </c>
      <c r="CP10" s="13" t="s">
        <v>171</v>
      </c>
      <c r="CQ10" s="13" t="s">
        <v>171</v>
      </c>
      <c r="CR10" s="13" t="s">
        <v>171</v>
      </c>
      <c r="CS10" s="13" t="s">
        <v>171</v>
      </c>
      <c r="CT10" s="13">
        <v>18</v>
      </c>
      <c r="CU10" s="13">
        <v>18</v>
      </c>
      <c r="CV10" s="15">
        <v>18</v>
      </c>
      <c r="CW10" s="14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5"/>
      <c r="DI10" s="14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5"/>
    </row>
    <row r="11" spans="1:1480" x14ac:dyDescent="0.25">
      <c r="A11" s="13"/>
      <c r="B11" s="13"/>
      <c r="C11" s="13"/>
      <c r="D11" s="16" t="s">
        <v>75</v>
      </c>
      <c r="E11" s="14" t="s">
        <v>166</v>
      </c>
      <c r="F11" s="13" t="s">
        <v>166</v>
      </c>
      <c r="G11" s="13" t="s">
        <v>166</v>
      </c>
      <c r="H11" s="13" t="s">
        <v>166</v>
      </c>
      <c r="I11" s="13" t="s">
        <v>166</v>
      </c>
      <c r="J11" s="13" t="s">
        <v>166</v>
      </c>
      <c r="K11" s="13">
        <v>18</v>
      </c>
      <c r="L11" s="13">
        <v>18</v>
      </c>
      <c r="M11" s="13" t="s">
        <v>171</v>
      </c>
      <c r="N11" s="13" t="s">
        <v>171</v>
      </c>
      <c r="O11" s="13" t="s">
        <v>171</v>
      </c>
      <c r="P11" s="15" t="s">
        <v>171</v>
      </c>
      <c r="Q11" s="14">
        <v>18</v>
      </c>
      <c r="R11" s="13">
        <v>18</v>
      </c>
      <c r="S11" s="13" t="s">
        <v>173</v>
      </c>
      <c r="T11" s="13" t="s">
        <v>173</v>
      </c>
      <c r="U11" s="13" t="s">
        <v>173</v>
      </c>
      <c r="V11" s="13" t="s">
        <v>173</v>
      </c>
      <c r="W11" s="13">
        <v>18</v>
      </c>
      <c r="X11" s="13">
        <v>18</v>
      </c>
      <c r="Y11" s="13" t="s">
        <v>173</v>
      </c>
      <c r="Z11" s="13" t="s">
        <v>173</v>
      </c>
      <c r="AA11" s="13" t="s">
        <v>173</v>
      </c>
      <c r="AB11" s="15" t="s">
        <v>173</v>
      </c>
      <c r="AC11" s="14">
        <v>18</v>
      </c>
      <c r="AD11" s="13">
        <v>18</v>
      </c>
      <c r="AE11" s="13">
        <v>18</v>
      </c>
      <c r="AF11" s="13">
        <v>18</v>
      </c>
      <c r="AG11" s="13">
        <v>18</v>
      </c>
      <c r="AH11" s="13">
        <v>18</v>
      </c>
      <c r="AI11" s="13">
        <v>18</v>
      </c>
      <c r="AJ11" s="13">
        <v>18</v>
      </c>
      <c r="AK11" s="13">
        <v>18</v>
      </c>
      <c r="AL11" s="13">
        <v>18</v>
      </c>
      <c r="AM11" s="13">
        <v>18</v>
      </c>
      <c r="AN11" s="15">
        <v>0</v>
      </c>
      <c r="AO11" s="14">
        <v>0</v>
      </c>
      <c r="AP11" s="13">
        <v>0</v>
      </c>
      <c r="AQ11" s="13">
        <v>0</v>
      </c>
      <c r="AR11" s="13">
        <v>0</v>
      </c>
      <c r="AS11" s="13">
        <v>0</v>
      </c>
      <c r="AT11" s="13">
        <v>0</v>
      </c>
      <c r="AU11" s="13">
        <v>0</v>
      </c>
      <c r="AV11" s="13">
        <v>0</v>
      </c>
      <c r="AW11" s="13">
        <v>0</v>
      </c>
      <c r="AX11" s="13">
        <v>0</v>
      </c>
      <c r="AY11" s="13">
        <v>0</v>
      </c>
      <c r="AZ11" s="15">
        <v>0</v>
      </c>
      <c r="BA11" s="14">
        <v>0</v>
      </c>
      <c r="BB11" s="13">
        <v>0</v>
      </c>
      <c r="BC11" s="13">
        <v>0</v>
      </c>
      <c r="BD11" s="13">
        <v>0</v>
      </c>
      <c r="BE11" s="13" t="s">
        <v>170</v>
      </c>
      <c r="BF11" s="13" t="s">
        <v>170</v>
      </c>
      <c r="BG11" s="13" t="s">
        <v>170</v>
      </c>
      <c r="BH11" s="13" t="s">
        <v>170</v>
      </c>
      <c r="BI11" s="13" t="s">
        <v>170</v>
      </c>
      <c r="BJ11" s="13" t="s">
        <v>170</v>
      </c>
      <c r="BK11" s="13">
        <v>18</v>
      </c>
      <c r="BL11" s="15">
        <v>18</v>
      </c>
      <c r="BM11" s="14">
        <v>18</v>
      </c>
      <c r="BN11" s="13">
        <v>18</v>
      </c>
      <c r="BO11" s="13" t="s">
        <v>171</v>
      </c>
      <c r="BP11" s="13" t="s">
        <v>171</v>
      </c>
      <c r="BQ11" s="13" t="s">
        <v>171</v>
      </c>
      <c r="BR11" s="13" t="s">
        <v>171</v>
      </c>
      <c r="BS11" s="13">
        <v>18</v>
      </c>
      <c r="BT11" s="13">
        <v>18</v>
      </c>
      <c r="BU11" s="13" t="s">
        <v>171</v>
      </c>
      <c r="BV11" s="13" t="s">
        <v>171</v>
      </c>
      <c r="BW11" s="13" t="s">
        <v>171</v>
      </c>
      <c r="BX11" s="15" t="s">
        <v>171</v>
      </c>
      <c r="BY11" s="14">
        <v>18</v>
      </c>
      <c r="BZ11" s="13">
        <v>18</v>
      </c>
      <c r="CA11" s="13" t="s">
        <v>171</v>
      </c>
      <c r="CB11" s="13" t="s">
        <v>171</v>
      </c>
      <c r="CC11" s="13" t="s">
        <v>171</v>
      </c>
      <c r="CD11" s="13" t="s">
        <v>171</v>
      </c>
      <c r="CE11" s="13">
        <v>18</v>
      </c>
      <c r="CF11" s="13">
        <v>18</v>
      </c>
      <c r="CG11" s="13" t="s">
        <v>171</v>
      </c>
      <c r="CH11" s="13" t="s">
        <v>171</v>
      </c>
      <c r="CI11" s="13" t="s">
        <v>171</v>
      </c>
      <c r="CJ11" s="15" t="s">
        <v>171</v>
      </c>
      <c r="CK11" s="14">
        <v>18</v>
      </c>
      <c r="CL11" s="13">
        <v>18</v>
      </c>
      <c r="CM11" s="13" t="s">
        <v>171</v>
      </c>
      <c r="CN11" s="13" t="s">
        <v>171</v>
      </c>
      <c r="CO11" s="13" t="s">
        <v>171</v>
      </c>
      <c r="CP11" s="13" t="s">
        <v>171</v>
      </c>
      <c r="CQ11" s="13">
        <v>18</v>
      </c>
      <c r="CR11" s="13">
        <v>18</v>
      </c>
      <c r="CS11" s="13">
        <v>18</v>
      </c>
      <c r="CT11" s="13">
        <v>18</v>
      </c>
      <c r="CU11" s="13">
        <v>18</v>
      </c>
      <c r="CV11" s="15">
        <v>18</v>
      </c>
      <c r="CW11" s="14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5"/>
      <c r="DI11" s="14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5"/>
    </row>
    <row r="12" spans="1:1480" x14ac:dyDescent="0.25">
      <c r="A12" s="13"/>
      <c r="B12" s="13"/>
      <c r="C12" s="13"/>
      <c r="D12" s="16" t="s">
        <v>77</v>
      </c>
      <c r="E12" s="14" t="s">
        <v>166</v>
      </c>
      <c r="F12" s="13" t="s">
        <v>166</v>
      </c>
      <c r="G12" s="13" t="s">
        <v>166</v>
      </c>
      <c r="H12" s="13" t="s">
        <v>166</v>
      </c>
      <c r="I12" s="13" t="s">
        <v>166</v>
      </c>
      <c r="J12" s="13" t="s">
        <v>166</v>
      </c>
      <c r="K12" s="13" t="s">
        <v>166</v>
      </c>
      <c r="L12" s="13">
        <v>18</v>
      </c>
      <c r="M12" s="13">
        <v>18</v>
      </c>
      <c r="N12" s="13" t="s">
        <v>171</v>
      </c>
      <c r="O12" s="13" t="s">
        <v>171</v>
      </c>
      <c r="P12" s="15" t="s">
        <v>171</v>
      </c>
      <c r="Q12" s="14" t="s">
        <v>171</v>
      </c>
      <c r="R12" s="13">
        <v>18</v>
      </c>
      <c r="S12" s="13">
        <v>18</v>
      </c>
      <c r="T12" s="13" t="s">
        <v>171</v>
      </c>
      <c r="U12" s="13" t="s">
        <v>171</v>
      </c>
      <c r="V12" s="13" t="s">
        <v>171</v>
      </c>
      <c r="W12" s="13" t="s">
        <v>171</v>
      </c>
      <c r="X12" s="13">
        <v>18</v>
      </c>
      <c r="Y12" s="13">
        <v>18</v>
      </c>
      <c r="Z12" s="13" t="s">
        <v>171</v>
      </c>
      <c r="AA12" s="13" t="s">
        <v>171</v>
      </c>
      <c r="AB12" s="15" t="s">
        <v>171</v>
      </c>
      <c r="AC12" s="14" t="s">
        <v>171</v>
      </c>
      <c r="AD12" s="13">
        <v>18</v>
      </c>
      <c r="AE12" s="13">
        <v>18</v>
      </c>
      <c r="AF12" s="13" t="s">
        <v>171</v>
      </c>
      <c r="AG12" s="13" t="s">
        <v>171</v>
      </c>
      <c r="AH12" s="13" t="s">
        <v>171</v>
      </c>
      <c r="AI12" s="13" t="s">
        <v>171</v>
      </c>
      <c r="AJ12" s="13">
        <v>18</v>
      </c>
      <c r="AK12" s="13">
        <v>18</v>
      </c>
      <c r="AL12" s="13" t="s">
        <v>173</v>
      </c>
      <c r="AM12" s="13" t="s">
        <v>173</v>
      </c>
      <c r="AN12" s="15" t="s">
        <v>173</v>
      </c>
      <c r="AO12" s="14" t="s">
        <v>173</v>
      </c>
      <c r="AP12" s="13">
        <v>18</v>
      </c>
      <c r="AQ12" s="13">
        <v>18</v>
      </c>
      <c r="AR12" s="13" t="s">
        <v>171</v>
      </c>
      <c r="AS12" s="13" t="s">
        <v>171</v>
      </c>
      <c r="AT12" s="13" t="s">
        <v>171</v>
      </c>
      <c r="AU12" s="13" t="s">
        <v>171</v>
      </c>
      <c r="AV12" s="13">
        <v>18</v>
      </c>
      <c r="AW12" s="13">
        <v>18</v>
      </c>
      <c r="AX12" s="13">
        <v>18</v>
      </c>
      <c r="AY12" s="13">
        <v>18</v>
      </c>
      <c r="AZ12" s="15">
        <v>18</v>
      </c>
      <c r="BA12" s="14">
        <v>18</v>
      </c>
      <c r="BB12" s="13">
        <v>0</v>
      </c>
      <c r="BC12" s="13">
        <v>0</v>
      </c>
      <c r="BD12" s="13">
        <v>0</v>
      </c>
      <c r="BE12" s="13">
        <v>0</v>
      </c>
      <c r="BF12" s="13" t="s">
        <v>170</v>
      </c>
      <c r="BG12" s="13" t="s">
        <v>170</v>
      </c>
      <c r="BH12" s="13" t="s">
        <v>170</v>
      </c>
      <c r="BI12" s="13" t="s">
        <v>170</v>
      </c>
      <c r="BJ12" s="13" t="s">
        <v>170</v>
      </c>
      <c r="BK12" s="13" t="s">
        <v>170</v>
      </c>
      <c r="BL12" s="15">
        <v>18</v>
      </c>
      <c r="BM12" s="14">
        <v>18</v>
      </c>
      <c r="BN12" s="13">
        <v>18</v>
      </c>
      <c r="BO12" s="13" t="s">
        <v>171</v>
      </c>
      <c r="BP12" s="13" t="s">
        <v>171</v>
      </c>
      <c r="BQ12" s="13" t="s">
        <v>171</v>
      </c>
      <c r="BR12" s="13" t="s">
        <v>171</v>
      </c>
      <c r="BS12" s="13">
        <v>18</v>
      </c>
      <c r="BT12" s="13">
        <v>18</v>
      </c>
      <c r="BU12" s="13" t="s">
        <v>171</v>
      </c>
      <c r="BV12" s="13" t="s">
        <v>171</v>
      </c>
      <c r="BW12" s="13" t="s">
        <v>171</v>
      </c>
      <c r="BX12" s="15" t="s">
        <v>171</v>
      </c>
      <c r="BY12" s="14">
        <v>18</v>
      </c>
      <c r="BZ12" s="13">
        <v>18</v>
      </c>
      <c r="CA12" s="13" t="s">
        <v>171</v>
      </c>
      <c r="CB12" s="13" t="s">
        <v>171</v>
      </c>
      <c r="CC12" s="13" t="s">
        <v>171</v>
      </c>
      <c r="CD12" s="13" t="s">
        <v>171</v>
      </c>
      <c r="CE12" s="13">
        <v>18</v>
      </c>
      <c r="CF12" s="13">
        <v>18</v>
      </c>
      <c r="CG12" s="13" t="s">
        <v>171</v>
      </c>
      <c r="CH12" s="13" t="s">
        <v>171</v>
      </c>
      <c r="CI12" s="13" t="s">
        <v>171</v>
      </c>
      <c r="CJ12" s="15" t="s">
        <v>171</v>
      </c>
      <c r="CK12" s="14">
        <v>18</v>
      </c>
      <c r="CL12" s="13">
        <v>18</v>
      </c>
      <c r="CM12" s="13" t="s">
        <v>171</v>
      </c>
      <c r="CN12" s="13" t="s">
        <v>171</v>
      </c>
      <c r="CO12" s="13" t="s">
        <v>171</v>
      </c>
      <c r="CP12" s="13" t="s">
        <v>171</v>
      </c>
      <c r="CQ12" s="13">
        <v>18</v>
      </c>
      <c r="CR12" s="13">
        <v>18</v>
      </c>
      <c r="CS12" s="13">
        <v>18</v>
      </c>
      <c r="CT12" s="13">
        <v>18</v>
      </c>
      <c r="CU12" s="13">
        <v>18</v>
      </c>
      <c r="CV12" s="15">
        <v>18</v>
      </c>
      <c r="CW12" s="14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5"/>
      <c r="DI12" s="14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5"/>
    </row>
    <row r="13" spans="1:1480" x14ac:dyDescent="0.25">
      <c r="A13" s="13"/>
      <c r="B13" s="13"/>
      <c r="C13" s="13"/>
      <c r="D13" s="16" t="s">
        <v>28</v>
      </c>
      <c r="E13" s="14">
        <v>18</v>
      </c>
      <c r="F13" s="13" t="s">
        <v>167</v>
      </c>
      <c r="G13" s="13" t="s">
        <v>167</v>
      </c>
      <c r="H13" s="13" t="s">
        <v>167</v>
      </c>
      <c r="I13" s="13" t="s">
        <v>167</v>
      </c>
      <c r="J13" s="13" t="s">
        <v>167</v>
      </c>
      <c r="K13" s="13" t="s">
        <v>167</v>
      </c>
      <c r="L13" s="13" t="s">
        <v>167</v>
      </c>
      <c r="M13" s="13" t="s">
        <v>167</v>
      </c>
      <c r="N13" s="13" t="s">
        <v>167</v>
      </c>
      <c r="O13" s="13" t="s">
        <v>167</v>
      </c>
      <c r="P13" s="15" t="s">
        <v>167</v>
      </c>
      <c r="Q13" s="14">
        <v>18</v>
      </c>
      <c r="R13" s="13">
        <v>18</v>
      </c>
      <c r="S13" s="13" t="s">
        <v>171</v>
      </c>
      <c r="T13" s="13" t="s">
        <v>171</v>
      </c>
      <c r="U13" s="13" t="s">
        <v>171</v>
      </c>
      <c r="V13" s="13" t="s">
        <v>171</v>
      </c>
      <c r="W13" s="13">
        <v>18</v>
      </c>
      <c r="X13" s="13">
        <v>18</v>
      </c>
      <c r="Y13" s="13" t="s">
        <v>171</v>
      </c>
      <c r="Z13" s="13" t="s">
        <v>171</v>
      </c>
      <c r="AA13" s="13" t="s">
        <v>171</v>
      </c>
      <c r="AB13" s="15" t="s">
        <v>171</v>
      </c>
      <c r="AC13" s="14">
        <v>18</v>
      </c>
      <c r="AD13" s="13">
        <v>18</v>
      </c>
      <c r="AE13" s="13" t="s">
        <v>171</v>
      </c>
      <c r="AF13" s="13" t="s">
        <v>171</v>
      </c>
      <c r="AG13" s="13" t="s">
        <v>171</v>
      </c>
      <c r="AH13" s="13" t="s">
        <v>171</v>
      </c>
      <c r="AI13" s="13">
        <v>18</v>
      </c>
      <c r="AJ13" s="13">
        <v>18</v>
      </c>
      <c r="AK13" s="13" t="s">
        <v>171</v>
      </c>
      <c r="AL13" s="13" t="s">
        <v>171</v>
      </c>
      <c r="AM13" s="13" t="s">
        <v>171</v>
      </c>
      <c r="AN13" s="15" t="s">
        <v>171</v>
      </c>
      <c r="AO13" s="14">
        <v>18</v>
      </c>
      <c r="AP13" s="13">
        <v>18</v>
      </c>
      <c r="AQ13" s="13" t="s">
        <v>171</v>
      </c>
      <c r="AR13" s="13" t="s">
        <v>171</v>
      </c>
      <c r="AS13" s="13" t="s">
        <v>171</v>
      </c>
      <c r="AT13" s="13" t="s">
        <v>171</v>
      </c>
      <c r="AU13" s="13">
        <v>18</v>
      </c>
      <c r="AV13" s="13">
        <v>18</v>
      </c>
      <c r="AW13" s="13" t="s">
        <v>171</v>
      </c>
      <c r="AX13" s="13" t="s">
        <v>171</v>
      </c>
      <c r="AY13" s="13" t="s">
        <v>171</v>
      </c>
      <c r="AZ13" s="15" t="s">
        <v>171</v>
      </c>
      <c r="BA13" s="14">
        <v>18</v>
      </c>
      <c r="BB13" s="13">
        <v>18</v>
      </c>
      <c r="BC13" s="13" t="s">
        <v>171</v>
      </c>
      <c r="BD13" s="13" t="s">
        <v>171</v>
      </c>
      <c r="BE13" s="13" t="s">
        <v>171</v>
      </c>
      <c r="BF13" s="13" t="s">
        <v>171</v>
      </c>
      <c r="BG13" s="13">
        <v>18</v>
      </c>
      <c r="BH13" s="13">
        <v>18</v>
      </c>
      <c r="BI13" s="13" t="s">
        <v>171</v>
      </c>
      <c r="BJ13" s="13" t="s">
        <v>171</v>
      </c>
      <c r="BK13" s="13" t="s">
        <v>171</v>
      </c>
      <c r="BL13" s="15" t="s">
        <v>171</v>
      </c>
      <c r="BM13" s="14" t="s">
        <v>168</v>
      </c>
      <c r="BN13" s="13" t="s">
        <v>168</v>
      </c>
      <c r="BO13" s="13">
        <v>18</v>
      </c>
      <c r="BP13" s="13">
        <v>18</v>
      </c>
      <c r="BQ13" s="13" t="s">
        <v>171</v>
      </c>
      <c r="BR13" s="13" t="s">
        <v>171</v>
      </c>
      <c r="BS13" s="13" t="s">
        <v>171</v>
      </c>
      <c r="BT13" s="13" t="s">
        <v>171</v>
      </c>
      <c r="BU13" s="13">
        <v>18</v>
      </c>
      <c r="BV13" s="13">
        <v>18</v>
      </c>
      <c r="BW13" s="13" t="s">
        <v>171</v>
      </c>
      <c r="BX13" s="15" t="s">
        <v>171</v>
      </c>
      <c r="BY13" s="14" t="s">
        <v>171</v>
      </c>
      <c r="BZ13" s="13" t="s">
        <v>171</v>
      </c>
      <c r="CA13" s="13">
        <v>18</v>
      </c>
      <c r="CB13" s="13">
        <v>18</v>
      </c>
      <c r="CC13" s="13" t="s">
        <v>171</v>
      </c>
      <c r="CD13" s="13" t="s">
        <v>171</v>
      </c>
      <c r="CE13" s="13" t="s">
        <v>171</v>
      </c>
      <c r="CF13" s="13" t="s">
        <v>171</v>
      </c>
      <c r="CG13" s="13">
        <v>18</v>
      </c>
      <c r="CH13" s="13">
        <v>18</v>
      </c>
      <c r="CI13" s="13" t="s">
        <v>171</v>
      </c>
      <c r="CJ13" s="15" t="s">
        <v>171</v>
      </c>
      <c r="CK13" s="14" t="s">
        <v>171</v>
      </c>
      <c r="CL13" s="13" t="s">
        <v>171</v>
      </c>
      <c r="CM13" s="13">
        <v>18</v>
      </c>
      <c r="CN13" s="13">
        <v>18</v>
      </c>
      <c r="CO13" s="13" t="s">
        <v>171</v>
      </c>
      <c r="CP13" s="13" t="s">
        <v>171</v>
      </c>
      <c r="CQ13" s="13" t="s">
        <v>171</v>
      </c>
      <c r="CR13" s="13" t="s">
        <v>171</v>
      </c>
      <c r="CS13" s="13">
        <v>18</v>
      </c>
      <c r="CT13" s="13">
        <v>18</v>
      </c>
      <c r="CU13" s="13">
        <v>18</v>
      </c>
      <c r="CV13" s="15">
        <v>18</v>
      </c>
      <c r="CW13" s="14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5"/>
      <c r="DI13" s="14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5"/>
    </row>
    <row r="14" spans="1:1480" x14ac:dyDescent="0.25">
      <c r="A14" s="13"/>
      <c r="B14" s="13"/>
      <c r="C14" s="13"/>
      <c r="D14" s="16" t="s">
        <v>32</v>
      </c>
      <c r="E14" s="14">
        <v>18</v>
      </c>
      <c r="F14" s="13" t="s">
        <v>167</v>
      </c>
      <c r="G14" s="13" t="s">
        <v>167</v>
      </c>
      <c r="H14" s="13" t="s">
        <v>167</v>
      </c>
      <c r="I14" s="13" t="s">
        <v>167</v>
      </c>
      <c r="J14" s="13" t="s">
        <v>167</v>
      </c>
      <c r="K14" s="13" t="s">
        <v>167</v>
      </c>
      <c r="L14" s="13" t="s">
        <v>167</v>
      </c>
      <c r="M14" s="13">
        <v>18</v>
      </c>
      <c r="N14" s="13">
        <v>18</v>
      </c>
      <c r="O14" s="13" t="s">
        <v>173</v>
      </c>
      <c r="P14" s="15" t="s">
        <v>173</v>
      </c>
      <c r="Q14" s="14" t="s">
        <v>173</v>
      </c>
      <c r="R14" s="13" t="s">
        <v>173</v>
      </c>
      <c r="S14" s="13">
        <v>18</v>
      </c>
      <c r="T14" s="13">
        <v>18</v>
      </c>
      <c r="U14" s="13" t="s">
        <v>171</v>
      </c>
      <c r="V14" s="13" t="s">
        <v>171</v>
      </c>
      <c r="W14" s="13" t="s">
        <v>171</v>
      </c>
      <c r="X14" s="13" t="s">
        <v>171</v>
      </c>
      <c r="Y14" s="13">
        <v>18</v>
      </c>
      <c r="Z14" s="13">
        <v>18</v>
      </c>
      <c r="AA14" s="13" t="s">
        <v>171</v>
      </c>
      <c r="AB14" s="15" t="s">
        <v>171</v>
      </c>
      <c r="AC14" s="14" t="s">
        <v>171</v>
      </c>
      <c r="AD14" s="13" t="s">
        <v>171</v>
      </c>
      <c r="AE14" s="13">
        <v>18</v>
      </c>
      <c r="AF14" s="13">
        <v>18</v>
      </c>
      <c r="AG14" s="13" t="s">
        <v>171</v>
      </c>
      <c r="AH14" s="13" t="s">
        <v>171</v>
      </c>
      <c r="AI14" s="13">
        <v>18</v>
      </c>
      <c r="AJ14" s="13">
        <v>18</v>
      </c>
      <c r="AK14" s="13" t="s">
        <v>171</v>
      </c>
      <c r="AL14" s="13" t="s">
        <v>171</v>
      </c>
      <c r="AM14" s="13" t="s">
        <v>171</v>
      </c>
      <c r="AN14" s="15" t="s">
        <v>171</v>
      </c>
      <c r="AO14" s="14">
        <v>18</v>
      </c>
      <c r="AP14" s="13">
        <v>18</v>
      </c>
      <c r="AQ14" s="13" t="s">
        <v>171</v>
      </c>
      <c r="AR14" s="13" t="s">
        <v>171</v>
      </c>
      <c r="AS14" s="13" t="s">
        <v>171</v>
      </c>
      <c r="AT14" s="13" t="s">
        <v>171</v>
      </c>
      <c r="AU14" s="13">
        <v>18</v>
      </c>
      <c r="AV14" s="13">
        <v>18</v>
      </c>
      <c r="AW14" s="13">
        <v>18</v>
      </c>
      <c r="AX14" s="13">
        <v>18</v>
      </c>
      <c r="AY14" s="13">
        <v>18</v>
      </c>
      <c r="AZ14" s="15">
        <v>18</v>
      </c>
      <c r="BA14" s="14">
        <v>18</v>
      </c>
      <c r="BB14" s="13">
        <v>18</v>
      </c>
      <c r="BC14" s="13">
        <v>18</v>
      </c>
      <c r="BD14" s="13">
        <v>0</v>
      </c>
      <c r="BE14" s="13">
        <v>0</v>
      </c>
      <c r="BF14" s="13">
        <v>0</v>
      </c>
      <c r="BG14" s="13">
        <v>0</v>
      </c>
      <c r="BH14" s="13" t="s">
        <v>166</v>
      </c>
      <c r="BI14" s="13" t="s">
        <v>166</v>
      </c>
      <c r="BJ14" s="13" t="s">
        <v>166</v>
      </c>
      <c r="BK14" s="13" t="s">
        <v>166</v>
      </c>
      <c r="BL14" s="15" t="s">
        <v>166</v>
      </c>
      <c r="BM14" s="14">
        <v>18</v>
      </c>
      <c r="BN14" s="13" t="s">
        <v>171</v>
      </c>
      <c r="BO14" s="13" t="s">
        <v>171</v>
      </c>
      <c r="BP14" s="13" t="s">
        <v>171</v>
      </c>
      <c r="BQ14" s="13" t="s">
        <v>171</v>
      </c>
      <c r="BR14" s="13">
        <v>18</v>
      </c>
      <c r="BS14" s="13">
        <v>18</v>
      </c>
      <c r="BT14" s="13" t="s">
        <v>171</v>
      </c>
      <c r="BU14" s="13" t="s">
        <v>171</v>
      </c>
      <c r="BV14" s="13" t="s">
        <v>171</v>
      </c>
      <c r="BW14" s="13" t="s">
        <v>171</v>
      </c>
      <c r="BX14" s="15">
        <v>18</v>
      </c>
      <c r="BY14" s="14">
        <v>18</v>
      </c>
      <c r="BZ14" s="13" t="s">
        <v>171</v>
      </c>
      <c r="CA14" s="13" t="s">
        <v>171</v>
      </c>
      <c r="CB14" s="13" t="s">
        <v>171</v>
      </c>
      <c r="CC14" s="13" t="s">
        <v>171</v>
      </c>
      <c r="CD14" s="13">
        <v>18</v>
      </c>
      <c r="CE14" s="13">
        <v>18</v>
      </c>
      <c r="CF14" s="13" t="s">
        <v>171</v>
      </c>
      <c r="CG14" s="13" t="s">
        <v>171</v>
      </c>
      <c r="CH14" s="13" t="s">
        <v>171</v>
      </c>
      <c r="CI14" s="13" t="s">
        <v>171</v>
      </c>
      <c r="CJ14" s="15">
        <v>18</v>
      </c>
      <c r="CK14" s="14">
        <v>18</v>
      </c>
      <c r="CL14" s="13" t="s">
        <v>171</v>
      </c>
      <c r="CM14" s="13" t="s">
        <v>171</v>
      </c>
      <c r="CN14" s="13" t="s">
        <v>171</v>
      </c>
      <c r="CO14" s="13" t="s">
        <v>171</v>
      </c>
      <c r="CP14" s="13">
        <v>18</v>
      </c>
      <c r="CQ14" s="13">
        <v>18</v>
      </c>
      <c r="CR14" s="13">
        <v>18</v>
      </c>
      <c r="CS14" s="13">
        <v>18</v>
      </c>
      <c r="CT14" s="13">
        <v>18</v>
      </c>
      <c r="CU14" s="13">
        <v>18</v>
      </c>
      <c r="CV14" s="15">
        <v>18</v>
      </c>
      <c r="CW14" s="14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5"/>
      <c r="DI14" s="14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5"/>
    </row>
    <row r="15" spans="1:1480" x14ac:dyDescent="0.25">
      <c r="A15" s="13"/>
      <c r="B15" s="13"/>
      <c r="C15" s="13"/>
      <c r="D15" s="16" t="s">
        <v>56</v>
      </c>
      <c r="E15" s="14">
        <v>18</v>
      </c>
      <c r="F15" s="13" t="s">
        <v>166</v>
      </c>
      <c r="G15" s="13" t="s">
        <v>166</v>
      </c>
      <c r="H15" s="13" t="s">
        <v>166</v>
      </c>
      <c r="I15" s="13" t="s">
        <v>166</v>
      </c>
      <c r="J15" s="13" t="s">
        <v>166</v>
      </c>
      <c r="K15" s="13" t="s">
        <v>166</v>
      </c>
      <c r="L15" s="13" t="s">
        <v>166</v>
      </c>
      <c r="M15" s="13" t="s">
        <v>166</v>
      </c>
      <c r="N15" s="13" t="s">
        <v>166</v>
      </c>
      <c r="O15" s="13" t="s">
        <v>166</v>
      </c>
      <c r="P15" s="15" t="s">
        <v>166</v>
      </c>
      <c r="Q15" s="14">
        <v>18</v>
      </c>
      <c r="R15" s="13">
        <v>18</v>
      </c>
      <c r="S15" s="13" t="s">
        <v>171</v>
      </c>
      <c r="T15" s="13" t="s">
        <v>171</v>
      </c>
      <c r="U15" s="13" t="s">
        <v>171</v>
      </c>
      <c r="V15" s="13" t="s">
        <v>171</v>
      </c>
      <c r="W15" s="13">
        <v>18</v>
      </c>
      <c r="X15" s="13">
        <v>18</v>
      </c>
      <c r="Y15" s="13" t="s">
        <v>171</v>
      </c>
      <c r="Z15" s="13" t="s">
        <v>171</v>
      </c>
      <c r="AA15" s="13" t="s">
        <v>171</v>
      </c>
      <c r="AB15" s="15" t="s">
        <v>171</v>
      </c>
      <c r="AC15" s="14">
        <v>18</v>
      </c>
      <c r="AD15" s="13">
        <v>18</v>
      </c>
      <c r="AE15" s="13" t="s">
        <v>173</v>
      </c>
      <c r="AF15" s="13" t="s">
        <v>173</v>
      </c>
      <c r="AG15" s="13" t="s">
        <v>173</v>
      </c>
      <c r="AH15" s="13" t="s">
        <v>173</v>
      </c>
      <c r="AI15" s="13">
        <v>18</v>
      </c>
      <c r="AJ15" s="13">
        <v>18</v>
      </c>
      <c r="AK15" s="13" t="s">
        <v>171</v>
      </c>
      <c r="AL15" s="13" t="s">
        <v>171</v>
      </c>
      <c r="AM15" s="13" t="s">
        <v>171</v>
      </c>
      <c r="AN15" s="15" t="s">
        <v>171</v>
      </c>
      <c r="AO15" s="14">
        <v>18</v>
      </c>
      <c r="AP15" s="13">
        <v>18</v>
      </c>
      <c r="AQ15" s="13" t="s">
        <v>171</v>
      </c>
      <c r="AR15" s="13" t="s">
        <v>171</v>
      </c>
      <c r="AS15" s="13" t="s">
        <v>171</v>
      </c>
      <c r="AT15" s="13" t="s">
        <v>171</v>
      </c>
      <c r="AU15" s="13">
        <v>18</v>
      </c>
      <c r="AV15" s="13">
        <v>18</v>
      </c>
      <c r="AW15" s="13" t="s">
        <v>171</v>
      </c>
      <c r="AX15" s="13" t="s">
        <v>171</v>
      </c>
      <c r="AY15" s="13" t="s">
        <v>171</v>
      </c>
      <c r="AZ15" s="15" t="s">
        <v>171</v>
      </c>
      <c r="BA15" s="14">
        <v>18</v>
      </c>
      <c r="BB15" s="13">
        <v>18</v>
      </c>
      <c r="BC15" s="13">
        <v>18</v>
      </c>
      <c r="BD15" s="13">
        <v>18</v>
      </c>
      <c r="BE15" s="13">
        <v>18</v>
      </c>
      <c r="BF15" s="13">
        <v>18</v>
      </c>
      <c r="BG15" s="13">
        <v>0</v>
      </c>
      <c r="BH15" s="13">
        <v>0</v>
      </c>
      <c r="BI15" s="13">
        <v>0</v>
      </c>
      <c r="BJ15" s="13">
        <v>0</v>
      </c>
      <c r="BK15" s="13" t="s">
        <v>170</v>
      </c>
      <c r="BL15" s="15" t="s">
        <v>170</v>
      </c>
      <c r="BM15" s="14">
        <v>18</v>
      </c>
      <c r="BN15" s="13">
        <v>18</v>
      </c>
      <c r="BO15" s="13" t="s">
        <v>171</v>
      </c>
      <c r="BP15" s="13" t="s">
        <v>171</v>
      </c>
      <c r="BQ15" s="13" t="s">
        <v>171</v>
      </c>
      <c r="BR15" s="13" t="s">
        <v>171</v>
      </c>
      <c r="BS15" s="13">
        <v>18</v>
      </c>
      <c r="BT15" s="13">
        <v>18</v>
      </c>
      <c r="BU15" s="13" t="s">
        <v>171</v>
      </c>
      <c r="BV15" s="13" t="s">
        <v>171</v>
      </c>
      <c r="BW15" s="13" t="s">
        <v>171</v>
      </c>
      <c r="BX15" s="15" t="s">
        <v>171</v>
      </c>
      <c r="BY15" s="14">
        <v>18</v>
      </c>
      <c r="BZ15" s="13">
        <v>18</v>
      </c>
      <c r="CA15" s="13" t="s">
        <v>171</v>
      </c>
      <c r="CB15" s="13" t="s">
        <v>171</v>
      </c>
      <c r="CC15" s="13" t="s">
        <v>171</v>
      </c>
      <c r="CD15" s="13" t="s">
        <v>171</v>
      </c>
      <c r="CE15" s="13">
        <v>18</v>
      </c>
      <c r="CF15" s="13">
        <v>18</v>
      </c>
      <c r="CG15" s="13" t="s">
        <v>171</v>
      </c>
      <c r="CH15" s="13" t="s">
        <v>171</v>
      </c>
      <c r="CI15" s="13" t="s">
        <v>171</v>
      </c>
      <c r="CJ15" s="15" t="s">
        <v>171</v>
      </c>
      <c r="CK15" s="14">
        <v>18</v>
      </c>
      <c r="CL15" s="13">
        <v>18</v>
      </c>
      <c r="CM15" s="13" t="s">
        <v>171</v>
      </c>
      <c r="CN15" s="13" t="s">
        <v>171</v>
      </c>
      <c r="CO15" s="13" t="s">
        <v>171</v>
      </c>
      <c r="CP15" s="13" t="s">
        <v>171</v>
      </c>
      <c r="CQ15" s="13">
        <v>18</v>
      </c>
      <c r="CR15" s="13">
        <v>18</v>
      </c>
      <c r="CS15" s="13">
        <v>18</v>
      </c>
      <c r="CT15" s="13">
        <v>18</v>
      </c>
      <c r="CU15" s="13">
        <v>18</v>
      </c>
      <c r="CV15" s="15">
        <v>18</v>
      </c>
      <c r="CW15" s="14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5"/>
      <c r="DI15" s="14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5"/>
    </row>
    <row r="16" spans="1:1480" x14ac:dyDescent="0.25">
      <c r="A16" s="13"/>
      <c r="B16" s="13"/>
      <c r="C16" s="13"/>
      <c r="D16" s="16" t="s">
        <v>61</v>
      </c>
      <c r="E16" s="14">
        <v>18</v>
      </c>
      <c r="F16" s="13" t="s">
        <v>166</v>
      </c>
      <c r="G16" s="13" t="s">
        <v>166</v>
      </c>
      <c r="H16" s="13" t="s">
        <v>166</v>
      </c>
      <c r="I16" s="13" t="s">
        <v>166</v>
      </c>
      <c r="J16" s="13" t="s">
        <v>166</v>
      </c>
      <c r="K16" s="13" t="s">
        <v>166</v>
      </c>
      <c r="L16" s="13" t="s">
        <v>166</v>
      </c>
      <c r="M16" s="13">
        <v>18</v>
      </c>
      <c r="N16" s="13">
        <v>18</v>
      </c>
      <c r="O16" s="13" t="s">
        <v>171</v>
      </c>
      <c r="P16" s="15" t="s">
        <v>171</v>
      </c>
      <c r="Q16" s="14" t="s">
        <v>171</v>
      </c>
      <c r="R16" s="13" t="s">
        <v>171</v>
      </c>
      <c r="S16" s="13">
        <v>18</v>
      </c>
      <c r="T16" s="13">
        <v>18</v>
      </c>
      <c r="U16" s="13" t="s">
        <v>173</v>
      </c>
      <c r="V16" s="13" t="s">
        <v>173</v>
      </c>
      <c r="W16" s="13" t="s">
        <v>173</v>
      </c>
      <c r="X16" s="13" t="s">
        <v>173</v>
      </c>
      <c r="Y16" s="13">
        <v>18</v>
      </c>
      <c r="Z16" s="13">
        <v>18</v>
      </c>
      <c r="AA16" s="13" t="s">
        <v>171</v>
      </c>
      <c r="AB16" s="15" t="s">
        <v>171</v>
      </c>
      <c r="AC16" s="14" t="s">
        <v>171</v>
      </c>
      <c r="AD16" s="13" t="s">
        <v>171</v>
      </c>
      <c r="AE16" s="13">
        <v>18</v>
      </c>
      <c r="AF16" s="13">
        <v>18</v>
      </c>
      <c r="AG16" s="13" t="s">
        <v>171</v>
      </c>
      <c r="AH16" s="13" t="s">
        <v>171</v>
      </c>
      <c r="AI16" s="13">
        <v>18</v>
      </c>
      <c r="AJ16" s="13">
        <v>18</v>
      </c>
      <c r="AK16" s="13" t="s">
        <v>171</v>
      </c>
      <c r="AL16" s="13" t="s">
        <v>171</v>
      </c>
      <c r="AM16" s="13" t="s">
        <v>171</v>
      </c>
      <c r="AN16" s="15" t="s">
        <v>171</v>
      </c>
      <c r="AO16" s="14">
        <v>18</v>
      </c>
      <c r="AP16" s="13">
        <v>18</v>
      </c>
      <c r="AQ16" s="13" t="s">
        <v>171</v>
      </c>
      <c r="AR16" s="13" t="s">
        <v>171</v>
      </c>
      <c r="AS16" s="13" t="s">
        <v>171</v>
      </c>
      <c r="AT16" s="13" t="s">
        <v>171</v>
      </c>
      <c r="AU16" s="13">
        <v>18</v>
      </c>
      <c r="AV16" s="13">
        <v>18</v>
      </c>
      <c r="AW16" s="13">
        <v>18</v>
      </c>
      <c r="AX16" s="13">
        <v>18</v>
      </c>
      <c r="AY16" s="13">
        <v>18</v>
      </c>
      <c r="AZ16" s="15">
        <v>18</v>
      </c>
      <c r="BA16" s="14">
        <v>18</v>
      </c>
      <c r="BB16" s="13">
        <v>18</v>
      </c>
      <c r="BC16" s="13">
        <v>18</v>
      </c>
      <c r="BD16" s="13">
        <v>0</v>
      </c>
      <c r="BE16" s="13">
        <v>0</v>
      </c>
      <c r="BF16" s="13">
        <v>0</v>
      </c>
      <c r="BG16" s="13">
        <v>0</v>
      </c>
      <c r="BH16" s="13" t="s">
        <v>170</v>
      </c>
      <c r="BI16" s="13" t="s">
        <v>170</v>
      </c>
      <c r="BJ16" s="13" t="s">
        <v>170</v>
      </c>
      <c r="BK16" s="13" t="s">
        <v>170</v>
      </c>
      <c r="BL16" s="15" t="s">
        <v>170</v>
      </c>
      <c r="BM16" s="14">
        <v>0</v>
      </c>
      <c r="BN16" s="13">
        <v>0</v>
      </c>
      <c r="BO16" s="13">
        <v>0</v>
      </c>
      <c r="BP16" s="13">
        <v>0</v>
      </c>
      <c r="BQ16" s="13" t="s">
        <v>170</v>
      </c>
      <c r="BR16" s="13" t="s">
        <v>170</v>
      </c>
      <c r="BS16" s="13" t="s">
        <v>170</v>
      </c>
      <c r="BT16" s="13" t="s">
        <v>170</v>
      </c>
      <c r="BU16" s="13" t="s">
        <v>170</v>
      </c>
      <c r="BV16" s="13" t="s">
        <v>170</v>
      </c>
      <c r="BW16" s="13">
        <v>18</v>
      </c>
      <c r="BX16" s="15">
        <v>18</v>
      </c>
      <c r="BY16" s="14" t="s">
        <v>171</v>
      </c>
      <c r="BZ16" s="13" t="s">
        <v>171</v>
      </c>
      <c r="CA16" s="13" t="s">
        <v>171</v>
      </c>
      <c r="CB16" s="13" t="s">
        <v>171</v>
      </c>
      <c r="CC16" s="13">
        <v>18</v>
      </c>
      <c r="CD16" s="13">
        <v>18</v>
      </c>
      <c r="CE16" s="13" t="s">
        <v>171</v>
      </c>
      <c r="CF16" s="13" t="s">
        <v>171</v>
      </c>
      <c r="CG16" s="13" t="s">
        <v>171</v>
      </c>
      <c r="CH16" s="13" t="s">
        <v>171</v>
      </c>
      <c r="CI16" s="13">
        <v>18</v>
      </c>
      <c r="CJ16" s="15">
        <v>18</v>
      </c>
      <c r="CK16" s="14" t="s">
        <v>171</v>
      </c>
      <c r="CL16" s="13" t="s">
        <v>171</v>
      </c>
      <c r="CM16" s="13" t="s">
        <v>171</v>
      </c>
      <c r="CN16" s="13" t="s">
        <v>171</v>
      </c>
      <c r="CO16" s="13">
        <v>18</v>
      </c>
      <c r="CP16" s="13">
        <v>18</v>
      </c>
      <c r="CQ16" s="13" t="s">
        <v>171</v>
      </c>
      <c r="CR16" s="13" t="s">
        <v>171</v>
      </c>
      <c r="CS16" s="13" t="s">
        <v>171</v>
      </c>
      <c r="CT16" s="13" t="s">
        <v>171</v>
      </c>
      <c r="CU16" s="13">
        <v>18</v>
      </c>
      <c r="CV16" s="15">
        <v>18</v>
      </c>
      <c r="CW16" s="14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5"/>
      <c r="DI16" s="14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5"/>
    </row>
    <row r="17" spans="1:124" x14ac:dyDescent="0.25">
      <c r="A17" s="13"/>
      <c r="B17" s="13"/>
      <c r="C17" s="13"/>
      <c r="D17" s="16" t="s">
        <v>72</v>
      </c>
      <c r="E17" s="14">
        <v>18</v>
      </c>
      <c r="F17" s="13" t="s">
        <v>149</v>
      </c>
      <c r="G17" s="13" t="s">
        <v>149</v>
      </c>
      <c r="H17" s="13" t="s">
        <v>149</v>
      </c>
      <c r="I17" s="13" t="s">
        <v>149</v>
      </c>
      <c r="J17" s="13" t="s">
        <v>149</v>
      </c>
      <c r="K17" s="13" t="s">
        <v>149</v>
      </c>
      <c r="L17" s="13" t="s">
        <v>149</v>
      </c>
      <c r="M17" s="13">
        <v>18</v>
      </c>
      <c r="N17" s="13">
        <v>18</v>
      </c>
      <c r="O17" s="13" t="s">
        <v>171</v>
      </c>
      <c r="P17" s="15" t="s">
        <v>171</v>
      </c>
      <c r="Q17" s="14" t="s">
        <v>171</v>
      </c>
      <c r="R17" s="13" t="s">
        <v>171</v>
      </c>
      <c r="S17" s="13">
        <v>18</v>
      </c>
      <c r="T17" s="13">
        <v>18</v>
      </c>
      <c r="U17" s="13" t="s">
        <v>171</v>
      </c>
      <c r="V17" s="13" t="s">
        <v>171</v>
      </c>
      <c r="W17" s="13" t="s">
        <v>171</v>
      </c>
      <c r="X17" s="13" t="s">
        <v>171</v>
      </c>
      <c r="Y17" s="13">
        <v>18</v>
      </c>
      <c r="Z17" s="13">
        <v>18</v>
      </c>
      <c r="AA17" s="13" t="s">
        <v>171</v>
      </c>
      <c r="AB17" s="15" t="s">
        <v>171</v>
      </c>
      <c r="AC17" s="14" t="s">
        <v>171</v>
      </c>
      <c r="AD17" s="13" t="s">
        <v>171</v>
      </c>
      <c r="AE17" s="13">
        <v>18</v>
      </c>
      <c r="AF17" s="13">
        <v>18</v>
      </c>
      <c r="AG17" s="13" t="s">
        <v>171</v>
      </c>
      <c r="AH17" s="13" t="s">
        <v>171</v>
      </c>
      <c r="AI17" s="13">
        <v>18</v>
      </c>
      <c r="AJ17" s="13">
        <v>18</v>
      </c>
      <c r="AK17" s="13" t="s">
        <v>173</v>
      </c>
      <c r="AL17" s="13" t="s">
        <v>173</v>
      </c>
      <c r="AM17" s="13" t="s">
        <v>173</v>
      </c>
      <c r="AN17" s="15" t="s">
        <v>173</v>
      </c>
      <c r="AO17" s="14">
        <v>18</v>
      </c>
      <c r="AP17" s="13">
        <v>18</v>
      </c>
      <c r="AQ17" s="13" t="s">
        <v>171</v>
      </c>
      <c r="AR17" s="13" t="s">
        <v>171</v>
      </c>
      <c r="AS17" s="13" t="s">
        <v>171</v>
      </c>
      <c r="AT17" s="13" t="s">
        <v>171</v>
      </c>
      <c r="AU17" s="13">
        <v>18</v>
      </c>
      <c r="AV17" s="13">
        <v>18</v>
      </c>
      <c r="AW17" s="13">
        <v>18</v>
      </c>
      <c r="AX17" s="13">
        <v>18</v>
      </c>
      <c r="AY17" s="13">
        <v>18</v>
      </c>
      <c r="AZ17" s="15">
        <v>18</v>
      </c>
      <c r="BA17" s="14">
        <v>18</v>
      </c>
      <c r="BB17" s="13">
        <v>18</v>
      </c>
      <c r="BC17" s="13">
        <v>18</v>
      </c>
      <c r="BD17" s="13">
        <v>0</v>
      </c>
      <c r="BE17" s="13">
        <v>0</v>
      </c>
      <c r="BF17" s="13" t="s">
        <v>168</v>
      </c>
      <c r="BG17" s="13" t="s">
        <v>168</v>
      </c>
      <c r="BH17" s="13" t="s">
        <v>168</v>
      </c>
      <c r="BI17" s="13" t="s">
        <v>168</v>
      </c>
      <c r="BJ17" s="13" t="s">
        <v>168</v>
      </c>
      <c r="BK17" s="13" t="s">
        <v>168</v>
      </c>
      <c r="BL17" s="15">
        <v>18</v>
      </c>
      <c r="BM17" s="14">
        <v>18</v>
      </c>
      <c r="BN17" s="13">
        <v>18</v>
      </c>
      <c r="BO17" s="13" t="s">
        <v>171</v>
      </c>
      <c r="BP17" s="13" t="s">
        <v>171</v>
      </c>
      <c r="BQ17" s="13" t="s">
        <v>171</v>
      </c>
      <c r="BR17" s="13" t="s">
        <v>171</v>
      </c>
      <c r="BS17" s="13">
        <v>18</v>
      </c>
      <c r="BT17" s="13">
        <v>18</v>
      </c>
      <c r="BU17" s="13" t="s">
        <v>171</v>
      </c>
      <c r="BV17" s="13" t="s">
        <v>171</v>
      </c>
      <c r="BW17" s="13" t="s">
        <v>171</v>
      </c>
      <c r="BX17" s="15" t="s">
        <v>171</v>
      </c>
      <c r="BY17" s="14">
        <v>18</v>
      </c>
      <c r="BZ17" s="13">
        <v>18</v>
      </c>
      <c r="CA17" s="13" t="s">
        <v>171</v>
      </c>
      <c r="CB17" s="13" t="s">
        <v>171</v>
      </c>
      <c r="CC17" s="13" t="s">
        <v>171</v>
      </c>
      <c r="CD17" s="13" t="s">
        <v>171</v>
      </c>
      <c r="CE17" s="13">
        <v>18</v>
      </c>
      <c r="CF17" s="13">
        <v>18</v>
      </c>
      <c r="CG17" s="13" t="s">
        <v>171</v>
      </c>
      <c r="CH17" s="13" t="s">
        <v>171</v>
      </c>
      <c r="CI17" s="13" t="s">
        <v>171</v>
      </c>
      <c r="CJ17" s="15" t="s">
        <v>171</v>
      </c>
      <c r="CK17" s="14">
        <v>18</v>
      </c>
      <c r="CL17" s="13">
        <v>18</v>
      </c>
      <c r="CM17" s="13" t="s">
        <v>171</v>
      </c>
      <c r="CN17" s="13" t="s">
        <v>171</v>
      </c>
      <c r="CO17" s="13" t="s">
        <v>171</v>
      </c>
      <c r="CP17" s="13" t="s">
        <v>171</v>
      </c>
      <c r="CQ17" s="13">
        <v>18</v>
      </c>
      <c r="CR17" s="13">
        <v>18</v>
      </c>
      <c r="CS17" s="13">
        <v>18</v>
      </c>
      <c r="CT17" s="13">
        <v>18</v>
      </c>
      <c r="CU17" s="13">
        <v>18</v>
      </c>
      <c r="CV17" s="15">
        <v>18</v>
      </c>
      <c r="CW17" s="14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5"/>
      <c r="DI17" s="14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5"/>
    </row>
    <row r="18" spans="1:124" x14ac:dyDescent="0.25">
      <c r="A18" s="13"/>
      <c r="B18" s="13"/>
      <c r="C18" s="13"/>
      <c r="D18" s="16" t="s">
        <v>24</v>
      </c>
      <c r="E18" s="14">
        <v>18</v>
      </c>
      <c r="F18" s="13">
        <v>18</v>
      </c>
      <c r="G18" s="13" t="s">
        <v>167</v>
      </c>
      <c r="H18" s="13" t="s">
        <v>167</v>
      </c>
      <c r="I18" s="13" t="s">
        <v>167</v>
      </c>
      <c r="J18" s="13" t="s">
        <v>167</v>
      </c>
      <c r="K18" s="13" t="s">
        <v>167</v>
      </c>
      <c r="L18" s="13" t="s">
        <v>167</v>
      </c>
      <c r="M18" s="13" t="s">
        <v>167</v>
      </c>
      <c r="N18" s="13" t="s">
        <v>167</v>
      </c>
      <c r="O18" s="13" t="s">
        <v>167</v>
      </c>
      <c r="P18" s="15" t="s">
        <v>167</v>
      </c>
      <c r="Q18" s="14" t="s">
        <v>167</v>
      </c>
      <c r="R18" s="13" t="s">
        <v>167</v>
      </c>
      <c r="S18" s="13">
        <v>18</v>
      </c>
      <c r="T18" s="13">
        <v>18</v>
      </c>
      <c r="U18" s="13" t="s">
        <v>171</v>
      </c>
      <c r="V18" s="13" t="s">
        <v>171</v>
      </c>
      <c r="W18" s="13" t="s">
        <v>171</v>
      </c>
      <c r="X18" s="13" t="s">
        <v>171</v>
      </c>
      <c r="Y18" s="13">
        <v>18</v>
      </c>
      <c r="Z18" s="13">
        <v>18</v>
      </c>
      <c r="AA18" s="13" t="s">
        <v>171</v>
      </c>
      <c r="AB18" s="15" t="s">
        <v>171</v>
      </c>
      <c r="AC18" s="14" t="s">
        <v>171</v>
      </c>
      <c r="AD18" s="13" t="s">
        <v>171</v>
      </c>
      <c r="AE18" s="13">
        <v>18</v>
      </c>
      <c r="AF18" s="13">
        <v>18</v>
      </c>
      <c r="AG18" s="13" t="s">
        <v>171</v>
      </c>
      <c r="AH18" s="13" t="s">
        <v>171</v>
      </c>
      <c r="AI18" s="13">
        <v>18</v>
      </c>
      <c r="AJ18" s="13">
        <v>18</v>
      </c>
      <c r="AK18" s="13" t="s">
        <v>171</v>
      </c>
      <c r="AL18" s="13" t="s">
        <v>171</v>
      </c>
      <c r="AM18" s="13" t="s">
        <v>171</v>
      </c>
      <c r="AN18" s="15" t="s">
        <v>171</v>
      </c>
      <c r="AO18" s="14">
        <v>18</v>
      </c>
      <c r="AP18" s="13">
        <v>18</v>
      </c>
      <c r="AQ18" s="13" t="s">
        <v>171</v>
      </c>
      <c r="AR18" s="13" t="s">
        <v>171</v>
      </c>
      <c r="AS18" s="13" t="s">
        <v>171</v>
      </c>
      <c r="AT18" s="13" t="s">
        <v>171</v>
      </c>
      <c r="AU18" s="13">
        <v>18</v>
      </c>
      <c r="AV18" s="13">
        <v>18</v>
      </c>
      <c r="AW18" s="13" t="s">
        <v>171</v>
      </c>
      <c r="AX18" s="13" t="s">
        <v>171</v>
      </c>
      <c r="AY18" s="13" t="s">
        <v>171</v>
      </c>
      <c r="AZ18" s="15" t="s">
        <v>171</v>
      </c>
      <c r="BA18" s="14">
        <v>18</v>
      </c>
      <c r="BB18" s="13">
        <v>18</v>
      </c>
      <c r="BC18" s="13" t="s">
        <v>171</v>
      </c>
      <c r="BD18" s="13" t="s">
        <v>171</v>
      </c>
      <c r="BE18" s="13" t="s">
        <v>171</v>
      </c>
      <c r="BF18" s="13" t="s">
        <v>171</v>
      </c>
      <c r="BG18" s="13">
        <v>18</v>
      </c>
      <c r="BH18" s="13">
        <v>18</v>
      </c>
      <c r="BI18" s="13" t="s">
        <v>171</v>
      </c>
      <c r="BJ18" s="13" t="s">
        <v>171</v>
      </c>
      <c r="BK18" s="13" t="s">
        <v>171</v>
      </c>
      <c r="BL18" s="15" t="s">
        <v>171</v>
      </c>
      <c r="BM18" s="14" t="s">
        <v>170</v>
      </c>
      <c r="BN18" s="13">
        <v>18</v>
      </c>
      <c r="BO18" s="13">
        <v>18</v>
      </c>
      <c r="BP18" s="13" t="s">
        <v>171</v>
      </c>
      <c r="BQ18" s="13" t="s">
        <v>171</v>
      </c>
      <c r="BR18" s="13" t="s">
        <v>171</v>
      </c>
      <c r="BS18" s="13" t="s">
        <v>171</v>
      </c>
      <c r="BT18" s="13">
        <v>18</v>
      </c>
      <c r="BU18" s="13">
        <v>18</v>
      </c>
      <c r="BV18" s="13" t="s">
        <v>171</v>
      </c>
      <c r="BW18" s="13" t="s">
        <v>171</v>
      </c>
      <c r="BX18" s="15" t="s">
        <v>171</v>
      </c>
      <c r="BY18" s="14" t="s">
        <v>171</v>
      </c>
      <c r="BZ18" s="13">
        <v>18</v>
      </c>
      <c r="CA18" s="13">
        <v>18</v>
      </c>
      <c r="CB18" s="13" t="s">
        <v>171</v>
      </c>
      <c r="CC18" s="13" t="s">
        <v>171</v>
      </c>
      <c r="CD18" s="13" t="s">
        <v>171</v>
      </c>
      <c r="CE18" s="13" t="s">
        <v>171</v>
      </c>
      <c r="CF18" s="13">
        <v>18</v>
      </c>
      <c r="CG18" s="13">
        <v>18</v>
      </c>
      <c r="CH18" s="13" t="s">
        <v>171</v>
      </c>
      <c r="CI18" s="13" t="s">
        <v>171</v>
      </c>
      <c r="CJ18" s="15" t="s">
        <v>171</v>
      </c>
      <c r="CK18" s="14" t="s">
        <v>171</v>
      </c>
      <c r="CL18" s="13">
        <v>18</v>
      </c>
      <c r="CM18" s="13">
        <v>18</v>
      </c>
      <c r="CN18" s="13" t="s">
        <v>171</v>
      </c>
      <c r="CO18" s="13" t="s">
        <v>171</v>
      </c>
      <c r="CP18" s="13" t="s">
        <v>171</v>
      </c>
      <c r="CQ18" s="13" t="s">
        <v>171</v>
      </c>
      <c r="CR18" s="13">
        <v>18</v>
      </c>
      <c r="CS18" s="13">
        <v>18</v>
      </c>
      <c r="CT18" s="13">
        <v>18</v>
      </c>
      <c r="CU18" s="13">
        <v>18</v>
      </c>
      <c r="CV18" s="15">
        <v>18</v>
      </c>
      <c r="CW18" s="14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5"/>
      <c r="DI18" s="14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5"/>
    </row>
    <row r="19" spans="1:124" x14ac:dyDescent="0.25">
      <c r="A19" s="13"/>
      <c r="B19" s="13"/>
      <c r="C19" s="13"/>
      <c r="D19" s="16" t="s">
        <v>54</v>
      </c>
      <c r="E19" s="14">
        <v>18</v>
      </c>
      <c r="F19" s="13">
        <v>18</v>
      </c>
      <c r="G19" s="13" t="s">
        <v>166</v>
      </c>
      <c r="H19" s="13" t="s">
        <v>166</v>
      </c>
      <c r="I19" s="13" t="s">
        <v>166</v>
      </c>
      <c r="J19" s="13" t="s">
        <v>166</v>
      </c>
      <c r="K19" s="13" t="s">
        <v>166</v>
      </c>
      <c r="L19" s="13" t="s">
        <v>166</v>
      </c>
      <c r="M19" s="13" t="s">
        <v>166</v>
      </c>
      <c r="N19" s="13" t="s">
        <v>166</v>
      </c>
      <c r="O19" s="13" t="s">
        <v>166</v>
      </c>
      <c r="P19" s="15" t="s">
        <v>166</v>
      </c>
      <c r="Q19" s="14" t="s">
        <v>166</v>
      </c>
      <c r="R19" s="13" t="s">
        <v>166</v>
      </c>
      <c r="S19" s="13">
        <v>18</v>
      </c>
      <c r="T19" s="13">
        <v>18</v>
      </c>
      <c r="U19" s="13" t="s">
        <v>173</v>
      </c>
      <c r="V19" s="13" t="s">
        <v>173</v>
      </c>
      <c r="W19" s="13" t="s">
        <v>173</v>
      </c>
      <c r="X19" s="13" t="s">
        <v>173</v>
      </c>
      <c r="Y19" s="13">
        <v>18</v>
      </c>
      <c r="Z19" s="13">
        <v>18</v>
      </c>
      <c r="AA19" s="13" t="s">
        <v>171</v>
      </c>
      <c r="AB19" s="15" t="s">
        <v>171</v>
      </c>
      <c r="AC19" s="14" t="s">
        <v>171</v>
      </c>
      <c r="AD19" s="13" t="s">
        <v>171</v>
      </c>
      <c r="AE19" s="13">
        <v>18</v>
      </c>
      <c r="AF19" s="13">
        <v>18</v>
      </c>
      <c r="AG19" s="13" t="s">
        <v>171</v>
      </c>
      <c r="AH19" s="13" t="s">
        <v>171</v>
      </c>
      <c r="AI19" s="13" t="s">
        <v>171</v>
      </c>
      <c r="AJ19" s="13" t="s">
        <v>171</v>
      </c>
      <c r="AK19" s="13">
        <v>18</v>
      </c>
      <c r="AL19" s="13">
        <v>18</v>
      </c>
      <c r="AM19" s="13" t="s">
        <v>171</v>
      </c>
      <c r="AN19" s="15" t="s">
        <v>171</v>
      </c>
      <c r="AO19" s="14" t="s">
        <v>171</v>
      </c>
      <c r="AP19" s="13" t="s">
        <v>171</v>
      </c>
      <c r="AQ19" s="13">
        <v>18</v>
      </c>
      <c r="AR19" s="13">
        <v>18</v>
      </c>
      <c r="AS19" s="13" t="s">
        <v>171</v>
      </c>
      <c r="AT19" s="13" t="s">
        <v>171</v>
      </c>
      <c r="AU19" s="13" t="s">
        <v>171</v>
      </c>
      <c r="AV19" s="13" t="s">
        <v>171</v>
      </c>
      <c r="AW19" s="13">
        <v>18</v>
      </c>
      <c r="AX19" s="13">
        <v>18</v>
      </c>
      <c r="AY19" s="13" t="s">
        <v>171</v>
      </c>
      <c r="AZ19" s="15" t="s">
        <v>171</v>
      </c>
      <c r="BA19" s="14" t="s">
        <v>171</v>
      </c>
      <c r="BB19" s="13" t="s">
        <v>171</v>
      </c>
      <c r="BC19" s="13">
        <v>18</v>
      </c>
      <c r="BD19" s="13">
        <v>18</v>
      </c>
      <c r="BE19" s="13">
        <v>18</v>
      </c>
      <c r="BF19" s="13">
        <v>18</v>
      </c>
      <c r="BG19" s="13">
        <v>18</v>
      </c>
      <c r="BH19" s="13">
        <v>18</v>
      </c>
      <c r="BI19" s="13">
        <v>0</v>
      </c>
      <c r="BJ19" s="13">
        <v>0</v>
      </c>
      <c r="BK19" s="13">
        <v>0</v>
      </c>
      <c r="BL19" s="15">
        <v>0</v>
      </c>
      <c r="BM19" s="14" t="s">
        <v>171</v>
      </c>
      <c r="BN19" s="13">
        <v>18</v>
      </c>
      <c r="BO19" s="13">
        <v>18</v>
      </c>
      <c r="BP19" s="13">
        <v>18</v>
      </c>
      <c r="BQ19" s="13">
        <v>18</v>
      </c>
      <c r="BR19" s="13">
        <v>18</v>
      </c>
      <c r="BS19" s="13">
        <v>18</v>
      </c>
      <c r="BT19" s="13">
        <v>18</v>
      </c>
      <c r="BU19" s="13">
        <v>18</v>
      </c>
      <c r="BV19" s="13">
        <v>18</v>
      </c>
      <c r="BW19" s="13">
        <v>18</v>
      </c>
      <c r="BX19" s="15">
        <v>18</v>
      </c>
      <c r="BY19" s="14">
        <v>0</v>
      </c>
      <c r="BZ19" s="13">
        <v>0</v>
      </c>
      <c r="CA19" s="13">
        <v>0</v>
      </c>
      <c r="CB19" s="13">
        <v>0</v>
      </c>
      <c r="CC19" s="13">
        <v>0</v>
      </c>
      <c r="CD19" s="13">
        <v>0</v>
      </c>
      <c r="CE19" s="13">
        <v>0</v>
      </c>
      <c r="CF19" s="13">
        <v>0</v>
      </c>
      <c r="CG19" s="13">
        <v>0</v>
      </c>
      <c r="CH19" s="13">
        <v>0</v>
      </c>
      <c r="CI19" s="13">
        <v>0</v>
      </c>
      <c r="CJ19" s="15">
        <v>0</v>
      </c>
      <c r="CK19" s="14">
        <v>0</v>
      </c>
      <c r="CL19" s="13">
        <v>0</v>
      </c>
      <c r="CM19" s="13">
        <v>0</v>
      </c>
      <c r="CN19" s="13">
        <v>0</v>
      </c>
      <c r="CO19" s="13">
        <v>0</v>
      </c>
      <c r="CP19" s="13" t="s">
        <v>170</v>
      </c>
      <c r="CQ19" s="13" t="s">
        <v>170</v>
      </c>
      <c r="CR19" s="13" t="s">
        <v>170</v>
      </c>
      <c r="CS19" s="13" t="s">
        <v>170</v>
      </c>
      <c r="CT19" s="13" t="s">
        <v>170</v>
      </c>
      <c r="CU19" s="13" t="s">
        <v>170</v>
      </c>
      <c r="CV19" s="15">
        <v>18</v>
      </c>
      <c r="CW19" s="14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5"/>
      <c r="DI19" s="14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5"/>
    </row>
    <row r="20" spans="1:124" x14ac:dyDescent="0.25">
      <c r="A20" s="13"/>
      <c r="B20" s="13"/>
      <c r="C20" s="13"/>
      <c r="D20" s="16" t="s">
        <v>66</v>
      </c>
      <c r="E20" s="14">
        <v>18</v>
      </c>
      <c r="F20" s="13">
        <v>18</v>
      </c>
      <c r="G20" s="13" t="s">
        <v>166</v>
      </c>
      <c r="H20" s="13" t="s">
        <v>166</v>
      </c>
      <c r="I20" s="13" t="s">
        <v>166</v>
      </c>
      <c r="J20" s="13" t="s">
        <v>166</v>
      </c>
      <c r="K20" s="13" t="s">
        <v>166</v>
      </c>
      <c r="L20" s="13" t="s">
        <v>166</v>
      </c>
      <c r="M20" s="13" t="s">
        <v>166</v>
      </c>
      <c r="N20" s="13">
        <v>18</v>
      </c>
      <c r="O20" s="13">
        <v>18</v>
      </c>
      <c r="P20" s="15" t="s">
        <v>172</v>
      </c>
      <c r="Q20" s="14" t="s">
        <v>172</v>
      </c>
      <c r="R20" s="13" t="s">
        <v>172</v>
      </c>
      <c r="S20" s="13" t="s">
        <v>172</v>
      </c>
      <c r="T20" s="13">
        <v>18</v>
      </c>
      <c r="U20" s="13">
        <v>18</v>
      </c>
      <c r="V20" s="13" t="s">
        <v>173</v>
      </c>
      <c r="W20" s="13" t="s">
        <v>173</v>
      </c>
      <c r="X20" s="13" t="s">
        <v>173</v>
      </c>
      <c r="Y20" s="13" t="s">
        <v>173</v>
      </c>
      <c r="Z20" s="13">
        <v>18</v>
      </c>
      <c r="AA20" s="13">
        <v>18</v>
      </c>
      <c r="AB20" s="15" t="s">
        <v>171</v>
      </c>
      <c r="AC20" s="14" t="s">
        <v>171</v>
      </c>
      <c r="AD20" s="13" t="s">
        <v>171</v>
      </c>
      <c r="AE20" s="13" t="s">
        <v>171</v>
      </c>
      <c r="AF20" s="13">
        <v>18</v>
      </c>
      <c r="AG20" s="13">
        <v>18</v>
      </c>
      <c r="AH20" s="13" t="s">
        <v>171</v>
      </c>
      <c r="AI20" s="13">
        <v>18</v>
      </c>
      <c r="AJ20" s="13">
        <v>18</v>
      </c>
      <c r="AK20" s="13" t="s">
        <v>172</v>
      </c>
      <c r="AL20" s="13" t="s">
        <v>172</v>
      </c>
      <c r="AM20" s="13" t="s">
        <v>172</v>
      </c>
      <c r="AN20" s="15" t="s">
        <v>172</v>
      </c>
      <c r="AO20" s="14">
        <v>18</v>
      </c>
      <c r="AP20" s="13">
        <v>18</v>
      </c>
      <c r="AQ20" s="13">
        <v>18</v>
      </c>
      <c r="AR20" s="13">
        <v>18</v>
      </c>
      <c r="AS20" s="13">
        <v>18</v>
      </c>
      <c r="AT20" s="13">
        <v>0</v>
      </c>
      <c r="AU20" s="13">
        <v>0</v>
      </c>
      <c r="AV20" s="13">
        <v>0</v>
      </c>
      <c r="AW20" s="13">
        <v>0</v>
      </c>
      <c r="AX20" s="13">
        <v>0</v>
      </c>
      <c r="AY20" s="13">
        <v>0</v>
      </c>
      <c r="AZ20" s="15">
        <v>0</v>
      </c>
      <c r="BA20" s="14">
        <v>0</v>
      </c>
      <c r="BB20" s="13">
        <v>0</v>
      </c>
      <c r="BC20" s="13">
        <v>0</v>
      </c>
      <c r="BD20" s="13">
        <v>0</v>
      </c>
      <c r="BE20" s="13">
        <v>0</v>
      </c>
      <c r="BF20" s="13">
        <v>0</v>
      </c>
      <c r="BG20" s="13">
        <v>0</v>
      </c>
      <c r="BH20" s="13" t="s">
        <v>170</v>
      </c>
      <c r="BI20" s="13" t="s">
        <v>170</v>
      </c>
      <c r="BJ20" s="13" t="s">
        <v>170</v>
      </c>
      <c r="BK20" s="13" t="s">
        <v>170</v>
      </c>
      <c r="BL20" s="15" t="s">
        <v>170</v>
      </c>
      <c r="BM20" s="14" t="s">
        <v>170</v>
      </c>
      <c r="BN20" s="13">
        <v>18</v>
      </c>
      <c r="BO20" s="13">
        <v>18</v>
      </c>
      <c r="BP20" s="13" t="s">
        <v>171</v>
      </c>
      <c r="BQ20" s="13" t="s">
        <v>171</v>
      </c>
      <c r="BR20" s="13" t="s">
        <v>171</v>
      </c>
      <c r="BS20" s="13" t="s">
        <v>171</v>
      </c>
      <c r="BT20" s="13">
        <v>18</v>
      </c>
      <c r="BU20" s="13">
        <v>18</v>
      </c>
      <c r="BV20" s="13" t="s">
        <v>171</v>
      </c>
      <c r="BW20" s="13" t="s">
        <v>171</v>
      </c>
      <c r="BX20" s="15" t="s">
        <v>171</v>
      </c>
      <c r="BY20" s="14" t="s">
        <v>171</v>
      </c>
      <c r="BZ20" s="13">
        <v>18</v>
      </c>
      <c r="CA20" s="13">
        <v>18</v>
      </c>
      <c r="CB20" s="13" t="s">
        <v>171</v>
      </c>
      <c r="CC20" s="13" t="s">
        <v>171</v>
      </c>
      <c r="CD20" s="13" t="s">
        <v>171</v>
      </c>
      <c r="CE20" s="13" t="s">
        <v>171</v>
      </c>
      <c r="CF20" s="13">
        <v>18</v>
      </c>
      <c r="CG20" s="13">
        <v>18</v>
      </c>
      <c r="CH20" s="13" t="s">
        <v>171</v>
      </c>
      <c r="CI20" s="13" t="s">
        <v>171</v>
      </c>
      <c r="CJ20" s="15" t="s">
        <v>171</v>
      </c>
      <c r="CK20" s="14" t="s">
        <v>171</v>
      </c>
      <c r="CL20" s="13">
        <v>18</v>
      </c>
      <c r="CM20" s="13">
        <v>18</v>
      </c>
      <c r="CN20" s="13" t="s">
        <v>171</v>
      </c>
      <c r="CO20" s="13" t="s">
        <v>171</v>
      </c>
      <c r="CP20" s="13" t="s">
        <v>171</v>
      </c>
      <c r="CQ20" s="13" t="s">
        <v>171</v>
      </c>
      <c r="CR20" s="13">
        <v>18</v>
      </c>
      <c r="CS20" s="13">
        <v>18</v>
      </c>
      <c r="CT20" s="13">
        <v>18</v>
      </c>
      <c r="CU20" s="13">
        <v>18</v>
      </c>
      <c r="CV20" s="15">
        <v>18</v>
      </c>
      <c r="CW20" s="14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5"/>
      <c r="DI20" s="14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5"/>
    </row>
    <row r="21" spans="1:124" x14ac:dyDescent="0.25">
      <c r="A21" s="13"/>
      <c r="B21" s="13"/>
      <c r="C21" s="13"/>
      <c r="D21" s="16" t="s">
        <v>69</v>
      </c>
      <c r="E21" s="14">
        <v>18</v>
      </c>
      <c r="F21" s="13">
        <v>18</v>
      </c>
      <c r="G21" s="13" t="s">
        <v>166</v>
      </c>
      <c r="H21" s="13" t="s">
        <v>166</v>
      </c>
      <c r="I21" s="13" t="s">
        <v>166</v>
      </c>
      <c r="J21" s="13" t="s">
        <v>166</v>
      </c>
      <c r="K21" s="13" t="s">
        <v>166</v>
      </c>
      <c r="L21" s="13" t="s">
        <v>166</v>
      </c>
      <c r="M21" s="13" t="s">
        <v>166</v>
      </c>
      <c r="N21" s="13">
        <v>18</v>
      </c>
      <c r="O21" s="13">
        <v>18</v>
      </c>
      <c r="P21" s="15" t="s">
        <v>173</v>
      </c>
      <c r="Q21" s="14" t="s">
        <v>173</v>
      </c>
      <c r="R21" s="13" t="s">
        <v>173</v>
      </c>
      <c r="S21" s="13" t="s">
        <v>173</v>
      </c>
      <c r="T21" s="13">
        <v>18</v>
      </c>
      <c r="U21" s="13">
        <v>18</v>
      </c>
      <c r="V21" s="13" t="s">
        <v>173</v>
      </c>
      <c r="W21" s="13" t="s">
        <v>173</v>
      </c>
      <c r="X21" s="13" t="s">
        <v>173</v>
      </c>
      <c r="Y21" s="13" t="s">
        <v>173</v>
      </c>
      <c r="Z21" s="13">
        <v>18</v>
      </c>
      <c r="AA21" s="13">
        <v>18</v>
      </c>
      <c r="AB21" s="15" t="s">
        <v>171</v>
      </c>
      <c r="AC21" s="14" t="s">
        <v>171</v>
      </c>
      <c r="AD21" s="13" t="s">
        <v>171</v>
      </c>
      <c r="AE21" s="13" t="s">
        <v>171</v>
      </c>
      <c r="AF21" s="13">
        <v>18</v>
      </c>
      <c r="AG21" s="13">
        <v>18</v>
      </c>
      <c r="AH21" s="13">
        <v>18</v>
      </c>
      <c r="AI21" s="13">
        <v>18</v>
      </c>
      <c r="AJ21" s="13">
        <v>18</v>
      </c>
      <c r="AK21" s="13">
        <v>18</v>
      </c>
      <c r="AL21" s="13">
        <v>18</v>
      </c>
      <c r="AM21" s="13">
        <v>18</v>
      </c>
      <c r="AN21" s="15">
        <v>18</v>
      </c>
      <c r="AO21" s="14">
        <v>18</v>
      </c>
      <c r="AP21" s="13">
        <v>18</v>
      </c>
      <c r="AQ21" s="13">
        <v>0</v>
      </c>
      <c r="AR21" s="13">
        <v>0</v>
      </c>
      <c r="AS21" s="13">
        <v>0</v>
      </c>
      <c r="AT21" s="13">
        <v>0</v>
      </c>
      <c r="AU21" s="13">
        <v>0</v>
      </c>
      <c r="AV21" s="13">
        <v>0</v>
      </c>
      <c r="AW21" s="13">
        <v>0</v>
      </c>
      <c r="AX21" s="13">
        <v>0</v>
      </c>
      <c r="AY21" s="13">
        <v>0</v>
      </c>
      <c r="AZ21" s="15">
        <v>0</v>
      </c>
      <c r="BA21" s="14">
        <v>0</v>
      </c>
      <c r="BB21" s="13">
        <v>0</v>
      </c>
      <c r="BC21" s="13">
        <v>0</v>
      </c>
      <c r="BD21" s="13">
        <v>0</v>
      </c>
      <c r="BE21" s="13">
        <v>0</v>
      </c>
      <c r="BF21" s="13">
        <v>0</v>
      </c>
      <c r="BG21" s="13">
        <v>0</v>
      </c>
      <c r="BH21" s="13">
        <v>0</v>
      </c>
      <c r="BI21" s="13" t="s">
        <v>170</v>
      </c>
      <c r="BJ21" s="13" t="s">
        <v>170</v>
      </c>
      <c r="BK21" s="13" t="s">
        <v>170</v>
      </c>
      <c r="BL21" s="15" t="s">
        <v>170</v>
      </c>
      <c r="BM21" s="14">
        <v>18</v>
      </c>
      <c r="BN21" s="13" t="s">
        <v>166</v>
      </c>
      <c r="BO21" s="13" t="s">
        <v>166</v>
      </c>
      <c r="BP21" s="13" t="s">
        <v>166</v>
      </c>
      <c r="BQ21" s="13" t="s">
        <v>166</v>
      </c>
      <c r="BR21" s="13" t="s">
        <v>166</v>
      </c>
      <c r="BS21" s="13" t="s">
        <v>166</v>
      </c>
      <c r="BT21" s="13">
        <v>18</v>
      </c>
      <c r="BU21" s="13">
        <v>18</v>
      </c>
      <c r="BV21" s="13" t="s">
        <v>171</v>
      </c>
      <c r="BW21" s="13" t="s">
        <v>171</v>
      </c>
      <c r="BX21" s="15" t="s">
        <v>171</v>
      </c>
      <c r="BY21" s="14" t="s">
        <v>171</v>
      </c>
      <c r="BZ21" s="13">
        <v>18</v>
      </c>
      <c r="CA21" s="13">
        <v>18</v>
      </c>
      <c r="CB21" s="13" t="s">
        <v>171</v>
      </c>
      <c r="CC21" s="13" t="s">
        <v>171</v>
      </c>
      <c r="CD21" s="13" t="s">
        <v>171</v>
      </c>
      <c r="CE21" s="13" t="s">
        <v>171</v>
      </c>
      <c r="CF21" s="13">
        <v>18</v>
      </c>
      <c r="CG21" s="13">
        <v>18</v>
      </c>
      <c r="CH21" s="13" t="s">
        <v>171</v>
      </c>
      <c r="CI21" s="13" t="s">
        <v>171</v>
      </c>
      <c r="CJ21" s="15" t="s">
        <v>171</v>
      </c>
      <c r="CK21" s="14" t="s">
        <v>171</v>
      </c>
      <c r="CL21" s="13">
        <v>18</v>
      </c>
      <c r="CM21" s="13">
        <v>18</v>
      </c>
      <c r="CN21" s="13" t="s">
        <v>171</v>
      </c>
      <c r="CO21" s="13" t="s">
        <v>171</v>
      </c>
      <c r="CP21" s="13" t="s">
        <v>171</v>
      </c>
      <c r="CQ21" s="13" t="s">
        <v>171</v>
      </c>
      <c r="CR21" s="13">
        <v>18</v>
      </c>
      <c r="CS21" s="13">
        <v>18</v>
      </c>
      <c r="CT21" s="13">
        <v>18</v>
      </c>
      <c r="CU21" s="13">
        <v>18</v>
      </c>
      <c r="CV21" s="15">
        <v>18</v>
      </c>
      <c r="CW21" s="14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5"/>
      <c r="DI21" s="14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5"/>
    </row>
    <row r="22" spans="1:124" x14ac:dyDescent="0.25">
      <c r="A22" s="13"/>
      <c r="B22" s="13"/>
      <c r="C22" s="13"/>
      <c r="D22" s="16" t="s">
        <v>6</v>
      </c>
      <c r="E22" s="14" t="s">
        <v>171</v>
      </c>
      <c r="F22" s="13" t="s">
        <v>171</v>
      </c>
      <c r="G22" s="13" t="s">
        <v>171</v>
      </c>
      <c r="H22" s="13" t="s">
        <v>171</v>
      </c>
      <c r="I22" s="13" t="s">
        <v>149</v>
      </c>
      <c r="J22" s="13" t="s">
        <v>149</v>
      </c>
      <c r="K22" s="13" t="s">
        <v>149</v>
      </c>
      <c r="L22" s="13" t="s">
        <v>149</v>
      </c>
      <c r="M22" s="13" t="s">
        <v>149</v>
      </c>
      <c r="N22" s="13" t="s">
        <v>149</v>
      </c>
      <c r="O22" s="13">
        <v>18</v>
      </c>
      <c r="P22" s="15">
        <v>18</v>
      </c>
      <c r="Q22" s="14" t="s">
        <v>171</v>
      </c>
      <c r="R22" s="13" t="s">
        <v>171</v>
      </c>
      <c r="S22" s="13" t="s">
        <v>171</v>
      </c>
      <c r="T22" s="13" t="s">
        <v>171</v>
      </c>
      <c r="U22" s="13">
        <v>18</v>
      </c>
      <c r="V22" s="13">
        <v>18</v>
      </c>
      <c r="W22" s="13" t="s">
        <v>171</v>
      </c>
      <c r="X22" s="13" t="s">
        <v>171</v>
      </c>
      <c r="Y22" s="13" t="s">
        <v>171</v>
      </c>
      <c r="Z22" s="13" t="s">
        <v>171</v>
      </c>
      <c r="AA22" s="13">
        <v>18</v>
      </c>
      <c r="AB22" s="15">
        <v>18</v>
      </c>
      <c r="AC22" s="14" t="s">
        <v>171</v>
      </c>
      <c r="AD22" s="13" t="s">
        <v>171</v>
      </c>
      <c r="AE22" s="13" t="s">
        <v>171</v>
      </c>
      <c r="AF22" s="13" t="s">
        <v>171</v>
      </c>
      <c r="AG22" s="13">
        <v>18</v>
      </c>
      <c r="AH22" s="13">
        <v>18</v>
      </c>
      <c r="AI22" s="13" t="s">
        <v>171</v>
      </c>
      <c r="AJ22" s="13" t="s">
        <v>171</v>
      </c>
      <c r="AK22" s="13" t="s">
        <v>171</v>
      </c>
      <c r="AL22" s="13" t="s">
        <v>171</v>
      </c>
      <c r="AM22" s="13">
        <v>18</v>
      </c>
      <c r="AN22" s="15">
        <v>18</v>
      </c>
      <c r="AO22" s="14" t="s">
        <v>171</v>
      </c>
      <c r="AP22" s="13" t="s">
        <v>171</v>
      </c>
      <c r="AQ22" s="13" t="s">
        <v>171</v>
      </c>
      <c r="AR22" s="13" t="s">
        <v>171</v>
      </c>
      <c r="AS22" s="13">
        <v>18</v>
      </c>
      <c r="AT22" s="13">
        <v>18</v>
      </c>
      <c r="AU22" s="13" t="s">
        <v>171</v>
      </c>
      <c r="AV22" s="13" t="s">
        <v>171</v>
      </c>
      <c r="AW22" s="13" t="s">
        <v>171</v>
      </c>
      <c r="AX22" s="13" t="s">
        <v>171</v>
      </c>
      <c r="AY22" s="13">
        <v>18</v>
      </c>
      <c r="AZ22" s="15">
        <v>18</v>
      </c>
      <c r="BA22" s="14" t="s">
        <v>171</v>
      </c>
      <c r="BB22" s="13" t="s">
        <v>171</v>
      </c>
      <c r="BC22" s="13" t="s">
        <v>171</v>
      </c>
      <c r="BD22" s="13" t="s">
        <v>171</v>
      </c>
      <c r="BE22" s="13">
        <v>18</v>
      </c>
      <c r="BF22" s="13">
        <v>18</v>
      </c>
      <c r="BG22" s="13" t="s">
        <v>171</v>
      </c>
      <c r="BH22" s="13" t="s">
        <v>171</v>
      </c>
      <c r="BI22" s="13" t="s">
        <v>171</v>
      </c>
      <c r="BJ22" s="13" t="s">
        <v>171</v>
      </c>
      <c r="BK22" s="13" t="s">
        <v>168</v>
      </c>
      <c r="BL22" s="15" t="s">
        <v>168</v>
      </c>
      <c r="BM22" s="14">
        <v>0</v>
      </c>
      <c r="BN22" s="13">
        <v>0</v>
      </c>
      <c r="BO22" s="13">
        <v>0</v>
      </c>
      <c r="BP22" s="13">
        <v>0</v>
      </c>
      <c r="BQ22" s="13">
        <v>0</v>
      </c>
      <c r="BR22" s="13">
        <v>0</v>
      </c>
      <c r="BS22" s="13">
        <v>0</v>
      </c>
      <c r="BT22" s="13" t="s">
        <v>166</v>
      </c>
      <c r="BU22" s="13" t="s">
        <v>166</v>
      </c>
      <c r="BV22" s="13" t="s">
        <v>166</v>
      </c>
      <c r="BW22" s="13" t="s">
        <v>166</v>
      </c>
      <c r="BX22" s="15" t="s">
        <v>166</v>
      </c>
      <c r="BY22" s="14" t="s">
        <v>166</v>
      </c>
      <c r="BZ22" s="13">
        <v>18</v>
      </c>
      <c r="CA22" s="13">
        <v>18</v>
      </c>
      <c r="CB22" s="13" t="s">
        <v>171</v>
      </c>
      <c r="CC22" s="13" t="s">
        <v>171</v>
      </c>
      <c r="CD22" s="13" t="s">
        <v>171</v>
      </c>
      <c r="CE22" s="13" t="s">
        <v>171</v>
      </c>
      <c r="CF22" s="13">
        <v>18</v>
      </c>
      <c r="CG22" s="13">
        <v>18</v>
      </c>
      <c r="CH22" s="13" t="s">
        <v>171</v>
      </c>
      <c r="CI22" s="13" t="s">
        <v>171</v>
      </c>
      <c r="CJ22" s="15" t="s">
        <v>171</v>
      </c>
      <c r="CK22" s="14" t="s">
        <v>171</v>
      </c>
      <c r="CL22" s="13">
        <v>18</v>
      </c>
      <c r="CM22" s="13">
        <v>18</v>
      </c>
      <c r="CN22" s="13" t="s">
        <v>171</v>
      </c>
      <c r="CO22" s="13" t="s">
        <v>171</v>
      </c>
      <c r="CP22" s="13" t="s">
        <v>171</v>
      </c>
      <c r="CQ22" s="13" t="s">
        <v>171</v>
      </c>
      <c r="CR22" s="13">
        <v>18</v>
      </c>
      <c r="CS22" s="13">
        <v>18</v>
      </c>
      <c r="CT22" s="13">
        <v>18</v>
      </c>
      <c r="CU22" s="13">
        <v>18</v>
      </c>
      <c r="CV22" s="15">
        <v>18</v>
      </c>
      <c r="CW22" s="14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5"/>
      <c r="DI22" s="14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5"/>
    </row>
    <row r="23" spans="1:124" x14ac:dyDescent="0.25">
      <c r="A23" s="13"/>
      <c r="B23" s="13"/>
      <c r="C23" s="13"/>
      <c r="D23" s="16" t="s">
        <v>7</v>
      </c>
      <c r="E23" s="14" t="s">
        <v>172</v>
      </c>
      <c r="F23" s="13" t="s">
        <v>172</v>
      </c>
      <c r="G23" s="13" t="s">
        <v>172</v>
      </c>
      <c r="H23" s="13" t="s">
        <v>172</v>
      </c>
      <c r="I23" s="13" t="s">
        <v>166</v>
      </c>
      <c r="J23" s="13" t="s">
        <v>166</v>
      </c>
      <c r="K23" s="13" t="s">
        <v>166</v>
      </c>
      <c r="L23" s="13" t="s">
        <v>166</v>
      </c>
      <c r="M23" s="13" t="s">
        <v>166</v>
      </c>
      <c r="N23" s="13" t="s">
        <v>166</v>
      </c>
      <c r="O23" s="13">
        <v>18</v>
      </c>
      <c r="P23" s="15">
        <v>18</v>
      </c>
      <c r="Q23" s="14" t="s">
        <v>173</v>
      </c>
      <c r="R23" s="13" t="s">
        <v>173</v>
      </c>
      <c r="S23" s="13" t="s">
        <v>173</v>
      </c>
      <c r="T23" s="13" t="s">
        <v>173</v>
      </c>
      <c r="U23" s="13">
        <v>18</v>
      </c>
      <c r="V23" s="13">
        <v>18</v>
      </c>
      <c r="W23" s="13" t="s">
        <v>173</v>
      </c>
      <c r="X23" s="13" t="s">
        <v>173</v>
      </c>
      <c r="Y23" s="13" t="s">
        <v>173</v>
      </c>
      <c r="Z23" s="13" t="s">
        <v>173</v>
      </c>
      <c r="AA23" s="13">
        <v>18</v>
      </c>
      <c r="AB23" s="15">
        <v>18</v>
      </c>
      <c r="AC23" s="14" t="s">
        <v>171</v>
      </c>
      <c r="AD23" s="13" t="s">
        <v>171</v>
      </c>
      <c r="AE23" s="13" t="s">
        <v>171</v>
      </c>
      <c r="AF23" s="13" t="s">
        <v>171</v>
      </c>
      <c r="AG23" s="13">
        <v>18</v>
      </c>
      <c r="AH23" s="13">
        <v>18</v>
      </c>
      <c r="AI23" s="13">
        <v>18</v>
      </c>
      <c r="AJ23" s="13">
        <v>18</v>
      </c>
      <c r="AK23" s="13">
        <v>18</v>
      </c>
      <c r="AL23" s="13">
        <v>18</v>
      </c>
      <c r="AM23" s="13">
        <v>18</v>
      </c>
      <c r="AN23" s="15">
        <v>18</v>
      </c>
      <c r="AO23" s="14">
        <v>18</v>
      </c>
      <c r="AP23" s="13">
        <v>18</v>
      </c>
      <c r="AQ23" s="13">
        <v>18</v>
      </c>
      <c r="AR23" s="13">
        <v>0</v>
      </c>
      <c r="AS23" s="13">
        <v>0</v>
      </c>
      <c r="AT23" s="13">
        <v>0</v>
      </c>
      <c r="AU23" s="13">
        <v>0</v>
      </c>
      <c r="AV23" s="13">
        <v>0</v>
      </c>
      <c r="AW23" s="13">
        <v>0</v>
      </c>
      <c r="AX23" s="13">
        <v>0</v>
      </c>
      <c r="AY23" s="13">
        <v>0</v>
      </c>
      <c r="AZ23" s="15">
        <v>0</v>
      </c>
      <c r="BA23" s="14">
        <v>0</v>
      </c>
      <c r="BB23" s="13">
        <v>0</v>
      </c>
      <c r="BC23" s="13">
        <v>0</v>
      </c>
      <c r="BD23" s="13">
        <v>0</v>
      </c>
      <c r="BE23" s="13">
        <v>0</v>
      </c>
      <c r="BF23" s="13">
        <v>0</v>
      </c>
      <c r="BG23" s="13">
        <v>0</v>
      </c>
      <c r="BH23" s="13">
        <v>0</v>
      </c>
      <c r="BI23" s="13" t="s">
        <v>169</v>
      </c>
      <c r="BJ23" s="13" t="s">
        <v>169</v>
      </c>
      <c r="BK23" s="13" t="s">
        <v>169</v>
      </c>
      <c r="BL23" s="15" t="s">
        <v>169</v>
      </c>
      <c r="BM23" s="14" t="s">
        <v>170</v>
      </c>
      <c r="BN23" s="13" t="s">
        <v>170</v>
      </c>
      <c r="BO23" s="13" t="s">
        <v>170</v>
      </c>
      <c r="BP23" s="13" t="s">
        <v>170</v>
      </c>
      <c r="BQ23" s="13" t="s">
        <v>170</v>
      </c>
      <c r="BR23" s="13" t="s">
        <v>170</v>
      </c>
      <c r="BS23" s="13">
        <v>18</v>
      </c>
      <c r="BT23" s="13">
        <v>18</v>
      </c>
      <c r="BU23" s="13" t="s">
        <v>171</v>
      </c>
      <c r="BV23" s="13" t="s">
        <v>171</v>
      </c>
      <c r="BW23" s="13" t="s">
        <v>171</v>
      </c>
      <c r="BX23" s="15" t="s">
        <v>171</v>
      </c>
      <c r="BY23" s="14">
        <v>18</v>
      </c>
      <c r="BZ23" s="13">
        <v>18</v>
      </c>
      <c r="CA23" s="13" t="s">
        <v>171</v>
      </c>
      <c r="CB23" s="13" t="s">
        <v>171</v>
      </c>
      <c r="CC23" s="13" t="s">
        <v>171</v>
      </c>
      <c r="CD23" s="13" t="s">
        <v>171</v>
      </c>
      <c r="CE23" s="13">
        <v>18</v>
      </c>
      <c r="CF23" s="13">
        <v>18</v>
      </c>
      <c r="CG23" s="13" t="s">
        <v>171</v>
      </c>
      <c r="CH23" s="13" t="s">
        <v>171</v>
      </c>
      <c r="CI23" s="13" t="s">
        <v>171</v>
      </c>
      <c r="CJ23" s="15" t="s">
        <v>171</v>
      </c>
      <c r="CK23" s="14">
        <v>18</v>
      </c>
      <c r="CL23" s="13">
        <v>18</v>
      </c>
      <c r="CM23" s="13" t="s">
        <v>171</v>
      </c>
      <c r="CN23" s="13" t="s">
        <v>171</v>
      </c>
      <c r="CO23" s="13" t="s">
        <v>171</v>
      </c>
      <c r="CP23" s="13" t="s">
        <v>171</v>
      </c>
      <c r="CQ23" s="13">
        <v>18</v>
      </c>
      <c r="CR23" s="13">
        <v>18</v>
      </c>
      <c r="CS23" s="13">
        <v>18</v>
      </c>
      <c r="CT23" s="13">
        <v>18</v>
      </c>
      <c r="CU23" s="13">
        <v>18</v>
      </c>
      <c r="CV23" s="15">
        <v>18</v>
      </c>
      <c r="CW23" s="14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5"/>
      <c r="DI23" s="14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5"/>
    </row>
    <row r="24" spans="1:124" x14ac:dyDescent="0.25">
      <c r="A24" s="13"/>
      <c r="B24" s="13"/>
      <c r="C24" s="13"/>
      <c r="D24" s="16" t="s">
        <v>8</v>
      </c>
      <c r="E24" s="14" t="s">
        <v>173</v>
      </c>
      <c r="F24" s="13" t="s">
        <v>173</v>
      </c>
      <c r="G24" s="13" t="s">
        <v>173</v>
      </c>
      <c r="H24" s="13" t="s">
        <v>173</v>
      </c>
      <c r="I24" s="13" t="s">
        <v>167</v>
      </c>
      <c r="J24" s="13" t="s">
        <v>167</v>
      </c>
      <c r="K24" s="13" t="s">
        <v>167</v>
      </c>
      <c r="L24" s="13" t="s">
        <v>167</v>
      </c>
      <c r="M24" s="13" t="s">
        <v>167</v>
      </c>
      <c r="N24" s="13" t="s">
        <v>167</v>
      </c>
      <c r="O24" s="13">
        <v>18</v>
      </c>
      <c r="P24" s="15">
        <v>18</v>
      </c>
      <c r="Q24" s="14" t="s">
        <v>173</v>
      </c>
      <c r="R24" s="13" t="s">
        <v>173</v>
      </c>
      <c r="S24" s="13" t="s">
        <v>173</v>
      </c>
      <c r="T24" s="13" t="s">
        <v>173</v>
      </c>
      <c r="U24" s="13">
        <v>18</v>
      </c>
      <c r="V24" s="13">
        <v>18</v>
      </c>
      <c r="W24" s="13" t="s">
        <v>173</v>
      </c>
      <c r="X24" s="13" t="s">
        <v>173</v>
      </c>
      <c r="Y24" s="13" t="s">
        <v>173</v>
      </c>
      <c r="Z24" s="13" t="s">
        <v>173</v>
      </c>
      <c r="AA24" s="13">
        <v>18</v>
      </c>
      <c r="AB24" s="15">
        <v>18</v>
      </c>
      <c r="AC24" s="14" t="s">
        <v>174</v>
      </c>
      <c r="AD24" s="13" t="s">
        <v>174</v>
      </c>
      <c r="AE24" s="13" t="s">
        <v>174</v>
      </c>
      <c r="AF24" s="13" t="s">
        <v>174</v>
      </c>
      <c r="AG24" s="13">
        <v>18</v>
      </c>
      <c r="AH24" s="13">
        <v>18</v>
      </c>
      <c r="AI24" s="13">
        <v>18</v>
      </c>
      <c r="AJ24" s="13">
        <v>18</v>
      </c>
      <c r="AK24" s="13">
        <v>18</v>
      </c>
      <c r="AL24" s="13">
        <v>18</v>
      </c>
      <c r="AM24" s="13">
        <v>18</v>
      </c>
      <c r="AN24" s="15">
        <v>18</v>
      </c>
      <c r="AO24" s="14">
        <v>18</v>
      </c>
      <c r="AP24" s="13">
        <v>18</v>
      </c>
      <c r="AQ24" s="13">
        <v>18</v>
      </c>
      <c r="AR24" s="13">
        <v>0</v>
      </c>
      <c r="AS24" s="13">
        <v>0</v>
      </c>
      <c r="AT24" s="13">
        <v>0</v>
      </c>
      <c r="AU24" s="13">
        <v>0</v>
      </c>
      <c r="AV24" s="13">
        <v>0</v>
      </c>
      <c r="AW24" s="13">
        <v>0</v>
      </c>
      <c r="AX24" s="13">
        <v>0</v>
      </c>
      <c r="AY24" s="13">
        <v>0</v>
      </c>
      <c r="AZ24" s="15">
        <v>0</v>
      </c>
      <c r="BA24" s="14">
        <v>0</v>
      </c>
      <c r="BB24" s="13">
        <v>0</v>
      </c>
      <c r="BC24" s="13">
        <v>0</v>
      </c>
      <c r="BD24" s="13">
        <v>0</v>
      </c>
      <c r="BE24" s="13">
        <v>0</v>
      </c>
      <c r="BF24" s="13">
        <v>0</v>
      </c>
      <c r="BG24" s="13">
        <v>0</v>
      </c>
      <c r="BH24" s="13">
        <v>0</v>
      </c>
      <c r="BI24" s="13" t="s">
        <v>170</v>
      </c>
      <c r="BJ24" s="13" t="s">
        <v>170</v>
      </c>
      <c r="BK24" s="13" t="s">
        <v>170</v>
      </c>
      <c r="BL24" s="15" t="s">
        <v>170</v>
      </c>
      <c r="BM24" s="14">
        <v>18</v>
      </c>
      <c r="BN24" s="13">
        <v>18</v>
      </c>
      <c r="BO24" s="13" t="s">
        <v>171</v>
      </c>
      <c r="BP24" s="13" t="s">
        <v>171</v>
      </c>
      <c r="BQ24" s="13" t="s">
        <v>171</v>
      </c>
      <c r="BR24" s="13" t="s">
        <v>171</v>
      </c>
      <c r="BS24" s="13">
        <v>18</v>
      </c>
      <c r="BT24" s="13">
        <v>18</v>
      </c>
      <c r="BU24" s="13" t="s">
        <v>171</v>
      </c>
      <c r="BV24" s="13" t="s">
        <v>171</v>
      </c>
      <c r="BW24" s="13" t="s">
        <v>171</v>
      </c>
      <c r="BX24" s="15" t="s">
        <v>171</v>
      </c>
      <c r="BY24" s="14">
        <v>18</v>
      </c>
      <c r="BZ24" s="13">
        <v>18</v>
      </c>
      <c r="CA24" s="13" t="s">
        <v>171</v>
      </c>
      <c r="CB24" s="13" t="s">
        <v>171</v>
      </c>
      <c r="CC24" s="13" t="s">
        <v>171</v>
      </c>
      <c r="CD24" s="13" t="s">
        <v>171</v>
      </c>
      <c r="CE24" s="13" t="s">
        <v>166</v>
      </c>
      <c r="CF24" s="13" t="s">
        <v>166</v>
      </c>
      <c r="CG24" s="13" t="s">
        <v>166</v>
      </c>
      <c r="CH24" s="13" t="s">
        <v>166</v>
      </c>
      <c r="CI24" s="13" t="s">
        <v>166</v>
      </c>
      <c r="CJ24" s="15" t="s">
        <v>166</v>
      </c>
      <c r="CK24" s="14">
        <v>18</v>
      </c>
      <c r="CL24" s="13">
        <v>18</v>
      </c>
      <c r="CM24" s="13" t="s">
        <v>171</v>
      </c>
      <c r="CN24" s="13" t="s">
        <v>171</v>
      </c>
      <c r="CO24" s="13" t="s">
        <v>171</v>
      </c>
      <c r="CP24" s="13" t="s">
        <v>171</v>
      </c>
      <c r="CQ24" s="13">
        <v>18</v>
      </c>
      <c r="CR24" s="13">
        <v>18</v>
      </c>
      <c r="CS24" s="13">
        <v>18</v>
      </c>
      <c r="CT24" s="13">
        <v>18</v>
      </c>
      <c r="CU24" s="13">
        <v>18</v>
      </c>
      <c r="CV24" s="15">
        <v>18</v>
      </c>
      <c r="CW24" s="14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5"/>
      <c r="DI24" s="14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5"/>
    </row>
    <row r="25" spans="1:124" x14ac:dyDescent="0.25">
      <c r="A25" s="13"/>
      <c r="B25" s="13"/>
      <c r="C25" s="13"/>
      <c r="D25" s="16" t="s">
        <v>16</v>
      </c>
      <c r="E25" s="14">
        <v>18</v>
      </c>
      <c r="F25" s="13" t="s">
        <v>172</v>
      </c>
      <c r="G25" s="13" t="s">
        <v>172</v>
      </c>
      <c r="H25" s="13" t="s">
        <v>172</v>
      </c>
      <c r="I25" s="13" t="s">
        <v>172</v>
      </c>
      <c r="J25" s="13" t="s">
        <v>149</v>
      </c>
      <c r="K25" s="13" t="s">
        <v>149</v>
      </c>
      <c r="L25" s="13" t="s">
        <v>149</v>
      </c>
      <c r="M25" s="13" t="s">
        <v>149</v>
      </c>
      <c r="N25" s="13" t="s">
        <v>149</v>
      </c>
      <c r="O25" s="13" t="s">
        <v>149</v>
      </c>
      <c r="P25" s="15">
        <v>18</v>
      </c>
      <c r="Q25" s="14">
        <v>18</v>
      </c>
      <c r="R25" s="13" t="s">
        <v>173</v>
      </c>
      <c r="S25" s="13" t="s">
        <v>173</v>
      </c>
      <c r="T25" s="13" t="s">
        <v>173</v>
      </c>
      <c r="U25" s="13" t="s">
        <v>173</v>
      </c>
      <c r="V25" s="13">
        <v>18</v>
      </c>
      <c r="W25" s="13">
        <v>18</v>
      </c>
      <c r="X25" s="13" t="s">
        <v>173</v>
      </c>
      <c r="Y25" s="13" t="s">
        <v>173</v>
      </c>
      <c r="Z25" s="13" t="s">
        <v>173</v>
      </c>
      <c r="AA25" s="13" t="s">
        <v>173</v>
      </c>
      <c r="AB25" s="15">
        <v>18</v>
      </c>
      <c r="AC25" s="14">
        <v>18</v>
      </c>
      <c r="AD25" s="13" t="s">
        <v>171</v>
      </c>
      <c r="AE25" s="13" t="s">
        <v>171</v>
      </c>
      <c r="AF25" s="13" t="s">
        <v>171</v>
      </c>
      <c r="AG25" s="13" t="s">
        <v>171</v>
      </c>
      <c r="AH25" s="13">
        <v>18</v>
      </c>
      <c r="AI25" s="13">
        <v>18</v>
      </c>
      <c r="AJ25" s="13">
        <v>18</v>
      </c>
      <c r="AK25" s="13">
        <v>18</v>
      </c>
      <c r="AL25" s="13">
        <v>18</v>
      </c>
      <c r="AM25" s="13">
        <v>18</v>
      </c>
      <c r="AN25" s="15">
        <v>18</v>
      </c>
      <c r="AO25" s="14">
        <v>18</v>
      </c>
      <c r="AP25" s="13">
        <v>18</v>
      </c>
      <c r="AQ25" s="13">
        <v>18</v>
      </c>
      <c r="AR25" s="13">
        <v>18</v>
      </c>
      <c r="AS25" s="13">
        <v>0</v>
      </c>
      <c r="AT25" s="13">
        <v>0</v>
      </c>
      <c r="AU25" s="13">
        <v>0</v>
      </c>
      <c r="AV25" s="13">
        <v>0</v>
      </c>
      <c r="AW25" s="13">
        <v>0</v>
      </c>
      <c r="AX25" s="13">
        <v>0</v>
      </c>
      <c r="AY25" s="13">
        <v>0</v>
      </c>
      <c r="AZ25" s="15">
        <v>0</v>
      </c>
      <c r="BA25" s="14">
        <v>0</v>
      </c>
      <c r="BB25" s="13">
        <v>0</v>
      </c>
      <c r="BC25" s="13">
        <v>0</v>
      </c>
      <c r="BD25" s="13">
        <v>0</v>
      </c>
      <c r="BE25" s="13">
        <v>0</v>
      </c>
      <c r="BF25" s="13">
        <v>0</v>
      </c>
      <c r="BG25" s="13">
        <v>0</v>
      </c>
      <c r="BH25" s="13">
        <v>0</v>
      </c>
      <c r="BI25" s="13" t="s">
        <v>168</v>
      </c>
      <c r="BJ25" s="13" t="s">
        <v>168</v>
      </c>
      <c r="BK25" s="13" t="s">
        <v>168</v>
      </c>
      <c r="BL25" s="15" t="s">
        <v>168</v>
      </c>
      <c r="BM25" s="14" t="s">
        <v>166</v>
      </c>
      <c r="BN25" s="13" t="s">
        <v>166</v>
      </c>
      <c r="BO25" s="13" t="s">
        <v>166</v>
      </c>
      <c r="BP25" s="13" t="s">
        <v>166</v>
      </c>
      <c r="BQ25" s="13" t="s">
        <v>166</v>
      </c>
      <c r="BR25" s="13" t="s">
        <v>166</v>
      </c>
      <c r="BS25" s="13">
        <v>18</v>
      </c>
      <c r="BT25" s="13">
        <v>18</v>
      </c>
      <c r="BU25" s="13" t="s">
        <v>171</v>
      </c>
      <c r="BV25" s="13" t="s">
        <v>171</v>
      </c>
      <c r="BW25" s="13" t="s">
        <v>171</v>
      </c>
      <c r="BX25" s="15" t="s">
        <v>171</v>
      </c>
      <c r="BY25" s="14">
        <v>18</v>
      </c>
      <c r="BZ25" s="13">
        <v>18</v>
      </c>
      <c r="CA25" s="13" t="s">
        <v>171</v>
      </c>
      <c r="CB25" s="13" t="s">
        <v>171</v>
      </c>
      <c r="CC25" s="13" t="s">
        <v>171</v>
      </c>
      <c r="CD25" s="13" t="s">
        <v>171</v>
      </c>
      <c r="CE25" s="13">
        <v>18</v>
      </c>
      <c r="CF25" s="13">
        <v>18</v>
      </c>
      <c r="CG25" s="13" t="s">
        <v>171</v>
      </c>
      <c r="CH25" s="13" t="s">
        <v>171</v>
      </c>
      <c r="CI25" s="13" t="s">
        <v>171</v>
      </c>
      <c r="CJ25" s="15" t="s">
        <v>171</v>
      </c>
      <c r="CK25" s="14">
        <v>18</v>
      </c>
      <c r="CL25" s="13">
        <v>18</v>
      </c>
      <c r="CM25" s="13" t="s">
        <v>171</v>
      </c>
      <c r="CN25" s="13" t="s">
        <v>171</v>
      </c>
      <c r="CO25" s="13" t="s">
        <v>171</v>
      </c>
      <c r="CP25" s="13" t="s">
        <v>171</v>
      </c>
      <c r="CQ25" s="13">
        <v>18</v>
      </c>
      <c r="CR25" s="13">
        <v>18</v>
      </c>
      <c r="CS25" s="13">
        <v>18</v>
      </c>
      <c r="CT25" s="13">
        <v>18</v>
      </c>
      <c r="CU25" s="13">
        <v>18</v>
      </c>
      <c r="CV25" s="15">
        <v>18</v>
      </c>
      <c r="CW25" s="14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5"/>
      <c r="DI25" s="14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5"/>
    </row>
    <row r="26" spans="1:124" x14ac:dyDescent="0.25">
      <c r="A26" s="13"/>
      <c r="B26" s="13"/>
      <c r="C26" s="13"/>
      <c r="D26" s="16" t="s">
        <v>26</v>
      </c>
      <c r="E26" s="14">
        <v>18</v>
      </c>
      <c r="F26" s="13">
        <v>18</v>
      </c>
      <c r="G26" s="13" t="s">
        <v>171</v>
      </c>
      <c r="H26" s="13" t="s">
        <v>171</v>
      </c>
      <c r="I26" s="13" t="s">
        <v>171</v>
      </c>
      <c r="J26" s="13" t="s">
        <v>171</v>
      </c>
      <c r="K26" s="13" t="s">
        <v>167</v>
      </c>
      <c r="L26" s="13" t="s">
        <v>167</v>
      </c>
      <c r="M26" s="13" t="s">
        <v>167</v>
      </c>
      <c r="N26" s="13" t="s">
        <v>167</v>
      </c>
      <c r="O26" s="13" t="s">
        <v>167</v>
      </c>
      <c r="P26" s="15" t="s">
        <v>167</v>
      </c>
      <c r="Q26" s="14" t="s">
        <v>167</v>
      </c>
      <c r="R26" s="13">
        <v>18</v>
      </c>
      <c r="S26" s="13">
        <v>18</v>
      </c>
      <c r="T26" s="13" t="s">
        <v>171</v>
      </c>
      <c r="U26" s="13" t="s">
        <v>171</v>
      </c>
      <c r="V26" s="13" t="s">
        <v>171</v>
      </c>
      <c r="W26" s="13" t="s">
        <v>171</v>
      </c>
      <c r="X26" s="13">
        <v>18</v>
      </c>
      <c r="Y26" s="13">
        <v>18</v>
      </c>
      <c r="Z26" s="13" t="s">
        <v>171</v>
      </c>
      <c r="AA26" s="13" t="s">
        <v>171</v>
      </c>
      <c r="AB26" s="15" t="s">
        <v>171</v>
      </c>
      <c r="AC26" s="14" t="s">
        <v>171</v>
      </c>
      <c r="AD26" s="13">
        <v>18</v>
      </c>
      <c r="AE26" s="13">
        <v>18</v>
      </c>
      <c r="AF26" s="13" t="s">
        <v>171</v>
      </c>
      <c r="AG26" s="13" t="s">
        <v>171</v>
      </c>
      <c r="AH26" s="13" t="s">
        <v>171</v>
      </c>
      <c r="AI26" s="13">
        <v>18</v>
      </c>
      <c r="AJ26" s="13">
        <v>18</v>
      </c>
      <c r="AK26" s="13" t="s">
        <v>171</v>
      </c>
      <c r="AL26" s="13" t="s">
        <v>171</v>
      </c>
      <c r="AM26" s="13" t="s">
        <v>171</v>
      </c>
      <c r="AN26" s="15" t="s">
        <v>171</v>
      </c>
      <c r="AO26" s="14">
        <v>18</v>
      </c>
      <c r="AP26" s="13">
        <v>18</v>
      </c>
      <c r="AQ26" s="13" t="s">
        <v>171</v>
      </c>
      <c r="AR26" s="13" t="s">
        <v>171</v>
      </c>
      <c r="AS26" s="13" t="s">
        <v>171</v>
      </c>
      <c r="AT26" s="13" t="s">
        <v>171</v>
      </c>
      <c r="AU26" s="13">
        <v>18</v>
      </c>
      <c r="AV26" s="13">
        <v>18</v>
      </c>
      <c r="AW26" s="13" t="s">
        <v>171</v>
      </c>
      <c r="AX26" s="13" t="s">
        <v>171</v>
      </c>
      <c r="AY26" s="13" t="s">
        <v>171</v>
      </c>
      <c r="AZ26" s="15" t="s">
        <v>171</v>
      </c>
      <c r="BA26" s="14">
        <v>18</v>
      </c>
      <c r="BB26" s="13">
        <v>18</v>
      </c>
      <c r="BC26" s="13" t="s">
        <v>171</v>
      </c>
      <c r="BD26" s="13" t="s">
        <v>171</v>
      </c>
      <c r="BE26" s="13" t="s">
        <v>171</v>
      </c>
      <c r="BF26" s="13" t="s">
        <v>171</v>
      </c>
      <c r="BG26" s="13">
        <v>18</v>
      </c>
      <c r="BH26" s="13">
        <v>18</v>
      </c>
      <c r="BI26" s="13" t="s">
        <v>171</v>
      </c>
      <c r="BJ26" s="13" t="s">
        <v>171</v>
      </c>
      <c r="BK26" s="13" t="s">
        <v>171</v>
      </c>
      <c r="BL26" s="15" t="s">
        <v>171</v>
      </c>
      <c r="BM26" s="14">
        <v>0</v>
      </c>
      <c r="BN26" s="13">
        <v>0</v>
      </c>
      <c r="BO26" s="13">
        <v>0</v>
      </c>
      <c r="BP26" s="13">
        <v>0</v>
      </c>
      <c r="BQ26" s="13">
        <v>0</v>
      </c>
      <c r="BR26" s="13">
        <v>0</v>
      </c>
      <c r="BS26" s="13">
        <v>0</v>
      </c>
      <c r="BT26" s="13">
        <v>0</v>
      </c>
      <c r="BU26" s="13">
        <v>0</v>
      </c>
      <c r="BV26" s="13">
        <v>0</v>
      </c>
      <c r="BW26" s="13">
        <v>0</v>
      </c>
      <c r="BX26" s="15">
        <v>0</v>
      </c>
      <c r="BY26" s="14">
        <v>0</v>
      </c>
      <c r="BZ26" s="13">
        <v>0</v>
      </c>
      <c r="CA26" s="13">
        <v>0</v>
      </c>
      <c r="CB26" s="13" t="s">
        <v>166</v>
      </c>
      <c r="CC26" s="13" t="s">
        <v>166</v>
      </c>
      <c r="CD26" s="13" t="s">
        <v>166</v>
      </c>
      <c r="CE26" s="13" t="s">
        <v>166</v>
      </c>
      <c r="CF26" s="13" t="s">
        <v>166</v>
      </c>
      <c r="CG26" s="13" t="s">
        <v>166</v>
      </c>
      <c r="CH26" s="13">
        <v>18</v>
      </c>
      <c r="CI26" s="13">
        <v>18</v>
      </c>
      <c r="CJ26" s="15" t="s">
        <v>171</v>
      </c>
      <c r="CK26" s="14" t="s">
        <v>171</v>
      </c>
      <c r="CL26" s="13" t="s">
        <v>171</v>
      </c>
      <c r="CM26" s="13" t="s">
        <v>171</v>
      </c>
      <c r="CN26" s="13">
        <v>18</v>
      </c>
      <c r="CO26" s="13">
        <v>18</v>
      </c>
      <c r="CP26" s="13" t="s">
        <v>171</v>
      </c>
      <c r="CQ26" s="13" t="s">
        <v>171</v>
      </c>
      <c r="CR26" s="13" t="s">
        <v>171</v>
      </c>
      <c r="CS26" s="13" t="s">
        <v>171</v>
      </c>
      <c r="CT26" s="13">
        <v>18</v>
      </c>
      <c r="CU26" s="13">
        <v>18</v>
      </c>
      <c r="CV26" s="15">
        <v>18</v>
      </c>
      <c r="CW26" s="14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5"/>
      <c r="DI26" s="14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5"/>
    </row>
    <row r="27" spans="1:124" x14ac:dyDescent="0.25">
      <c r="A27" s="13"/>
      <c r="B27" s="13"/>
      <c r="C27" s="13"/>
      <c r="D27" s="16" t="s">
        <v>30</v>
      </c>
      <c r="E27" s="14">
        <v>18</v>
      </c>
      <c r="F27" s="13">
        <v>18</v>
      </c>
      <c r="G27" s="13" t="s">
        <v>171</v>
      </c>
      <c r="H27" s="13" t="s">
        <v>171</v>
      </c>
      <c r="I27" s="13" t="s">
        <v>171</v>
      </c>
      <c r="J27" s="13" t="s">
        <v>171</v>
      </c>
      <c r="K27" s="13" t="s">
        <v>167</v>
      </c>
      <c r="L27" s="13" t="s">
        <v>167</v>
      </c>
      <c r="M27" s="13" t="s">
        <v>167</v>
      </c>
      <c r="N27" s="13" t="s">
        <v>167</v>
      </c>
      <c r="O27" s="13" t="s">
        <v>167</v>
      </c>
      <c r="P27" s="15" t="s">
        <v>167</v>
      </c>
      <c r="Q27" s="14">
        <v>18</v>
      </c>
      <c r="R27" s="13">
        <v>18</v>
      </c>
      <c r="S27" s="13" t="s">
        <v>171</v>
      </c>
      <c r="T27" s="13" t="s">
        <v>171</v>
      </c>
      <c r="U27" s="13" t="s">
        <v>171</v>
      </c>
      <c r="V27" s="13" t="s">
        <v>171</v>
      </c>
      <c r="W27" s="13">
        <v>18</v>
      </c>
      <c r="X27" s="13">
        <v>18</v>
      </c>
      <c r="Y27" s="13" t="s">
        <v>171</v>
      </c>
      <c r="Z27" s="13" t="s">
        <v>171</v>
      </c>
      <c r="AA27" s="13" t="s">
        <v>171</v>
      </c>
      <c r="AB27" s="15" t="s">
        <v>171</v>
      </c>
      <c r="AC27" s="14">
        <v>18</v>
      </c>
      <c r="AD27" s="13">
        <v>18</v>
      </c>
      <c r="AE27" s="13" t="s">
        <v>171</v>
      </c>
      <c r="AF27" s="13" t="s">
        <v>171</v>
      </c>
      <c r="AG27" s="13" t="s">
        <v>171</v>
      </c>
      <c r="AH27" s="13" t="s">
        <v>171</v>
      </c>
      <c r="AI27" s="13">
        <v>18</v>
      </c>
      <c r="AJ27" s="13">
        <v>18</v>
      </c>
      <c r="AK27" s="13" t="s">
        <v>171</v>
      </c>
      <c r="AL27" s="13" t="s">
        <v>171</v>
      </c>
      <c r="AM27" s="13" t="s">
        <v>171</v>
      </c>
      <c r="AN27" s="15" t="s">
        <v>171</v>
      </c>
      <c r="AO27" s="14">
        <v>18</v>
      </c>
      <c r="AP27" s="13">
        <v>18</v>
      </c>
      <c r="AQ27" s="13" t="s">
        <v>171</v>
      </c>
      <c r="AR27" s="13" t="s">
        <v>171</v>
      </c>
      <c r="AS27" s="13" t="s">
        <v>171</v>
      </c>
      <c r="AT27" s="13" t="s">
        <v>171</v>
      </c>
      <c r="AU27" s="13">
        <v>18</v>
      </c>
      <c r="AV27" s="13">
        <v>18</v>
      </c>
      <c r="AW27" s="13" t="s">
        <v>171</v>
      </c>
      <c r="AX27" s="13" t="s">
        <v>171</v>
      </c>
      <c r="AY27" s="13" t="s">
        <v>171</v>
      </c>
      <c r="AZ27" s="15" t="s">
        <v>171</v>
      </c>
      <c r="BA27" s="14">
        <v>18</v>
      </c>
      <c r="BB27" s="13">
        <v>18</v>
      </c>
      <c r="BC27" s="13" t="s">
        <v>171</v>
      </c>
      <c r="BD27" s="13" t="s">
        <v>171</v>
      </c>
      <c r="BE27" s="13" t="s">
        <v>171</v>
      </c>
      <c r="BF27" s="13" t="s">
        <v>171</v>
      </c>
      <c r="BG27" s="13">
        <v>18</v>
      </c>
      <c r="BH27" s="13">
        <v>18</v>
      </c>
      <c r="BI27" s="13" t="s">
        <v>171</v>
      </c>
      <c r="BJ27" s="13" t="s">
        <v>171</v>
      </c>
      <c r="BK27" s="13" t="s">
        <v>171</v>
      </c>
      <c r="BL27" s="15" t="s">
        <v>171</v>
      </c>
      <c r="BM27" s="14" t="s">
        <v>166</v>
      </c>
      <c r="BN27" s="13" t="s">
        <v>166</v>
      </c>
      <c r="BO27" s="13" t="s">
        <v>166</v>
      </c>
      <c r="BP27" s="13" t="s">
        <v>166</v>
      </c>
      <c r="BQ27" s="13" t="s">
        <v>166</v>
      </c>
      <c r="BR27" s="13" t="s">
        <v>166</v>
      </c>
      <c r="BS27" s="13">
        <v>18</v>
      </c>
      <c r="BT27" s="13">
        <v>18</v>
      </c>
      <c r="BU27" s="13" t="s">
        <v>171</v>
      </c>
      <c r="BV27" s="13" t="s">
        <v>171</v>
      </c>
      <c r="BW27" s="13" t="s">
        <v>171</v>
      </c>
      <c r="BX27" s="15" t="s">
        <v>171</v>
      </c>
      <c r="BY27" s="14">
        <v>18</v>
      </c>
      <c r="BZ27" s="13">
        <v>18</v>
      </c>
      <c r="CA27" s="13" t="s">
        <v>171</v>
      </c>
      <c r="CB27" s="13" t="s">
        <v>171</v>
      </c>
      <c r="CC27" s="13" t="s">
        <v>171</v>
      </c>
      <c r="CD27" s="13" t="s">
        <v>171</v>
      </c>
      <c r="CE27" s="13">
        <v>18</v>
      </c>
      <c r="CF27" s="13">
        <v>18</v>
      </c>
      <c r="CG27" s="13" t="s">
        <v>171</v>
      </c>
      <c r="CH27" s="13" t="s">
        <v>171</v>
      </c>
      <c r="CI27" s="13" t="s">
        <v>171</v>
      </c>
      <c r="CJ27" s="15" t="s">
        <v>171</v>
      </c>
      <c r="CK27" s="14">
        <v>18</v>
      </c>
      <c r="CL27" s="13">
        <v>18</v>
      </c>
      <c r="CM27" s="13" t="s">
        <v>171</v>
      </c>
      <c r="CN27" s="13" t="s">
        <v>171</v>
      </c>
      <c r="CO27" s="13" t="s">
        <v>171</v>
      </c>
      <c r="CP27" s="13" t="s">
        <v>171</v>
      </c>
      <c r="CQ27" s="13">
        <v>18</v>
      </c>
      <c r="CR27" s="13">
        <v>18</v>
      </c>
      <c r="CS27" s="13">
        <v>18</v>
      </c>
      <c r="CT27" s="13">
        <v>18</v>
      </c>
      <c r="CU27" s="13">
        <v>18</v>
      </c>
      <c r="CV27" s="15">
        <v>18</v>
      </c>
      <c r="CW27" s="14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5"/>
      <c r="DI27" s="14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5"/>
    </row>
    <row r="28" spans="1:124" x14ac:dyDescent="0.25">
      <c r="A28" s="13"/>
      <c r="B28" s="13"/>
      <c r="C28" s="13"/>
      <c r="D28" s="16" t="s">
        <v>35</v>
      </c>
      <c r="E28" s="14">
        <v>18</v>
      </c>
      <c r="F28" s="13">
        <v>18</v>
      </c>
      <c r="G28" s="13" t="s">
        <v>171</v>
      </c>
      <c r="H28" s="13" t="s">
        <v>171</v>
      </c>
      <c r="I28" s="13" t="s">
        <v>171</v>
      </c>
      <c r="J28" s="13" t="s">
        <v>171</v>
      </c>
      <c r="K28" s="13" t="s">
        <v>167</v>
      </c>
      <c r="L28" s="13" t="s">
        <v>167</v>
      </c>
      <c r="M28" s="13" t="s">
        <v>167</v>
      </c>
      <c r="N28" s="13" t="s">
        <v>167</v>
      </c>
      <c r="O28" s="13" t="s">
        <v>167</v>
      </c>
      <c r="P28" s="15" t="s">
        <v>167</v>
      </c>
      <c r="Q28" s="14" t="s">
        <v>167</v>
      </c>
      <c r="R28" s="13">
        <v>18</v>
      </c>
      <c r="S28" s="13">
        <v>18</v>
      </c>
      <c r="T28" s="13" t="s">
        <v>172</v>
      </c>
      <c r="U28" s="13" t="s">
        <v>172</v>
      </c>
      <c r="V28" s="13" t="s">
        <v>172</v>
      </c>
      <c r="W28" s="13" t="s">
        <v>172</v>
      </c>
      <c r="X28" s="13">
        <v>18</v>
      </c>
      <c r="Y28" s="13">
        <v>18</v>
      </c>
      <c r="Z28" s="13" t="s">
        <v>171</v>
      </c>
      <c r="AA28" s="13" t="s">
        <v>171</v>
      </c>
      <c r="AB28" s="15" t="s">
        <v>171</v>
      </c>
      <c r="AC28" s="14" t="s">
        <v>171</v>
      </c>
      <c r="AD28" s="13">
        <v>18</v>
      </c>
      <c r="AE28" s="13">
        <v>18</v>
      </c>
      <c r="AF28" s="13" t="s">
        <v>175</v>
      </c>
      <c r="AG28" s="13" t="s">
        <v>175</v>
      </c>
      <c r="AH28" s="13" t="s">
        <v>175</v>
      </c>
      <c r="AI28" s="13">
        <v>18</v>
      </c>
      <c r="AJ28" s="13">
        <v>18</v>
      </c>
      <c r="AK28" s="13" t="s">
        <v>171</v>
      </c>
      <c r="AL28" s="13" t="s">
        <v>171</v>
      </c>
      <c r="AM28" s="13" t="s">
        <v>171</v>
      </c>
      <c r="AN28" s="15" t="s">
        <v>171</v>
      </c>
      <c r="AO28" s="14">
        <v>18</v>
      </c>
      <c r="AP28" s="13">
        <v>18</v>
      </c>
      <c r="AQ28" s="13" t="s">
        <v>172</v>
      </c>
      <c r="AR28" s="13" t="s">
        <v>172</v>
      </c>
      <c r="AS28" s="13" t="s">
        <v>172</v>
      </c>
      <c r="AT28" s="13" t="s">
        <v>172</v>
      </c>
      <c r="AU28" s="13">
        <v>18</v>
      </c>
      <c r="AV28" s="13">
        <v>18</v>
      </c>
      <c r="AW28" s="13">
        <v>18</v>
      </c>
      <c r="AX28" s="13">
        <v>18</v>
      </c>
      <c r="AY28" s="13">
        <v>18</v>
      </c>
      <c r="AZ28" s="15">
        <v>18</v>
      </c>
      <c r="BA28" s="14">
        <v>18</v>
      </c>
      <c r="BB28" s="13">
        <v>0</v>
      </c>
      <c r="BC28" s="13">
        <v>0</v>
      </c>
      <c r="BD28" s="13">
        <v>0</v>
      </c>
      <c r="BE28" s="13">
        <v>0</v>
      </c>
      <c r="BF28" s="13">
        <v>0</v>
      </c>
      <c r="BG28" s="13">
        <v>0</v>
      </c>
      <c r="BH28" s="13">
        <v>0</v>
      </c>
      <c r="BI28" s="13">
        <v>0</v>
      </c>
      <c r="BJ28" s="13">
        <v>0</v>
      </c>
      <c r="BK28" s="13">
        <v>0</v>
      </c>
      <c r="BL28" s="15" t="s">
        <v>170</v>
      </c>
      <c r="BM28" s="14">
        <v>18</v>
      </c>
      <c r="BN28" s="13" t="s">
        <v>166</v>
      </c>
      <c r="BO28" s="13" t="s">
        <v>166</v>
      </c>
      <c r="BP28" s="13" t="s">
        <v>166</v>
      </c>
      <c r="BQ28" s="13" t="s">
        <v>166</v>
      </c>
      <c r="BR28" s="13" t="s">
        <v>166</v>
      </c>
      <c r="BS28" s="13" t="s">
        <v>166</v>
      </c>
      <c r="BT28" s="13">
        <v>18</v>
      </c>
      <c r="BU28" s="13">
        <v>18</v>
      </c>
      <c r="BV28" s="13" t="s">
        <v>171</v>
      </c>
      <c r="BW28" s="13" t="s">
        <v>171</v>
      </c>
      <c r="BX28" s="15" t="s">
        <v>171</v>
      </c>
      <c r="BY28" s="14" t="s">
        <v>171</v>
      </c>
      <c r="BZ28" s="13">
        <v>18</v>
      </c>
      <c r="CA28" s="13">
        <v>18</v>
      </c>
      <c r="CB28" s="13" t="s">
        <v>171</v>
      </c>
      <c r="CC28" s="13" t="s">
        <v>171</v>
      </c>
      <c r="CD28" s="13" t="s">
        <v>171</v>
      </c>
      <c r="CE28" s="13" t="s">
        <v>171</v>
      </c>
      <c r="CF28" s="13">
        <v>18</v>
      </c>
      <c r="CG28" s="13">
        <v>18</v>
      </c>
      <c r="CH28" s="13" t="s">
        <v>171</v>
      </c>
      <c r="CI28" s="13" t="s">
        <v>171</v>
      </c>
      <c r="CJ28" s="15" t="s">
        <v>171</v>
      </c>
      <c r="CK28" s="14" t="s">
        <v>171</v>
      </c>
      <c r="CL28" s="13">
        <v>18</v>
      </c>
      <c r="CM28" s="13">
        <v>18</v>
      </c>
      <c r="CN28" s="13" t="s">
        <v>171</v>
      </c>
      <c r="CO28" s="13" t="s">
        <v>171</v>
      </c>
      <c r="CP28" s="13" t="s">
        <v>171</v>
      </c>
      <c r="CQ28" s="13" t="s">
        <v>171</v>
      </c>
      <c r="CR28" s="13">
        <v>18</v>
      </c>
      <c r="CS28" s="13">
        <v>18</v>
      </c>
      <c r="CT28" s="13">
        <v>18</v>
      </c>
      <c r="CU28" s="13">
        <v>18</v>
      </c>
      <c r="CV28" s="15">
        <v>18</v>
      </c>
      <c r="CW28" s="14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5"/>
      <c r="DI28" s="14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5"/>
    </row>
    <row r="29" spans="1:124" x14ac:dyDescent="0.25">
      <c r="A29" s="13"/>
      <c r="B29" s="13"/>
      <c r="C29" s="13"/>
      <c r="D29" s="16" t="s">
        <v>52</v>
      </c>
      <c r="E29" s="14">
        <v>18</v>
      </c>
      <c r="F29" s="13">
        <v>18</v>
      </c>
      <c r="G29" s="13" t="s">
        <v>171</v>
      </c>
      <c r="H29" s="13" t="s">
        <v>171</v>
      </c>
      <c r="I29" s="13" t="s">
        <v>171</v>
      </c>
      <c r="J29" s="13" t="s">
        <v>171</v>
      </c>
      <c r="K29" s="13" t="s">
        <v>167</v>
      </c>
      <c r="L29" s="13" t="s">
        <v>167</v>
      </c>
      <c r="M29" s="13" t="s">
        <v>167</v>
      </c>
      <c r="N29" s="13" t="s">
        <v>167</v>
      </c>
      <c r="O29" s="13" t="s">
        <v>167</v>
      </c>
      <c r="P29" s="15" t="s">
        <v>167</v>
      </c>
      <c r="Q29" s="14">
        <v>18</v>
      </c>
      <c r="R29" s="13">
        <v>18</v>
      </c>
      <c r="S29" s="13" t="s">
        <v>171</v>
      </c>
      <c r="T29" s="13" t="s">
        <v>171</v>
      </c>
      <c r="U29" s="13" t="s">
        <v>171</v>
      </c>
      <c r="V29" s="13" t="s">
        <v>171</v>
      </c>
      <c r="W29" s="13">
        <v>18</v>
      </c>
      <c r="X29" s="13">
        <v>18</v>
      </c>
      <c r="Y29" s="13" t="s">
        <v>171</v>
      </c>
      <c r="Z29" s="13" t="s">
        <v>171</v>
      </c>
      <c r="AA29" s="13" t="s">
        <v>171</v>
      </c>
      <c r="AB29" s="15" t="s">
        <v>171</v>
      </c>
      <c r="AC29" s="14">
        <v>18</v>
      </c>
      <c r="AD29" s="13">
        <v>18</v>
      </c>
      <c r="AE29" s="13" t="s">
        <v>171</v>
      </c>
      <c r="AF29" s="13" t="s">
        <v>171</v>
      </c>
      <c r="AG29" s="13" t="s">
        <v>171</v>
      </c>
      <c r="AH29" s="13" t="s">
        <v>171</v>
      </c>
      <c r="AI29" s="13">
        <v>18</v>
      </c>
      <c r="AJ29" s="13">
        <v>18</v>
      </c>
      <c r="AK29" s="13" t="s">
        <v>171</v>
      </c>
      <c r="AL29" s="13" t="s">
        <v>171</v>
      </c>
      <c r="AM29" s="13" t="s">
        <v>171</v>
      </c>
      <c r="AN29" s="15" t="s">
        <v>171</v>
      </c>
      <c r="AO29" s="14">
        <v>18</v>
      </c>
      <c r="AP29" s="13">
        <v>18</v>
      </c>
      <c r="AQ29" s="13" t="s">
        <v>171</v>
      </c>
      <c r="AR29" s="13" t="s">
        <v>171</v>
      </c>
      <c r="AS29" s="13" t="s">
        <v>171</v>
      </c>
      <c r="AT29" s="13" t="s">
        <v>171</v>
      </c>
      <c r="AU29" s="13">
        <v>18</v>
      </c>
      <c r="AV29" s="13">
        <v>18</v>
      </c>
      <c r="AW29" s="13" t="s">
        <v>171</v>
      </c>
      <c r="AX29" s="13" t="s">
        <v>171</v>
      </c>
      <c r="AY29" s="13" t="s">
        <v>171</v>
      </c>
      <c r="AZ29" s="15" t="s">
        <v>171</v>
      </c>
      <c r="BA29" s="14">
        <v>18</v>
      </c>
      <c r="BB29" s="13">
        <v>18</v>
      </c>
      <c r="BC29" s="13" t="s">
        <v>171</v>
      </c>
      <c r="BD29" s="13" t="s">
        <v>171</v>
      </c>
      <c r="BE29" s="13" t="s">
        <v>171</v>
      </c>
      <c r="BF29" s="13" t="s">
        <v>171</v>
      </c>
      <c r="BG29" s="13">
        <v>18</v>
      </c>
      <c r="BH29" s="13">
        <v>18</v>
      </c>
      <c r="BI29" s="13" t="s">
        <v>171</v>
      </c>
      <c r="BJ29" s="13" t="s">
        <v>171</v>
      </c>
      <c r="BK29" s="13" t="s">
        <v>171</v>
      </c>
      <c r="BL29" s="15" t="s">
        <v>171</v>
      </c>
      <c r="BM29" s="14" t="s">
        <v>166</v>
      </c>
      <c r="BN29" s="13">
        <v>18</v>
      </c>
      <c r="BO29" s="13">
        <v>18</v>
      </c>
      <c r="BP29" s="13" t="s">
        <v>171</v>
      </c>
      <c r="BQ29" s="13" t="s">
        <v>171</v>
      </c>
      <c r="BR29" s="13" t="s">
        <v>171</v>
      </c>
      <c r="BS29" s="13" t="s">
        <v>171</v>
      </c>
      <c r="BT29" s="13">
        <v>18</v>
      </c>
      <c r="BU29" s="13">
        <v>18</v>
      </c>
      <c r="BV29" s="13" t="s">
        <v>171</v>
      </c>
      <c r="BW29" s="13" t="s">
        <v>171</v>
      </c>
      <c r="BX29" s="15" t="s">
        <v>171</v>
      </c>
      <c r="BY29" s="14" t="s">
        <v>171</v>
      </c>
      <c r="BZ29" s="13">
        <v>18</v>
      </c>
      <c r="CA29" s="13">
        <v>18</v>
      </c>
      <c r="CB29" s="13" t="s">
        <v>171</v>
      </c>
      <c r="CC29" s="13" t="s">
        <v>171</v>
      </c>
      <c r="CD29" s="13" t="s">
        <v>171</v>
      </c>
      <c r="CE29" s="13" t="s">
        <v>171</v>
      </c>
      <c r="CF29" s="13">
        <v>18</v>
      </c>
      <c r="CG29" s="13">
        <v>18</v>
      </c>
      <c r="CH29" s="13" t="s">
        <v>171</v>
      </c>
      <c r="CI29" s="13" t="s">
        <v>171</v>
      </c>
      <c r="CJ29" s="15" t="s">
        <v>171</v>
      </c>
      <c r="CK29" s="14" t="s">
        <v>171</v>
      </c>
      <c r="CL29" s="13">
        <v>18</v>
      </c>
      <c r="CM29" s="13">
        <v>18</v>
      </c>
      <c r="CN29" s="13" t="s">
        <v>171</v>
      </c>
      <c r="CO29" s="13" t="s">
        <v>171</v>
      </c>
      <c r="CP29" s="13" t="s">
        <v>171</v>
      </c>
      <c r="CQ29" s="13" t="s">
        <v>171</v>
      </c>
      <c r="CR29" s="13">
        <v>18</v>
      </c>
      <c r="CS29" s="13">
        <v>18</v>
      </c>
      <c r="CT29" s="13">
        <v>18</v>
      </c>
      <c r="CU29" s="13">
        <v>18</v>
      </c>
      <c r="CV29" s="15">
        <v>18</v>
      </c>
      <c r="CW29" s="14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5"/>
      <c r="DI29" s="14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5"/>
    </row>
    <row r="30" spans="1:124" x14ac:dyDescent="0.25">
      <c r="A30" s="13"/>
      <c r="B30" s="13"/>
      <c r="C30" s="13"/>
      <c r="D30" s="16" t="s">
        <v>67</v>
      </c>
      <c r="E30" s="14">
        <v>18</v>
      </c>
      <c r="F30" s="13">
        <v>18</v>
      </c>
      <c r="G30" s="13" t="s">
        <v>171</v>
      </c>
      <c r="H30" s="13" t="s">
        <v>171</v>
      </c>
      <c r="I30" s="13" t="s">
        <v>171</v>
      </c>
      <c r="J30" s="13" t="s">
        <v>171</v>
      </c>
      <c r="K30" s="13" t="s">
        <v>166</v>
      </c>
      <c r="L30" s="13" t="s">
        <v>166</v>
      </c>
      <c r="M30" s="13" t="s">
        <v>166</v>
      </c>
      <c r="N30" s="13" t="s">
        <v>166</v>
      </c>
      <c r="O30" s="13" t="s">
        <v>166</v>
      </c>
      <c r="P30" s="15" t="s">
        <v>166</v>
      </c>
      <c r="Q30" s="14">
        <v>18</v>
      </c>
      <c r="R30" s="13">
        <v>18</v>
      </c>
      <c r="S30" s="13" t="s">
        <v>171</v>
      </c>
      <c r="T30" s="13" t="s">
        <v>171</v>
      </c>
      <c r="U30" s="13" t="s">
        <v>171</v>
      </c>
      <c r="V30" s="13" t="s">
        <v>171</v>
      </c>
      <c r="W30" s="13">
        <v>18</v>
      </c>
      <c r="X30" s="13">
        <v>18</v>
      </c>
      <c r="Y30" s="13" t="s">
        <v>171</v>
      </c>
      <c r="Z30" s="13" t="s">
        <v>171</v>
      </c>
      <c r="AA30" s="13" t="s">
        <v>171</v>
      </c>
      <c r="AB30" s="15" t="s">
        <v>171</v>
      </c>
      <c r="AC30" s="14">
        <v>18</v>
      </c>
      <c r="AD30" s="13">
        <v>18</v>
      </c>
      <c r="AE30" s="13" t="s">
        <v>171</v>
      </c>
      <c r="AF30" s="13" t="s">
        <v>171</v>
      </c>
      <c r="AG30" s="13" t="s">
        <v>171</v>
      </c>
      <c r="AH30" s="13" t="s">
        <v>171</v>
      </c>
      <c r="AI30" s="13">
        <v>18</v>
      </c>
      <c r="AJ30" s="13">
        <v>18</v>
      </c>
      <c r="AK30" s="13" t="s">
        <v>171</v>
      </c>
      <c r="AL30" s="13" t="s">
        <v>171</v>
      </c>
      <c r="AM30" s="13" t="s">
        <v>171</v>
      </c>
      <c r="AN30" s="15" t="s">
        <v>171</v>
      </c>
      <c r="AO30" s="14">
        <v>18</v>
      </c>
      <c r="AP30" s="13">
        <v>18</v>
      </c>
      <c r="AQ30" s="13" t="s">
        <v>171</v>
      </c>
      <c r="AR30" s="13" t="s">
        <v>171</v>
      </c>
      <c r="AS30" s="13" t="s">
        <v>171</v>
      </c>
      <c r="AT30" s="13" t="s">
        <v>171</v>
      </c>
      <c r="AU30" s="13">
        <v>18</v>
      </c>
      <c r="AV30" s="13">
        <v>18</v>
      </c>
      <c r="AW30" s="13" t="s">
        <v>171</v>
      </c>
      <c r="AX30" s="13" t="s">
        <v>171</v>
      </c>
      <c r="AY30" s="13" t="s">
        <v>171</v>
      </c>
      <c r="AZ30" s="15" t="s">
        <v>171</v>
      </c>
      <c r="BA30" s="14">
        <v>18</v>
      </c>
      <c r="BB30" s="13">
        <v>18</v>
      </c>
      <c r="BC30" s="13" t="s">
        <v>171</v>
      </c>
      <c r="BD30" s="13" t="s">
        <v>171</v>
      </c>
      <c r="BE30" s="13" t="s">
        <v>171</v>
      </c>
      <c r="BF30" s="13" t="s">
        <v>171</v>
      </c>
      <c r="BG30" s="13">
        <v>18</v>
      </c>
      <c r="BH30" s="13">
        <v>18</v>
      </c>
      <c r="BI30" s="13" t="s">
        <v>171</v>
      </c>
      <c r="BJ30" s="13" t="s">
        <v>171</v>
      </c>
      <c r="BK30" s="13" t="s">
        <v>171</v>
      </c>
      <c r="BL30" s="15" t="s">
        <v>171</v>
      </c>
      <c r="BM30" s="14">
        <v>18</v>
      </c>
      <c r="BN30" s="13">
        <v>18</v>
      </c>
      <c r="BO30" s="13" t="s">
        <v>171</v>
      </c>
      <c r="BP30" s="13" t="s">
        <v>171</v>
      </c>
      <c r="BQ30" s="13" t="s">
        <v>171</v>
      </c>
      <c r="BR30" s="13" t="s">
        <v>171</v>
      </c>
      <c r="BS30" s="13">
        <v>18</v>
      </c>
      <c r="BT30" s="13">
        <v>18</v>
      </c>
      <c r="BU30" s="13" t="s">
        <v>171</v>
      </c>
      <c r="BV30" s="13" t="s">
        <v>171</v>
      </c>
      <c r="BW30" s="13" t="s">
        <v>171</v>
      </c>
      <c r="BX30" s="15" t="s">
        <v>171</v>
      </c>
      <c r="BY30" s="14">
        <v>18</v>
      </c>
      <c r="BZ30" s="13">
        <v>18</v>
      </c>
      <c r="CA30" s="13" t="s">
        <v>171</v>
      </c>
      <c r="CB30" s="13" t="s">
        <v>171</v>
      </c>
      <c r="CC30" s="13" t="s">
        <v>171</v>
      </c>
      <c r="CD30" s="13" t="s">
        <v>171</v>
      </c>
      <c r="CE30" s="13">
        <v>18</v>
      </c>
      <c r="CF30" s="13">
        <v>18</v>
      </c>
      <c r="CG30" s="13" t="s">
        <v>171</v>
      </c>
      <c r="CH30" s="13" t="s">
        <v>171</v>
      </c>
      <c r="CI30" s="13" t="s">
        <v>171</v>
      </c>
      <c r="CJ30" s="15" t="s">
        <v>171</v>
      </c>
      <c r="CK30" s="14">
        <v>18</v>
      </c>
      <c r="CL30" s="13">
        <v>18</v>
      </c>
      <c r="CM30" s="13" t="s">
        <v>171</v>
      </c>
      <c r="CN30" s="13" t="s">
        <v>171</v>
      </c>
      <c r="CO30" s="13" t="s">
        <v>171</v>
      </c>
      <c r="CP30" s="13" t="s">
        <v>171</v>
      </c>
      <c r="CQ30" s="13">
        <v>18</v>
      </c>
      <c r="CR30" s="13">
        <v>18</v>
      </c>
      <c r="CS30" s="13">
        <v>18</v>
      </c>
      <c r="CT30" s="13">
        <v>18</v>
      </c>
      <c r="CU30" s="13">
        <v>18</v>
      </c>
      <c r="CV30" s="15">
        <v>18</v>
      </c>
      <c r="CW30" s="14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5"/>
      <c r="DI30" s="14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5"/>
    </row>
    <row r="31" spans="1:124" x14ac:dyDescent="0.25">
      <c r="A31" s="13"/>
      <c r="B31" s="13"/>
      <c r="C31" s="13"/>
      <c r="D31" s="16" t="s">
        <v>70</v>
      </c>
      <c r="E31" s="14">
        <v>18</v>
      </c>
      <c r="F31" s="13">
        <v>18</v>
      </c>
      <c r="G31" s="13" t="s">
        <v>171</v>
      </c>
      <c r="H31" s="13" t="s">
        <v>171</v>
      </c>
      <c r="I31" s="13" t="s">
        <v>171</v>
      </c>
      <c r="J31" s="13" t="s">
        <v>171</v>
      </c>
      <c r="K31" s="13" t="s">
        <v>166</v>
      </c>
      <c r="L31" s="13" t="s">
        <v>166</v>
      </c>
      <c r="M31" s="13" t="s">
        <v>166</v>
      </c>
      <c r="N31" s="13" t="s">
        <v>166</v>
      </c>
      <c r="O31" s="13" t="s">
        <v>166</v>
      </c>
      <c r="P31" s="15" t="s">
        <v>166</v>
      </c>
      <c r="Q31" s="14" t="s">
        <v>166</v>
      </c>
      <c r="R31" s="13">
        <v>18</v>
      </c>
      <c r="S31" s="13">
        <v>18</v>
      </c>
      <c r="T31" s="13" t="s">
        <v>171</v>
      </c>
      <c r="U31" s="13" t="s">
        <v>171</v>
      </c>
      <c r="V31" s="13" t="s">
        <v>171</v>
      </c>
      <c r="W31" s="13" t="s">
        <v>171</v>
      </c>
      <c r="X31" s="13">
        <v>18</v>
      </c>
      <c r="Y31" s="13">
        <v>18</v>
      </c>
      <c r="Z31" s="13" t="s">
        <v>171</v>
      </c>
      <c r="AA31" s="13" t="s">
        <v>171</v>
      </c>
      <c r="AB31" s="15" t="s">
        <v>171</v>
      </c>
      <c r="AC31" s="14" t="s">
        <v>171</v>
      </c>
      <c r="AD31" s="13">
        <v>18</v>
      </c>
      <c r="AE31" s="13">
        <v>18</v>
      </c>
      <c r="AF31" s="13" t="s">
        <v>171</v>
      </c>
      <c r="AG31" s="13" t="s">
        <v>171</v>
      </c>
      <c r="AH31" s="13" t="s">
        <v>171</v>
      </c>
      <c r="AI31" s="13">
        <v>18</v>
      </c>
      <c r="AJ31" s="13">
        <v>18</v>
      </c>
      <c r="AK31" s="13" t="s">
        <v>171</v>
      </c>
      <c r="AL31" s="13" t="s">
        <v>171</v>
      </c>
      <c r="AM31" s="13" t="s">
        <v>171</v>
      </c>
      <c r="AN31" s="15" t="s">
        <v>171</v>
      </c>
      <c r="AO31" s="14">
        <v>18</v>
      </c>
      <c r="AP31" s="13">
        <v>18</v>
      </c>
      <c r="AQ31" s="13" t="s">
        <v>171</v>
      </c>
      <c r="AR31" s="13" t="s">
        <v>171</v>
      </c>
      <c r="AS31" s="13" t="s">
        <v>171</v>
      </c>
      <c r="AT31" s="13" t="s">
        <v>171</v>
      </c>
      <c r="AU31" s="13">
        <v>18</v>
      </c>
      <c r="AV31" s="13">
        <v>18</v>
      </c>
      <c r="AW31" s="13" t="s">
        <v>171</v>
      </c>
      <c r="AX31" s="13" t="s">
        <v>171</v>
      </c>
      <c r="AY31" s="13" t="s">
        <v>171</v>
      </c>
      <c r="AZ31" s="15" t="s">
        <v>171</v>
      </c>
      <c r="BA31" s="14">
        <v>18</v>
      </c>
      <c r="BB31" s="13">
        <v>18</v>
      </c>
      <c r="BC31" s="13" t="s">
        <v>171</v>
      </c>
      <c r="BD31" s="13" t="s">
        <v>171</v>
      </c>
      <c r="BE31" s="13" t="s">
        <v>171</v>
      </c>
      <c r="BF31" s="13" t="s">
        <v>171</v>
      </c>
      <c r="BG31" s="13">
        <v>18</v>
      </c>
      <c r="BH31" s="13">
        <v>18</v>
      </c>
      <c r="BI31" s="13" t="s">
        <v>171</v>
      </c>
      <c r="BJ31" s="13" t="s">
        <v>171</v>
      </c>
      <c r="BK31" s="13" t="s">
        <v>171</v>
      </c>
      <c r="BL31" s="15" t="s">
        <v>171</v>
      </c>
      <c r="BM31" s="14">
        <v>0</v>
      </c>
      <c r="BN31" s="13">
        <v>0</v>
      </c>
      <c r="BO31" s="13">
        <v>0</v>
      </c>
      <c r="BP31" s="13">
        <v>0</v>
      </c>
      <c r="BQ31" s="13">
        <v>0</v>
      </c>
      <c r="BR31" s="13">
        <v>0</v>
      </c>
      <c r="BS31" s="13">
        <v>0</v>
      </c>
      <c r="BT31" s="13">
        <v>0</v>
      </c>
      <c r="BU31" s="13">
        <v>0</v>
      </c>
      <c r="BV31" s="13">
        <v>0</v>
      </c>
      <c r="BW31" s="13" t="s">
        <v>166</v>
      </c>
      <c r="BX31" s="15" t="s">
        <v>166</v>
      </c>
      <c r="BY31" s="14" t="s">
        <v>166</v>
      </c>
      <c r="BZ31" s="13" t="s">
        <v>166</v>
      </c>
      <c r="CA31" s="13" t="s">
        <v>166</v>
      </c>
      <c r="CB31" s="13" t="s">
        <v>166</v>
      </c>
      <c r="CC31" s="13">
        <v>18</v>
      </c>
      <c r="CD31" s="13">
        <v>18</v>
      </c>
      <c r="CE31" s="13" t="s">
        <v>171</v>
      </c>
      <c r="CF31" s="13" t="s">
        <v>171</v>
      </c>
      <c r="CG31" s="13" t="s">
        <v>171</v>
      </c>
      <c r="CH31" s="13" t="s">
        <v>171</v>
      </c>
      <c r="CI31" s="13">
        <v>18</v>
      </c>
      <c r="CJ31" s="15">
        <v>18</v>
      </c>
      <c r="CK31" s="14" t="s">
        <v>171</v>
      </c>
      <c r="CL31" s="13" t="s">
        <v>171</v>
      </c>
      <c r="CM31" s="13" t="s">
        <v>171</v>
      </c>
      <c r="CN31" s="13" t="s">
        <v>171</v>
      </c>
      <c r="CO31" s="13">
        <v>18</v>
      </c>
      <c r="CP31" s="13">
        <v>18</v>
      </c>
      <c r="CQ31" s="13" t="s">
        <v>171</v>
      </c>
      <c r="CR31" s="13" t="s">
        <v>171</v>
      </c>
      <c r="CS31" s="13" t="s">
        <v>171</v>
      </c>
      <c r="CT31" s="13" t="s">
        <v>171</v>
      </c>
      <c r="CU31" s="13">
        <v>18</v>
      </c>
      <c r="CV31" s="15">
        <v>18</v>
      </c>
      <c r="CW31" s="14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5"/>
      <c r="DI31" s="14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5"/>
    </row>
    <row r="32" spans="1:124" x14ac:dyDescent="0.25">
      <c r="A32" s="13"/>
      <c r="B32" s="13"/>
      <c r="C32" s="13"/>
      <c r="D32" s="16" t="s">
        <v>74</v>
      </c>
      <c r="E32" s="14">
        <v>18</v>
      </c>
      <c r="F32" s="13">
        <v>18</v>
      </c>
      <c r="G32" s="13" t="s">
        <v>171</v>
      </c>
      <c r="H32" s="13" t="s">
        <v>171</v>
      </c>
      <c r="I32" s="13" t="s">
        <v>171</v>
      </c>
      <c r="J32" s="13" t="s">
        <v>171</v>
      </c>
      <c r="K32" s="13" t="s">
        <v>166</v>
      </c>
      <c r="L32" s="13" t="s">
        <v>166</v>
      </c>
      <c r="M32" s="13" t="s">
        <v>166</v>
      </c>
      <c r="N32" s="13" t="s">
        <v>166</v>
      </c>
      <c r="O32" s="13" t="s">
        <v>166</v>
      </c>
      <c r="P32" s="15" t="s">
        <v>166</v>
      </c>
      <c r="Q32" s="14" t="s">
        <v>166</v>
      </c>
      <c r="R32" s="13">
        <v>18</v>
      </c>
      <c r="S32" s="13">
        <v>18</v>
      </c>
      <c r="T32" s="13" t="s">
        <v>171</v>
      </c>
      <c r="U32" s="13" t="s">
        <v>171</v>
      </c>
      <c r="V32" s="13" t="s">
        <v>171</v>
      </c>
      <c r="W32" s="13" t="s">
        <v>171</v>
      </c>
      <c r="X32" s="13">
        <v>18</v>
      </c>
      <c r="Y32" s="13">
        <v>18</v>
      </c>
      <c r="Z32" s="13" t="s">
        <v>171</v>
      </c>
      <c r="AA32" s="13" t="s">
        <v>171</v>
      </c>
      <c r="AB32" s="15" t="s">
        <v>171</v>
      </c>
      <c r="AC32" s="14" t="s">
        <v>171</v>
      </c>
      <c r="AD32" s="13">
        <v>18</v>
      </c>
      <c r="AE32" s="13">
        <v>18</v>
      </c>
      <c r="AF32" s="13" t="s">
        <v>171</v>
      </c>
      <c r="AG32" s="13" t="s">
        <v>171</v>
      </c>
      <c r="AH32" s="13" t="s">
        <v>171</v>
      </c>
      <c r="AI32" s="13">
        <v>18</v>
      </c>
      <c r="AJ32" s="13">
        <v>18</v>
      </c>
      <c r="AK32" s="13" t="s">
        <v>171</v>
      </c>
      <c r="AL32" s="13" t="s">
        <v>171</v>
      </c>
      <c r="AM32" s="13" t="s">
        <v>171</v>
      </c>
      <c r="AN32" s="15" t="s">
        <v>171</v>
      </c>
      <c r="AO32" s="14">
        <v>18</v>
      </c>
      <c r="AP32" s="13">
        <v>18</v>
      </c>
      <c r="AQ32" s="13" t="s">
        <v>171</v>
      </c>
      <c r="AR32" s="13" t="s">
        <v>171</v>
      </c>
      <c r="AS32" s="13" t="s">
        <v>171</v>
      </c>
      <c r="AT32" s="13" t="s">
        <v>171</v>
      </c>
      <c r="AU32" s="13">
        <v>18</v>
      </c>
      <c r="AV32" s="13">
        <v>18</v>
      </c>
      <c r="AW32" s="13" t="s">
        <v>171</v>
      </c>
      <c r="AX32" s="13" t="s">
        <v>171</v>
      </c>
      <c r="AY32" s="13" t="s">
        <v>171</v>
      </c>
      <c r="AZ32" s="15" t="s">
        <v>171</v>
      </c>
      <c r="BA32" s="14">
        <v>18</v>
      </c>
      <c r="BB32" s="13">
        <v>18</v>
      </c>
      <c r="BC32" s="13" t="s">
        <v>171</v>
      </c>
      <c r="BD32" s="13" t="s">
        <v>171</v>
      </c>
      <c r="BE32" s="13" t="s">
        <v>171</v>
      </c>
      <c r="BF32" s="13" t="s">
        <v>171</v>
      </c>
      <c r="BG32" s="13">
        <v>18</v>
      </c>
      <c r="BH32" s="13">
        <v>18</v>
      </c>
      <c r="BI32" s="13" t="s">
        <v>171</v>
      </c>
      <c r="BJ32" s="13" t="s">
        <v>171</v>
      </c>
      <c r="BK32" s="13" t="s">
        <v>171</v>
      </c>
      <c r="BL32" s="15" t="s">
        <v>171</v>
      </c>
      <c r="BM32" s="14" t="s">
        <v>170</v>
      </c>
      <c r="BN32" s="13" t="s">
        <v>170</v>
      </c>
      <c r="BO32" s="13" t="s">
        <v>170</v>
      </c>
      <c r="BP32" s="13" t="s">
        <v>170</v>
      </c>
      <c r="BQ32" s="13" t="s">
        <v>170</v>
      </c>
      <c r="BR32" s="13">
        <v>18</v>
      </c>
      <c r="BS32" s="13">
        <v>18</v>
      </c>
      <c r="BT32" s="13" t="s">
        <v>171</v>
      </c>
      <c r="BU32" s="13" t="s">
        <v>171</v>
      </c>
      <c r="BV32" s="13" t="s">
        <v>171</v>
      </c>
      <c r="BW32" s="13" t="s">
        <v>171</v>
      </c>
      <c r="BX32" s="15">
        <v>18</v>
      </c>
      <c r="BY32" s="14">
        <v>18</v>
      </c>
      <c r="BZ32" s="13" t="s">
        <v>171</v>
      </c>
      <c r="CA32" s="13" t="s">
        <v>171</v>
      </c>
      <c r="CB32" s="13" t="s">
        <v>171</v>
      </c>
      <c r="CC32" s="13" t="s">
        <v>171</v>
      </c>
      <c r="CD32" s="13">
        <v>18</v>
      </c>
      <c r="CE32" s="13">
        <v>18</v>
      </c>
      <c r="CF32" s="13" t="s">
        <v>171</v>
      </c>
      <c r="CG32" s="13" t="s">
        <v>171</v>
      </c>
      <c r="CH32" s="13" t="s">
        <v>171</v>
      </c>
      <c r="CI32" s="13" t="s">
        <v>171</v>
      </c>
      <c r="CJ32" s="15">
        <v>18</v>
      </c>
      <c r="CK32" s="14">
        <v>18</v>
      </c>
      <c r="CL32" s="13" t="s">
        <v>171</v>
      </c>
      <c r="CM32" s="13" t="s">
        <v>171</v>
      </c>
      <c r="CN32" s="13" t="s">
        <v>171</v>
      </c>
      <c r="CO32" s="13" t="s">
        <v>171</v>
      </c>
      <c r="CP32" s="13">
        <v>18</v>
      </c>
      <c r="CQ32" s="13">
        <v>18</v>
      </c>
      <c r="CR32" s="13">
        <v>18</v>
      </c>
      <c r="CS32" s="13">
        <v>18</v>
      </c>
      <c r="CT32" s="13">
        <v>18</v>
      </c>
      <c r="CU32" s="13">
        <v>18</v>
      </c>
      <c r="CV32" s="15">
        <v>18</v>
      </c>
      <c r="CW32" s="14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5"/>
      <c r="DI32" s="14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5"/>
    </row>
    <row r="33" spans="1:124" x14ac:dyDescent="0.25">
      <c r="A33" s="13"/>
      <c r="B33" s="13"/>
      <c r="C33" s="13"/>
      <c r="D33" s="16" t="s">
        <v>76</v>
      </c>
      <c r="E33" s="14">
        <v>18</v>
      </c>
      <c r="F33" s="13">
        <v>18</v>
      </c>
      <c r="G33" s="13" t="s">
        <v>171</v>
      </c>
      <c r="H33" s="13" t="s">
        <v>171</v>
      </c>
      <c r="I33" s="13" t="s">
        <v>171</v>
      </c>
      <c r="J33" s="13" t="s">
        <v>171</v>
      </c>
      <c r="K33" s="13" t="s">
        <v>166</v>
      </c>
      <c r="L33" s="13" t="s">
        <v>166</v>
      </c>
      <c r="M33" s="13" t="s">
        <v>166</v>
      </c>
      <c r="N33" s="13" t="s">
        <v>166</v>
      </c>
      <c r="O33" s="13" t="s">
        <v>166</v>
      </c>
      <c r="P33" s="15" t="s">
        <v>166</v>
      </c>
      <c r="Q33" s="14" t="s">
        <v>166</v>
      </c>
      <c r="R33" s="13">
        <v>18</v>
      </c>
      <c r="S33" s="13">
        <v>18</v>
      </c>
      <c r="T33" s="13" t="s">
        <v>173</v>
      </c>
      <c r="U33" s="13" t="s">
        <v>173</v>
      </c>
      <c r="V33" s="13" t="s">
        <v>173</v>
      </c>
      <c r="W33" s="13" t="s">
        <v>173</v>
      </c>
      <c r="X33" s="13">
        <v>18</v>
      </c>
      <c r="Y33" s="13">
        <v>18</v>
      </c>
      <c r="Z33" s="13" t="s">
        <v>173</v>
      </c>
      <c r="AA33" s="13" t="s">
        <v>173</v>
      </c>
      <c r="AB33" s="15" t="s">
        <v>173</v>
      </c>
      <c r="AC33" s="14" t="s">
        <v>173</v>
      </c>
      <c r="AD33" s="13">
        <v>18</v>
      </c>
      <c r="AE33" s="13">
        <v>18</v>
      </c>
      <c r="AF33" s="13" t="s">
        <v>171</v>
      </c>
      <c r="AG33" s="13" t="s">
        <v>171</v>
      </c>
      <c r="AH33" s="13" t="s">
        <v>171</v>
      </c>
      <c r="AI33" s="13">
        <v>18</v>
      </c>
      <c r="AJ33" s="13">
        <v>18</v>
      </c>
      <c r="AK33" s="13">
        <v>18</v>
      </c>
      <c r="AL33" s="13">
        <v>18</v>
      </c>
      <c r="AM33" s="13">
        <v>18</v>
      </c>
      <c r="AN33" s="15">
        <v>18</v>
      </c>
      <c r="AO33" s="14">
        <v>18</v>
      </c>
      <c r="AP33" s="13">
        <v>18</v>
      </c>
      <c r="AQ33" s="13">
        <v>18</v>
      </c>
      <c r="AR33" s="13">
        <v>18</v>
      </c>
      <c r="AS33" s="13">
        <v>18</v>
      </c>
      <c r="AT33" s="13">
        <v>18</v>
      </c>
      <c r="AU33" s="13">
        <v>0</v>
      </c>
      <c r="AV33" s="13">
        <v>0</v>
      </c>
      <c r="AW33" s="13">
        <v>0</v>
      </c>
      <c r="AX33" s="13">
        <v>0</v>
      </c>
      <c r="AY33" s="13">
        <v>0</v>
      </c>
      <c r="AZ33" s="15">
        <v>0</v>
      </c>
      <c r="BA33" s="14">
        <v>0</v>
      </c>
      <c r="BB33" s="13">
        <v>0</v>
      </c>
      <c r="BC33" s="13">
        <v>0</v>
      </c>
      <c r="BD33" s="13">
        <v>0</v>
      </c>
      <c r="BE33" s="13">
        <v>0</v>
      </c>
      <c r="BF33" s="13">
        <v>0</v>
      </c>
      <c r="BG33" s="13">
        <v>0</v>
      </c>
      <c r="BH33" s="13">
        <v>0</v>
      </c>
      <c r="BI33" s="13">
        <v>0</v>
      </c>
      <c r="BJ33" s="13">
        <v>0</v>
      </c>
      <c r="BK33" s="13">
        <v>0</v>
      </c>
      <c r="BL33" s="15" t="s">
        <v>169</v>
      </c>
      <c r="BM33" s="14" t="s">
        <v>171</v>
      </c>
      <c r="BN33" s="13" t="s">
        <v>171</v>
      </c>
      <c r="BO33" s="13" t="s">
        <v>171</v>
      </c>
      <c r="BP33" s="13" t="s">
        <v>171</v>
      </c>
      <c r="BQ33" s="13">
        <v>18</v>
      </c>
      <c r="BR33" s="13">
        <v>18</v>
      </c>
      <c r="BS33" s="13">
        <v>18</v>
      </c>
      <c r="BT33" s="13">
        <v>18</v>
      </c>
      <c r="BU33" s="13">
        <v>18</v>
      </c>
      <c r="BV33" s="13">
        <v>18</v>
      </c>
      <c r="BW33" s="13">
        <v>18</v>
      </c>
      <c r="BX33" s="15">
        <v>18</v>
      </c>
      <c r="BY33" s="14">
        <v>18</v>
      </c>
      <c r="BZ33" s="13">
        <v>18</v>
      </c>
      <c r="CA33" s="13">
        <v>18</v>
      </c>
      <c r="CB33" s="13">
        <v>0</v>
      </c>
      <c r="CC33" s="13">
        <v>0</v>
      </c>
      <c r="CD33" s="13">
        <v>0</v>
      </c>
      <c r="CE33" s="13">
        <v>0</v>
      </c>
      <c r="CF33" s="13">
        <v>0</v>
      </c>
      <c r="CG33" s="13">
        <v>0</v>
      </c>
      <c r="CH33" s="13">
        <v>0</v>
      </c>
      <c r="CI33" s="13">
        <v>0</v>
      </c>
      <c r="CJ33" s="15">
        <v>0</v>
      </c>
      <c r="CK33" s="14">
        <v>0</v>
      </c>
      <c r="CL33" s="13">
        <v>0</v>
      </c>
      <c r="CM33" s="13">
        <v>0</v>
      </c>
      <c r="CN33" s="13">
        <v>0</v>
      </c>
      <c r="CO33" s="13">
        <v>0</v>
      </c>
      <c r="CP33" s="13">
        <v>0</v>
      </c>
      <c r="CQ33" s="13">
        <v>0</v>
      </c>
      <c r="CR33" s="13">
        <v>18</v>
      </c>
      <c r="CS33" s="13">
        <v>18</v>
      </c>
      <c r="CT33" s="13">
        <v>18</v>
      </c>
      <c r="CU33" s="13">
        <v>18</v>
      </c>
      <c r="CV33" s="15">
        <v>18</v>
      </c>
      <c r="CW33" s="14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5"/>
      <c r="DI33" s="14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5"/>
    </row>
    <row r="34" spans="1:124" x14ac:dyDescent="0.25">
      <c r="A34" s="13"/>
      <c r="B34" s="13"/>
      <c r="C34" s="13"/>
      <c r="D34" s="16" t="s">
        <v>12</v>
      </c>
      <c r="E34" s="14" t="s">
        <v>171</v>
      </c>
      <c r="F34" s="13" t="s">
        <v>171</v>
      </c>
      <c r="G34" s="13" t="s">
        <v>171</v>
      </c>
      <c r="H34" s="13" t="s">
        <v>171</v>
      </c>
      <c r="I34" s="13">
        <v>18</v>
      </c>
      <c r="J34" s="13">
        <v>18</v>
      </c>
      <c r="K34" s="13">
        <v>18</v>
      </c>
      <c r="L34" s="13" t="s">
        <v>167</v>
      </c>
      <c r="M34" s="13" t="s">
        <v>167</v>
      </c>
      <c r="N34" s="13" t="s">
        <v>167</v>
      </c>
      <c r="O34" s="13" t="s">
        <v>167</v>
      </c>
      <c r="P34" s="15" t="s">
        <v>167</v>
      </c>
      <c r="Q34" s="14" t="s">
        <v>167</v>
      </c>
      <c r="R34" s="13" t="s">
        <v>167</v>
      </c>
      <c r="S34" s="13">
        <v>18</v>
      </c>
      <c r="T34" s="13">
        <v>18</v>
      </c>
      <c r="U34" s="13" t="s">
        <v>173</v>
      </c>
      <c r="V34" s="13" t="s">
        <v>173</v>
      </c>
      <c r="W34" s="13" t="s">
        <v>173</v>
      </c>
      <c r="X34" s="13" t="s">
        <v>173</v>
      </c>
      <c r="Y34" s="13">
        <v>18</v>
      </c>
      <c r="Z34" s="13">
        <v>18</v>
      </c>
      <c r="AA34" s="13" t="s">
        <v>173</v>
      </c>
      <c r="AB34" s="15" t="s">
        <v>173</v>
      </c>
      <c r="AC34" s="14" t="s">
        <v>173</v>
      </c>
      <c r="AD34" s="13" t="s">
        <v>173</v>
      </c>
      <c r="AE34" s="13">
        <v>18</v>
      </c>
      <c r="AF34" s="13">
        <v>18</v>
      </c>
      <c r="AG34" s="13" t="s">
        <v>171</v>
      </c>
      <c r="AH34" s="13" t="s">
        <v>171</v>
      </c>
      <c r="AI34" s="13">
        <v>18</v>
      </c>
      <c r="AJ34" s="13">
        <v>18</v>
      </c>
      <c r="AK34" s="13" t="s">
        <v>171</v>
      </c>
      <c r="AL34" s="13" t="s">
        <v>171</v>
      </c>
      <c r="AM34" s="13" t="s">
        <v>171</v>
      </c>
      <c r="AN34" s="15" t="s">
        <v>171</v>
      </c>
      <c r="AO34" s="14">
        <v>18</v>
      </c>
      <c r="AP34" s="13">
        <v>18</v>
      </c>
      <c r="AQ34" s="13">
        <v>18</v>
      </c>
      <c r="AR34" s="13">
        <v>18</v>
      </c>
      <c r="AS34" s="13">
        <v>18</v>
      </c>
      <c r="AT34" s="13">
        <v>18</v>
      </c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5">
        <v>0</v>
      </c>
      <c r="BA34" s="14">
        <v>0</v>
      </c>
      <c r="BB34" s="13">
        <v>0</v>
      </c>
      <c r="BC34" s="13">
        <v>0</v>
      </c>
      <c r="BD34" s="13">
        <v>0</v>
      </c>
      <c r="BE34" s="13">
        <v>0</v>
      </c>
      <c r="BF34" s="13">
        <v>0</v>
      </c>
      <c r="BG34" s="13">
        <v>0</v>
      </c>
      <c r="BH34" s="13">
        <v>0</v>
      </c>
      <c r="BI34" s="13">
        <v>0</v>
      </c>
      <c r="BJ34" s="13">
        <v>0</v>
      </c>
      <c r="BK34" s="13">
        <v>0</v>
      </c>
      <c r="BL34" s="15">
        <v>0</v>
      </c>
      <c r="BM34" s="14">
        <v>18</v>
      </c>
      <c r="BN34" s="13">
        <v>18</v>
      </c>
      <c r="BO34" s="13" t="s">
        <v>171</v>
      </c>
      <c r="BP34" s="13" t="s">
        <v>171</v>
      </c>
      <c r="BQ34" s="13" t="s">
        <v>171</v>
      </c>
      <c r="BR34" s="13" t="s">
        <v>171</v>
      </c>
      <c r="BS34" s="13">
        <v>18</v>
      </c>
      <c r="BT34" s="13">
        <v>18</v>
      </c>
      <c r="BU34" s="13" t="s">
        <v>171</v>
      </c>
      <c r="BV34" s="13" t="s">
        <v>171</v>
      </c>
      <c r="BW34" s="13" t="s">
        <v>171</v>
      </c>
      <c r="BX34" s="15" t="s">
        <v>171</v>
      </c>
      <c r="BY34" s="14">
        <v>18</v>
      </c>
      <c r="BZ34" s="13">
        <v>18</v>
      </c>
      <c r="CA34" s="13" t="s">
        <v>171</v>
      </c>
      <c r="CB34" s="13" t="s">
        <v>171</v>
      </c>
      <c r="CC34" s="13" t="s">
        <v>171</v>
      </c>
      <c r="CD34" s="13" t="s">
        <v>171</v>
      </c>
      <c r="CE34" s="13">
        <v>18</v>
      </c>
      <c r="CF34" s="13">
        <v>18</v>
      </c>
      <c r="CG34" s="13" t="s">
        <v>171</v>
      </c>
      <c r="CH34" s="13" t="s">
        <v>171</v>
      </c>
      <c r="CI34" s="13" t="s">
        <v>171</v>
      </c>
      <c r="CJ34" s="15" t="s">
        <v>171</v>
      </c>
      <c r="CK34" s="14" t="s">
        <v>170</v>
      </c>
      <c r="CL34" s="13" t="s">
        <v>170</v>
      </c>
      <c r="CM34" s="13" t="s">
        <v>170</v>
      </c>
      <c r="CN34" s="13" t="s">
        <v>170</v>
      </c>
      <c r="CO34" s="13" t="s">
        <v>170</v>
      </c>
      <c r="CP34" s="13" t="s">
        <v>170</v>
      </c>
      <c r="CQ34" s="13">
        <v>18</v>
      </c>
      <c r="CR34" s="13">
        <v>18</v>
      </c>
      <c r="CS34" s="13">
        <v>18</v>
      </c>
      <c r="CT34" s="13">
        <v>18</v>
      </c>
      <c r="CU34" s="13">
        <v>18</v>
      </c>
      <c r="CV34" s="15">
        <v>18</v>
      </c>
      <c r="CW34" s="14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5"/>
      <c r="DI34" s="14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5"/>
    </row>
    <row r="35" spans="1:124" x14ac:dyDescent="0.25">
      <c r="A35" s="13"/>
      <c r="B35" s="13"/>
      <c r="C35" s="13"/>
      <c r="D35" s="16" t="s">
        <v>31</v>
      </c>
      <c r="E35" s="14">
        <v>18</v>
      </c>
      <c r="F35" s="13" t="s">
        <v>171</v>
      </c>
      <c r="G35" s="13" t="s">
        <v>171</v>
      </c>
      <c r="H35" s="13" t="s">
        <v>171</v>
      </c>
      <c r="I35" s="13" t="s">
        <v>171</v>
      </c>
      <c r="J35" s="13">
        <v>18</v>
      </c>
      <c r="K35" s="13">
        <v>18</v>
      </c>
      <c r="L35" s="13" t="s">
        <v>167</v>
      </c>
      <c r="M35" s="13" t="s">
        <v>167</v>
      </c>
      <c r="N35" s="13" t="s">
        <v>167</v>
      </c>
      <c r="O35" s="13" t="s">
        <v>167</v>
      </c>
      <c r="P35" s="15" t="s">
        <v>167</v>
      </c>
      <c r="Q35" s="14" t="s">
        <v>167</v>
      </c>
      <c r="R35" s="13" t="s">
        <v>167</v>
      </c>
      <c r="S35" s="13">
        <v>18</v>
      </c>
      <c r="T35" s="13">
        <v>18</v>
      </c>
      <c r="U35" s="13" t="s">
        <v>171</v>
      </c>
      <c r="V35" s="13" t="s">
        <v>171</v>
      </c>
      <c r="W35" s="13" t="s">
        <v>171</v>
      </c>
      <c r="X35" s="13" t="s">
        <v>171</v>
      </c>
      <c r="Y35" s="13">
        <v>18</v>
      </c>
      <c r="Z35" s="13">
        <v>18</v>
      </c>
      <c r="AA35" s="13" t="s">
        <v>171</v>
      </c>
      <c r="AB35" s="15" t="s">
        <v>171</v>
      </c>
      <c r="AC35" s="14" t="s">
        <v>171</v>
      </c>
      <c r="AD35" s="13" t="s">
        <v>171</v>
      </c>
      <c r="AE35" s="13">
        <v>18</v>
      </c>
      <c r="AF35" s="13">
        <v>18</v>
      </c>
      <c r="AG35" s="13" t="s">
        <v>171</v>
      </c>
      <c r="AH35" s="13" t="s">
        <v>171</v>
      </c>
      <c r="AI35" s="13">
        <v>18</v>
      </c>
      <c r="AJ35" s="13">
        <v>18</v>
      </c>
      <c r="AK35" s="13" t="s">
        <v>171</v>
      </c>
      <c r="AL35" s="13" t="s">
        <v>171</v>
      </c>
      <c r="AM35" s="13" t="s">
        <v>171</v>
      </c>
      <c r="AN35" s="15" t="s">
        <v>171</v>
      </c>
      <c r="AO35" s="14">
        <v>18</v>
      </c>
      <c r="AP35" s="13">
        <v>18</v>
      </c>
      <c r="AQ35" s="13" t="s">
        <v>171</v>
      </c>
      <c r="AR35" s="13" t="s">
        <v>171</v>
      </c>
      <c r="AS35" s="13" t="s">
        <v>171</v>
      </c>
      <c r="AT35" s="13" t="s">
        <v>171</v>
      </c>
      <c r="AU35" s="13">
        <v>18</v>
      </c>
      <c r="AV35" s="13">
        <v>18</v>
      </c>
      <c r="AW35" s="13" t="s">
        <v>171</v>
      </c>
      <c r="AX35" s="13" t="s">
        <v>171</v>
      </c>
      <c r="AY35" s="13" t="s">
        <v>171</v>
      </c>
      <c r="AZ35" s="15" t="s">
        <v>171</v>
      </c>
      <c r="BA35" s="14">
        <v>18</v>
      </c>
      <c r="BB35" s="13">
        <v>18</v>
      </c>
      <c r="BC35" s="13" t="s">
        <v>171</v>
      </c>
      <c r="BD35" s="13" t="s">
        <v>171</v>
      </c>
      <c r="BE35" s="13" t="s">
        <v>171</v>
      </c>
      <c r="BF35" s="13" t="s">
        <v>171</v>
      </c>
      <c r="BG35" s="13">
        <v>18</v>
      </c>
      <c r="BH35" s="13">
        <v>18</v>
      </c>
      <c r="BI35" s="13" t="s">
        <v>171</v>
      </c>
      <c r="BJ35" s="13" t="s">
        <v>171</v>
      </c>
      <c r="BK35" s="13" t="s">
        <v>171</v>
      </c>
      <c r="BL35" s="15" t="s">
        <v>171</v>
      </c>
      <c r="BM35" s="14">
        <v>18</v>
      </c>
      <c r="BN35" s="13">
        <v>18</v>
      </c>
      <c r="BO35" s="13">
        <v>18</v>
      </c>
      <c r="BP35" s="13">
        <v>18</v>
      </c>
      <c r="BQ35" s="13">
        <v>18</v>
      </c>
      <c r="BR35" s="13">
        <v>0</v>
      </c>
      <c r="BS35" s="13">
        <v>0</v>
      </c>
      <c r="BT35" s="13">
        <v>0</v>
      </c>
      <c r="BU35" s="13">
        <v>0</v>
      </c>
      <c r="BV35" s="13">
        <v>0</v>
      </c>
      <c r="BW35" s="13">
        <v>0</v>
      </c>
      <c r="BX35" s="15">
        <v>0</v>
      </c>
      <c r="BY35" s="14">
        <v>0</v>
      </c>
      <c r="BZ35" s="13">
        <v>0</v>
      </c>
      <c r="CA35" s="13">
        <v>0</v>
      </c>
      <c r="CB35" s="13">
        <v>0</v>
      </c>
      <c r="CC35" s="13">
        <v>0</v>
      </c>
      <c r="CD35" s="13">
        <v>0</v>
      </c>
      <c r="CE35" s="13">
        <v>0</v>
      </c>
      <c r="CF35" s="13">
        <v>0</v>
      </c>
      <c r="CG35" s="13">
        <v>0</v>
      </c>
      <c r="CH35" s="13">
        <v>0</v>
      </c>
      <c r="CI35" s="13" t="s">
        <v>166</v>
      </c>
      <c r="CJ35" s="15" t="s">
        <v>166</v>
      </c>
      <c r="CK35" s="14" t="s">
        <v>166</v>
      </c>
      <c r="CL35" s="13" t="s">
        <v>166</v>
      </c>
      <c r="CM35" s="13" t="s">
        <v>166</v>
      </c>
      <c r="CN35" s="13" t="s">
        <v>166</v>
      </c>
      <c r="CO35" s="13">
        <v>18</v>
      </c>
      <c r="CP35" s="13">
        <v>18</v>
      </c>
      <c r="CQ35" s="13" t="s">
        <v>171</v>
      </c>
      <c r="CR35" s="13" t="s">
        <v>171</v>
      </c>
      <c r="CS35" s="13" t="s">
        <v>171</v>
      </c>
      <c r="CT35" s="13" t="s">
        <v>171</v>
      </c>
      <c r="CU35" s="13">
        <v>18</v>
      </c>
      <c r="CV35" s="15">
        <v>18</v>
      </c>
      <c r="CW35" s="14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5"/>
      <c r="DI35" s="14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5"/>
    </row>
    <row r="36" spans="1:124" x14ac:dyDescent="0.25">
      <c r="A36" s="13"/>
      <c r="B36" s="13"/>
      <c r="C36" s="13"/>
      <c r="D36" s="16" t="s">
        <v>51</v>
      </c>
      <c r="E36" s="14">
        <v>18</v>
      </c>
      <c r="F36" s="13">
        <v>18</v>
      </c>
      <c r="G36" s="13" t="s">
        <v>171</v>
      </c>
      <c r="H36" s="13" t="s">
        <v>171</v>
      </c>
      <c r="I36" s="13" t="s">
        <v>171</v>
      </c>
      <c r="J36" s="13" t="s">
        <v>171</v>
      </c>
      <c r="K36" s="13">
        <v>18</v>
      </c>
      <c r="L36" s="13" t="s">
        <v>166</v>
      </c>
      <c r="M36" s="13" t="s">
        <v>166</v>
      </c>
      <c r="N36" s="13" t="s">
        <v>166</v>
      </c>
      <c r="O36" s="13" t="s">
        <v>166</v>
      </c>
      <c r="P36" s="15" t="s">
        <v>166</v>
      </c>
      <c r="Q36" s="14" t="s">
        <v>166</v>
      </c>
      <c r="R36" s="13" t="s">
        <v>166</v>
      </c>
      <c r="S36" s="13">
        <v>18</v>
      </c>
      <c r="T36" s="13">
        <v>18</v>
      </c>
      <c r="U36" s="13" t="s">
        <v>172</v>
      </c>
      <c r="V36" s="13" t="s">
        <v>172</v>
      </c>
      <c r="W36" s="13" t="s">
        <v>172</v>
      </c>
      <c r="X36" s="13" t="s">
        <v>172</v>
      </c>
      <c r="Y36" s="13">
        <v>18</v>
      </c>
      <c r="Z36" s="13">
        <v>18</v>
      </c>
      <c r="AA36" s="13" t="s">
        <v>173</v>
      </c>
      <c r="AB36" s="15" t="s">
        <v>173</v>
      </c>
      <c r="AC36" s="14" t="s">
        <v>173</v>
      </c>
      <c r="AD36" s="13" t="s">
        <v>173</v>
      </c>
      <c r="AE36" s="13">
        <v>18</v>
      </c>
      <c r="AF36" s="13">
        <v>18</v>
      </c>
      <c r="AG36" s="13" t="s">
        <v>171</v>
      </c>
      <c r="AH36" s="13" t="s">
        <v>171</v>
      </c>
      <c r="AI36" s="13">
        <v>18</v>
      </c>
      <c r="AJ36" s="13">
        <v>18</v>
      </c>
      <c r="AK36" s="13" t="s">
        <v>171</v>
      </c>
      <c r="AL36" s="13" t="s">
        <v>171</v>
      </c>
      <c r="AM36" s="13" t="s">
        <v>171</v>
      </c>
      <c r="AN36" s="15" t="s">
        <v>171</v>
      </c>
      <c r="AO36" s="14">
        <v>18</v>
      </c>
      <c r="AP36" s="13">
        <v>18</v>
      </c>
      <c r="AQ36" s="13" t="s">
        <v>171</v>
      </c>
      <c r="AR36" s="13" t="s">
        <v>171</v>
      </c>
      <c r="AS36" s="13" t="s">
        <v>171</v>
      </c>
      <c r="AT36" s="13" t="s">
        <v>171</v>
      </c>
      <c r="AU36" s="13">
        <v>18</v>
      </c>
      <c r="AV36" s="13">
        <v>18</v>
      </c>
      <c r="AW36" s="13">
        <v>18</v>
      </c>
      <c r="AX36" s="13">
        <v>18</v>
      </c>
      <c r="AY36" s="13">
        <v>18</v>
      </c>
      <c r="AZ36" s="15">
        <v>18</v>
      </c>
      <c r="BA36" s="14">
        <v>18</v>
      </c>
      <c r="BB36" s="13">
        <v>18</v>
      </c>
      <c r="BC36" s="13">
        <v>18</v>
      </c>
      <c r="BD36" s="13">
        <v>18</v>
      </c>
      <c r="BE36" s="13">
        <v>0</v>
      </c>
      <c r="BF36" s="13">
        <v>0</v>
      </c>
      <c r="BG36" s="13">
        <v>0</v>
      </c>
      <c r="BH36" s="13">
        <v>0</v>
      </c>
      <c r="BI36" s="13">
        <v>0</v>
      </c>
      <c r="BJ36" s="13">
        <v>0</v>
      </c>
      <c r="BK36" s="13">
        <v>0</v>
      </c>
      <c r="BL36" s="15">
        <v>0</v>
      </c>
      <c r="BM36" s="14">
        <v>18</v>
      </c>
      <c r="BN36" s="13">
        <v>18</v>
      </c>
      <c r="BO36" s="13" t="s">
        <v>171</v>
      </c>
      <c r="BP36" s="13" t="s">
        <v>171</v>
      </c>
      <c r="BQ36" s="13" t="s">
        <v>171</v>
      </c>
      <c r="BR36" s="13" t="s">
        <v>171</v>
      </c>
      <c r="BS36" s="13">
        <v>18</v>
      </c>
      <c r="BT36" s="13">
        <v>18</v>
      </c>
      <c r="BU36" s="13" t="s">
        <v>171</v>
      </c>
      <c r="BV36" s="13" t="s">
        <v>171</v>
      </c>
      <c r="BW36" s="13" t="s">
        <v>171</v>
      </c>
      <c r="BX36" s="15" t="s">
        <v>171</v>
      </c>
      <c r="BY36" s="14">
        <v>18</v>
      </c>
      <c r="BZ36" s="13">
        <v>18</v>
      </c>
      <c r="CA36" s="13">
        <v>18</v>
      </c>
      <c r="CB36" s="13">
        <v>18</v>
      </c>
      <c r="CC36" s="13">
        <v>18</v>
      </c>
      <c r="CD36" s="13">
        <v>18</v>
      </c>
      <c r="CE36" s="13">
        <v>18</v>
      </c>
      <c r="CF36" s="13">
        <v>18</v>
      </c>
      <c r="CG36" s="13">
        <v>18</v>
      </c>
      <c r="CH36" s="13">
        <v>0</v>
      </c>
      <c r="CI36" s="13">
        <v>0</v>
      </c>
      <c r="CJ36" s="15">
        <v>0</v>
      </c>
      <c r="CK36" s="14">
        <v>0</v>
      </c>
      <c r="CL36" s="13">
        <v>0</v>
      </c>
      <c r="CM36" s="13">
        <v>0</v>
      </c>
      <c r="CN36" s="13">
        <v>0</v>
      </c>
      <c r="CO36" s="13">
        <v>0</v>
      </c>
      <c r="CP36" s="13">
        <v>0</v>
      </c>
      <c r="CQ36" s="13">
        <v>0</v>
      </c>
      <c r="CR36" s="13">
        <v>18</v>
      </c>
      <c r="CS36" s="13">
        <v>18</v>
      </c>
      <c r="CT36" s="13">
        <v>18</v>
      </c>
      <c r="CU36" s="13">
        <v>18</v>
      </c>
      <c r="CV36" s="15">
        <v>18</v>
      </c>
      <c r="CW36" s="14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5"/>
      <c r="DI36" s="14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5"/>
    </row>
    <row r="37" spans="1:124" x14ac:dyDescent="0.25">
      <c r="A37" s="13"/>
      <c r="B37" s="13"/>
      <c r="C37" s="13"/>
      <c r="D37" s="16" t="s">
        <v>9</v>
      </c>
      <c r="E37" s="14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 t="s">
        <v>149</v>
      </c>
      <c r="O37" s="13" t="s">
        <v>149</v>
      </c>
      <c r="P37" s="15" t="s">
        <v>149</v>
      </c>
      <c r="Q37" s="14" t="s">
        <v>149</v>
      </c>
      <c r="R37" s="13" t="s">
        <v>149</v>
      </c>
      <c r="S37" s="13" t="s">
        <v>149</v>
      </c>
      <c r="T37" s="13">
        <v>18</v>
      </c>
      <c r="U37" s="13">
        <v>18</v>
      </c>
      <c r="V37" s="13" t="s">
        <v>171</v>
      </c>
      <c r="W37" s="13" t="s">
        <v>171</v>
      </c>
      <c r="X37" s="13" t="s">
        <v>171</v>
      </c>
      <c r="Y37" s="13" t="s">
        <v>171</v>
      </c>
      <c r="Z37" s="13">
        <v>18</v>
      </c>
      <c r="AA37" s="13">
        <v>18</v>
      </c>
      <c r="AB37" s="15" t="s">
        <v>171</v>
      </c>
      <c r="AC37" s="14" t="s">
        <v>171</v>
      </c>
      <c r="AD37" s="13" t="s">
        <v>171</v>
      </c>
      <c r="AE37" s="13" t="s">
        <v>171</v>
      </c>
      <c r="AF37" s="13">
        <v>18</v>
      </c>
      <c r="AG37" s="13">
        <v>18</v>
      </c>
      <c r="AH37" s="13" t="s">
        <v>171</v>
      </c>
      <c r="AI37" s="13" t="s">
        <v>171</v>
      </c>
      <c r="AJ37" s="13" t="s">
        <v>171</v>
      </c>
      <c r="AK37" s="13" t="s">
        <v>171</v>
      </c>
      <c r="AL37" s="13">
        <v>18</v>
      </c>
      <c r="AM37" s="13">
        <v>18</v>
      </c>
      <c r="AN37" s="15" t="s">
        <v>171</v>
      </c>
      <c r="AO37" s="14" t="s">
        <v>171</v>
      </c>
      <c r="AP37" s="13" t="s">
        <v>171</v>
      </c>
      <c r="AQ37" s="13" t="s">
        <v>171</v>
      </c>
      <c r="AR37" s="13">
        <v>18</v>
      </c>
      <c r="AS37" s="13">
        <v>18</v>
      </c>
      <c r="AT37" s="13" t="s">
        <v>171</v>
      </c>
      <c r="AU37" s="13" t="s">
        <v>171</v>
      </c>
      <c r="AV37" s="13" t="s">
        <v>171</v>
      </c>
      <c r="AW37" s="13" t="s">
        <v>171</v>
      </c>
      <c r="AX37" s="13">
        <v>18</v>
      </c>
      <c r="AY37" s="13">
        <v>18</v>
      </c>
      <c r="AZ37" s="15" t="s">
        <v>171</v>
      </c>
      <c r="BA37" s="14" t="s">
        <v>171</v>
      </c>
      <c r="BB37" s="13" t="s">
        <v>171</v>
      </c>
      <c r="BC37" s="13" t="s">
        <v>171</v>
      </c>
      <c r="BD37" s="13">
        <v>18</v>
      </c>
      <c r="BE37" s="13">
        <v>18</v>
      </c>
      <c r="BF37" s="13" t="s">
        <v>171</v>
      </c>
      <c r="BG37" s="13" t="s">
        <v>171</v>
      </c>
      <c r="BH37" s="13" t="s">
        <v>171</v>
      </c>
      <c r="BI37" s="13" t="s">
        <v>171</v>
      </c>
      <c r="BJ37" s="13">
        <v>18</v>
      </c>
      <c r="BK37" s="13">
        <v>18</v>
      </c>
      <c r="BL37" s="15" t="s">
        <v>171</v>
      </c>
      <c r="BM37" s="14">
        <v>18</v>
      </c>
      <c r="BN37" s="13">
        <v>18</v>
      </c>
      <c r="BO37" s="13" t="s">
        <v>171</v>
      </c>
      <c r="BP37" s="13" t="s">
        <v>171</v>
      </c>
      <c r="BQ37" s="13" t="s">
        <v>171</v>
      </c>
      <c r="BR37" s="13" t="s">
        <v>171</v>
      </c>
      <c r="BS37" s="13">
        <v>18</v>
      </c>
      <c r="BT37" s="13">
        <v>18</v>
      </c>
      <c r="BU37" s="13" t="s">
        <v>171</v>
      </c>
      <c r="BV37" s="13" t="s">
        <v>171</v>
      </c>
      <c r="BW37" s="13" t="s">
        <v>171</v>
      </c>
      <c r="BX37" s="15" t="s">
        <v>171</v>
      </c>
      <c r="BY37" s="14">
        <v>18</v>
      </c>
      <c r="BZ37" s="13">
        <v>18</v>
      </c>
      <c r="CA37" s="13">
        <v>18</v>
      </c>
      <c r="CB37" s="13">
        <v>18</v>
      </c>
      <c r="CC37" s="13">
        <v>18</v>
      </c>
      <c r="CD37" s="13">
        <v>18</v>
      </c>
      <c r="CE37" s="13">
        <v>18</v>
      </c>
      <c r="CF37" s="13">
        <v>18</v>
      </c>
      <c r="CG37" s="13">
        <v>18</v>
      </c>
      <c r="CH37" s="13">
        <v>0</v>
      </c>
      <c r="CI37" s="13">
        <v>0</v>
      </c>
      <c r="CJ37" s="15">
        <v>0</v>
      </c>
      <c r="CK37" s="14">
        <v>0</v>
      </c>
      <c r="CL37" s="13">
        <v>0</v>
      </c>
      <c r="CM37" s="13">
        <v>0</v>
      </c>
      <c r="CN37" s="13">
        <v>0</v>
      </c>
      <c r="CO37" s="13">
        <v>0</v>
      </c>
      <c r="CP37" s="13">
        <v>0</v>
      </c>
      <c r="CQ37" s="13">
        <v>0</v>
      </c>
      <c r="CR37" s="13">
        <v>18</v>
      </c>
      <c r="CS37" s="13">
        <v>18</v>
      </c>
      <c r="CT37" s="13">
        <v>18</v>
      </c>
      <c r="CU37" s="13">
        <v>18</v>
      </c>
      <c r="CV37" s="15">
        <v>18</v>
      </c>
      <c r="CW37" s="14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5"/>
      <c r="DI37" s="14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5"/>
    </row>
    <row r="38" spans="1:124" x14ac:dyDescent="0.25">
      <c r="A38" s="13"/>
      <c r="B38" s="13"/>
      <c r="C38" s="13"/>
      <c r="D38" s="16" t="s">
        <v>65</v>
      </c>
      <c r="E38" s="14">
        <v>18</v>
      </c>
      <c r="F38" s="13">
        <v>18</v>
      </c>
      <c r="G38" s="13">
        <v>18</v>
      </c>
      <c r="H38" s="13">
        <v>18</v>
      </c>
      <c r="I38" s="13">
        <v>18</v>
      </c>
      <c r="J38" s="13">
        <v>18</v>
      </c>
      <c r="K38" s="13">
        <v>18</v>
      </c>
      <c r="L38" s="13">
        <v>18</v>
      </c>
      <c r="M38" s="13">
        <v>18</v>
      </c>
      <c r="N38" s="13" t="s">
        <v>167</v>
      </c>
      <c r="O38" s="13" t="s">
        <v>167</v>
      </c>
      <c r="P38" s="15" t="s">
        <v>167</v>
      </c>
      <c r="Q38" s="14" t="s">
        <v>167</v>
      </c>
      <c r="R38" s="13" t="s">
        <v>167</v>
      </c>
      <c r="S38" s="13" t="s">
        <v>167</v>
      </c>
      <c r="T38" s="13" t="s">
        <v>167</v>
      </c>
      <c r="U38" s="13" t="s">
        <v>167</v>
      </c>
      <c r="V38" s="13" t="s">
        <v>167</v>
      </c>
      <c r="W38" s="13" t="s">
        <v>167</v>
      </c>
      <c r="X38" s="13" t="s">
        <v>167</v>
      </c>
      <c r="Y38" s="13" t="s">
        <v>167</v>
      </c>
      <c r="Z38" s="13">
        <v>18</v>
      </c>
      <c r="AA38" s="13">
        <v>18</v>
      </c>
      <c r="AB38" s="15" t="s">
        <v>171</v>
      </c>
      <c r="AC38" s="14" t="s">
        <v>171</v>
      </c>
      <c r="AD38" s="13" t="s">
        <v>171</v>
      </c>
      <c r="AE38" s="13" t="s">
        <v>171</v>
      </c>
      <c r="AF38" s="13">
        <v>18</v>
      </c>
      <c r="AG38" s="13">
        <v>18</v>
      </c>
      <c r="AH38" s="13" t="s">
        <v>171</v>
      </c>
      <c r="AI38" s="13">
        <v>18</v>
      </c>
      <c r="AJ38" s="13">
        <v>18</v>
      </c>
      <c r="AK38" s="13" t="s">
        <v>173</v>
      </c>
      <c r="AL38" s="13" t="s">
        <v>173</v>
      </c>
      <c r="AM38" s="13" t="s">
        <v>173</v>
      </c>
      <c r="AN38" s="15" t="s">
        <v>173</v>
      </c>
      <c r="AO38" s="14">
        <v>18</v>
      </c>
      <c r="AP38" s="13">
        <v>18</v>
      </c>
      <c r="AQ38" s="13" t="s">
        <v>173</v>
      </c>
      <c r="AR38" s="13" t="s">
        <v>173</v>
      </c>
      <c r="AS38" s="13" t="s">
        <v>173</v>
      </c>
      <c r="AT38" s="13" t="s">
        <v>173</v>
      </c>
      <c r="AU38" s="13">
        <v>18</v>
      </c>
      <c r="AV38" s="13">
        <v>18</v>
      </c>
      <c r="AW38" s="13">
        <v>18</v>
      </c>
      <c r="AX38" s="13">
        <v>18</v>
      </c>
      <c r="AY38" s="13">
        <v>18</v>
      </c>
      <c r="AZ38" s="15">
        <v>18</v>
      </c>
      <c r="BA38" s="14">
        <v>18</v>
      </c>
      <c r="BB38" s="13">
        <v>0</v>
      </c>
      <c r="BC38" s="13">
        <v>0</v>
      </c>
      <c r="BD38" s="13">
        <v>0</v>
      </c>
      <c r="BE38" s="13">
        <v>0</v>
      </c>
      <c r="BF38" s="13">
        <v>0</v>
      </c>
      <c r="BG38" s="13">
        <v>0</v>
      </c>
      <c r="BH38" s="13">
        <v>0</v>
      </c>
      <c r="BI38" s="13">
        <v>0</v>
      </c>
      <c r="BJ38" s="13">
        <v>0</v>
      </c>
      <c r="BK38" s="13">
        <v>0</v>
      </c>
      <c r="BL38" s="15">
        <v>0</v>
      </c>
      <c r="BM38" s="14">
        <v>18</v>
      </c>
      <c r="BN38" s="13">
        <v>18</v>
      </c>
      <c r="BO38" s="13" t="s">
        <v>174</v>
      </c>
      <c r="BP38" s="13" t="s">
        <v>174</v>
      </c>
      <c r="BQ38" s="13" t="s">
        <v>174</v>
      </c>
      <c r="BR38" s="13" t="s">
        <v>174</v>
      </c>
      <c r="BS38" s="13">
        <v>18</v>
      </c>
      <c r="BT38" s="13">
        <v>18</v>
      </c>
      <c r="BU38" s="13" t="s">
        <v>174</v>
      </c>
      <c r="BV38" s="13" t="s">
        <v>174</v>
      </c>
      <c r="BW38" s="13" t="s">
        <v>174</v>
      </c>
      <c r="BX38" s="15" t="s">
        <v>174</v>
      </c>
      <c r="BY38" s="14">
        <v>18</v>
      </c>
      <c r="BZ38" s="13">
        <v>18</v>
      </c>
      <c r="CA38" s="13" t="s">
        <v>174</v>
      </c>
      <c r="CB38" s="13" t="s">
        <v>174</v>
      </c>
      <c r="CC38" s="13" t="s">
        <v>174</v>
      </c>
      <c r="CD38" s="13" t="s">
        <v>174</v>
      </c>
      <c r="CE38" s="13">
        <v>18</v>
      </c>
      <c r="CF38" s="13">
        <v>18</v>
      </c>
      <c r="CG38" s="13" t="s">
        <v>174</v>
      </c>
      <c r="CH38" s="13" t="s">
        <v>174</v>
      </c>
      <c r="CI38" s="13" t="s">
        <v>174</v>
      </c>
      <c r="CJ38" s="15" t="s">
        <v>174</v>
      </c>
      <c r="CK38" s="14">
        <v>18</v>
      </c>
      <c r="CL38" s="13">
        <v>18</v>
      </c>
      <c r="CM38" s="13">
        <v>18</v>
      </c>
      <c r="CN38" s="13">
        <v>18</v>
      </c>
      <c r="CO38" s="13">
        <v>18</v>
      </c>
      <c r="CP38" s="13">
        <v>18</v>
      </c>
      <c r="CQ38" s="13">
        <v>0</v>
      </c>
      <c r="CR38" s="13">
        <v>18</v>
      </c>
      <c r="CS38" s="13">
        <v>18</v>
      </c>
      <c r="CT38" s="13">
        <v>18</v>
      </c>
      <c r="CU38" s="13">
        <v>18</v>
      </c>
      <c r="CV38" s="15">
        <v>18</v>
      </c>
      <c r="CW38" s="14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5"/>
      <c r="DI38" s="14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5"/>
    </row>
    <row r="39" spans="1:124" x14ac:dyDescent="0.25">
      <c r="A39" s="13"/>
      <c r="B39" s="13"/>
      <c r="C39" s="13"/>
      <c r="D39" s="16" t="s">
        <v>71</v>
      </c>
      <c r="E39" s="14">
        <v>18</v>
      </c>
      <c r="F39" s="13">
        <v>18</v>
      </c>
      <c r="G39" s="13" t="s">
        <v>171</v>
      </c>
      <c r="H39" s="13" t="s">
        <v>171</v>
      </c>
      <c r="I39" s="13" t="s">
        <v>171</v>
      </c>
      <c r="J39" s="13" t="s">
        <v>171</v>
      </c>
      <c r="K39" s="13">
        <v>18</v>
      </c>
      <c r="L39" s="13">
        <v>18</v>
      </c>
      <c r="M39" s="13">
        <v>18</v>
      </c>
      <c r="N39" s="13" t="s">
        <v>166</v>
      </c>
      <c r="O39" s="13" t="s">
        <v>166</v>
      </c>
      <c r="P39" s="15" t="s">
        <v>166</v>
      </c>
      <c r="Q39" s="14" t="s">
        <v>166</v>
      </c>
      <c r="R39" s="13" t="s">
        <v>166</v>
      </c>
      <c r="S39" s="13" t="s">
        <v>166</v>
      </c>
      <c r="T39" s="13" t="s">
        <v>166</v>
      </c>
      <c r="U39" s="13" t="s">
        <v>166</v>
      </c>
      <c r="V39" s="13" t="s">
        <v>166</v>
      </c>
      <c r="W39" s="13" t="s">
        <v>166</v>
      </c>
      <c r="X39" s="13" t="s">
        <v>166</v>
      </c>
      <c r="Y39" s="13" t="s">
        <v>166</v>
      </c>
      <c r="Z39" s="13">
        <v>18</v>
      </c>
      <c r="AA39" s="13">
        <v>18</v>
      </c>
      <c r="AB39" s="15" t="s">
        <v>171</v>
      </c>
      <c r="AC39" s="14" t="s">
        <v>171</v>
      </c>
      <c r="AD39" s="13" t="s">
        <v>171</v>
      </c>
      <c r="AE39" s="13" t="s">
        <v>171</v>
      </c>
      <c r="AF39" s="13">
        <v>18</v>
      </c>
      <c r="AG39" s="13">
        <v>18</v>
      </c>
      <c r="AH39" s="13" t="s">
        <v>171</v>
      </c>
      <c r="AI39" s="13">
        <v>18</v>
      </c>
      <c r="AJ39" s="13">
        <v>18</v>
      </c>
      <c r="AK39" s="13" t="s">
        <v>173</v>
      </c>
      <c r="AL39" s="13" t="s">
        <v>173</v>
      </c>
      <c r="AM39" s="13" t="s">
        <v>173</v>
      </c>
      <c r="AN39" s="15" t="s">
        <v>173</v>
      </c>
      <c r="AO39" s="14">
        <v>18</v>
      </c>
      <c r="AP39" s="13">
        <v>18</v>
      </c>
      <c r="AQ39" s="13" t="s">
        <v>173</v>
      </c>
      <c r="AR39" s="13" t="s">
        <v>173</v>
      </c>
      <c r="AS39" s="13" t="s">
        <v>173</v>
      </c>
      <c r="AT39" s="13" t="s">
        <v>173</v>
      </c>
      <c r="AU39" s="13">
        <v>18</v>
      </c>
      <c r="AV39" s="13">
        <v>18</v>
      </c>
      <c r="AW39" s="13">
        <v>18</v>
      </c>
      <c r="AX39" s="13">
        <v>18</v>
      </c>
      <c r="AY39" s="13">
        <v>18</v>
      </c>
      <c r="AZ39" s="15">
        <v>18</v>
      </c>
      <c r="BA39" s="14">
        <v>18</v>
      </c>
      <c r="BB39" s="13">
        <v>0</v>
      </c>
      <c r="BC39" s="13">
        <v>0</v>
      </c>
      <c r="BD39" s="13">
        <v>0</v>
      </c>
      <c r="BE39" s="13">
        <v>0</v>
      </c>
      <c r="BF39" s="13">
        <v>0</v>
      </c>
      <c r="BG39" s="13">
        <v>0</v>
      </c>
      <c r="BH39" s="13">
        <v>0</v>
      </c>
      <c r="BI39" s="13">
        <v>0</v>
      </c>
      <c r="BJ39" s="13">
        <v>0</v>
      </c>
      <c r="BK39" s="13">
        <v>0</v>
      </c>
      <c r="BL39" s="15">
        <v>0</v>
      </c>
      <c r="BM39" s="14" t="s">
        <v>171</v>
      </c>
      <c r="BN39" s="13" t="s">
        <v>171</v>
      </c>
      <c r="BO39" s="13" t="s">
        <v>171</v>
      </c>
      <c r="BP39" s="13" t="s">
        <v>171</v>
      </c>
      <c r="BQ39" s="13">
        <v>18</v>
      </c>
      <c r="BR39" s="13">
        <v>18</v>
      </c>
      <c r="BS39" s="13">
        <v>18</v>
      </c>
      <c r="BT39" s="13">
        <v>18</v>
      </c>
      <c r="BU39" s="13">
        <v>18</v>
      </c>
      <c r="BV39" s="13">
        <v>18</v>
      </c>
      <c r="BW39" s="13">
        <v>18</v>
      </c>
      <c r="BX39" s="15">
        <v>18</v>
      </c>
      <c r="BY39" s="14">
        <v>18</v>
      </c>
      <c r="BZ39" s="13">
        <v>18</v>
      </c>
      <c r="CA39" s="13">
        <v>18</v>
      </c>
      <c r="CB39" s="13">
        <v>0</v>
      </c>
      <c r="CC39" s="13">
        <v>0</v>
      </c>
      <c r="CD39" s="13">
        <v>0</v>
      </c>
      <c r="CE39" s="13">
        <v>0</v>
      </c>
      <c r="CF39" s="13">
        <v>0</v>
      </c>
      <c r="CG39" s="13">
        <v>0</v>
      </c>
      <c r="CH39" s="13">
        <v>0</v>
      </c>
      <c r="CI39" s="13">
        <v>0</v>
      </c>
      <c r="CJ39" s="15">
        <v>0</v>
      </c>
      <c r="CK39" s="14">
        <v>0</v>
      </c>
      <c r="CL39" s="13">
        <v>0</v>
      </c>
      <c r="CM39" s="13">
        <v>0</v>
      </c>
      <c r="CN39" s="13">
        <v>0</v>
      </c>
      <c r="CO39" s="13">
        <v>0</v>
      </c>
      <c r="CP39" s="13">
        <v>0</v>
      </c>
      <c r="CQ39" s="13">
        <v>0</v>
      </c>
      <c r="CR39" s="13">
        <v>18</v>
      </c>
      <c r="CS39" s="13">
        <v>18</v>
      </c>
      <c r="CT39" s="13">
        <v>18</v>
      </c>
      <c r="CU39" s="13">
        <v>18</v>
      </c>
      <c r="CV39" s="15">
        <v>18</v>
      </c>
      <c r="CW39" s="14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5"/>
      <c r="DI39" s="14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5"/>
    </row>
    <row r="40" spans="1:124" x14ac:dyDescent="0.25">
      <c r="A40" s="13"/>
      <c r="B40" s="13"/>
      <c r="C40" s="13"/>
      <c r="D40" s="16" t="s">
        <v>19</v>
      </c>
      <c r="E40" s="14">
        <v>18</v>
      </c>
      <c r="F40" s="13">
        <v>18</v>
      </c>
      <c r="G40" s="13" t="s">
        <v>171</v>
      </c>
      <c r="H40" s="13" t="s">
        <v>171</v>
      </c>
      <c r="I40" s="13" t="s">
        <v>171</v>
      </c>
      <c r="J40" s="13" t="s">
        <v>171</v>
      </c>
      <c r="K40" s="13">
        <v>18</v>
      </c>
      <c r="L40" s="13">
        <v>18</v>
      </c>
      <c r="M40" s="13" t="s">
        <v>171</v>
      </c>
      <c r="N40" s="13" t="s">
        <v>171</v>
      </c>
      <c r="O40" s="13" t="s">
        <v>171</v>
      </c>
      <c r="P40" s="15" t="s">
        <v>171</v>
      </c>
      <c r="Q40" s="14" t="s">
        <v>166</v>
      </c>
      <c r="R40" s="13" t="s">
        <v>166</v>
      </c>
      <c r="S40" s="13" t="s">
        <v>166</v>
      </c>
      <c r="T40" s="13" t="s">
        <v>166</v>
      </c>
      <c r="U40" s="13" t="s">
        <v>166</v>
      </c>
      <c r="V40" s="13" t="s">
        <v>166</v>
      </c>
      <c r="W40" s="13">
        <v>18</v>
      </c>
      <c r="X40" s="13">
        <v>18</v>
      </c>
      <c r="Y40" s="13" t="s">
        <v>173</v>
      </c>
      <c r="Z40" s="13" t="s">
        <v>173</v>
      </c>
      <c r="AA40" s="13" t="s">
        <v>173</v>
      </c>
      <c r="AB40" s="15" t="s">
        <v>173</v>
      </c>
      <c r="AC40" s="14">
        <v>18</v>
      </c>
      <c r="AD40" s="13">
        <v>18</v>
      </c>
      <c r="AE40" s="13" t="s">
        <v>173</v>
      </c>
      <c r="AF40" s="13" t="s">
        <v>173</v>
      </c>
      <c r="AG40" s="13" t="s">
        <v>173</v>
      </c>
      <c r="AH40" s="13" t="s">
        <v>173</v>
      </c>
      <c r="AI40" s="13">
        <v>18</v>
      </c>
      <c r="AJ40" s="13">
        <v>18</v>
      </c>
      <c r="AK40" s="13" t="s">
        <v>171</v>
      </c>
      <c r="AL40" s="13" t="s">
        <v>171</v>
      </c>
      <c r="AM40" s="13" t="s">
        <v>171</v>
      </c>
      <c r="AN40" s="15" t="s">
        <v>171</v>
      </c>
      <c r="AO40" s="14">
        <v>18</v>
      </c>
      <c r="AP40" s="13">
        <v>18</v>
      </c>
      <c r="AQ40" s="13">
        <v>18</v>
      </c>
      <c r="AR40" s="13">
        <v>18</v>
      </c>
      <c r="AS40" s="13">
        <v>18</v>
      </c>
      <c r="AT40" s="13">
        <v>18</v>
      </c>
      <c r="AU40" s="13">
        <v>18</v>
      </c>
      <c r="AV40" s="13">
        <v>18</v>
      </c>
      <c r="AW40" s="13">
        <v>18</v>
      </c>
      <c r="AX40" s="13">
        <v>18</v>
      </c>
      <c r="AY40" s="13">
        <v>18</v>
      </c>
      <c r="AZ40" s="15">
        <v>0</v>
      </c>
      <c r="BA40" s="14">
        <v>0</v>
      </c>
      <c r="BB40" s="13">
        <v>0</v>
      </c>
      <c r="BC40" s="13">
        <v>0</v>
      </c>
      <c r="BD40" s="13">
        <v>0</v>
      </c>
      <c r="BE40" s="13">
        <v>0</v>
      </c>
      <c r="BF40" s="13">
        <v>0</v>
      </c>
      <c r="BG40" s="13">
        <v>0</v>
      </c>
      <c r="BH40" s="13">
        <v>0</v>
      </c>
      <c r="BI40" s="13">
        <v>0</v>
      </c>
      <c r="BJ40" s="13">
        <v>0</v>
      </c>
      <c r="BK40" s="13">
        <v>0</v>
      </c>
      <c r="BL40" s="15">
        <v>0</v>
      </c>
      <c r="BM40" s="14">
        <v>18</v>
      </c>
      <c r="BN40" s="13">
        <v>18</v>
      </c>
      <c r="BO40" s="13">
        <v>18</v>
      </c>
      <c r="BP40" s="13">
        <v>18</v>
      </c>
      <c r="BQ40" s="13">
        <v>18</v>
      </c>
      <c r="BR40" s="13">
        <v>18</v>
      </c>
      <c r="BS40" s="13">
        <v>18</v>
      </c>
      <c r="BT40" s="13">
        <v>18</v>
      </c>
      <c r="BU40" s="13">
        <v>0</v>
      </c>
      <c r="BV40" s="13">
        <v>0</v>
      </c>
      <c r="BW40" s="13">
        <v>0</v>
      </c>
      <c r="BX40" s="15">
        <v>0</v>
      </c>
      <c r="BY40" s="14">
        <v>0</v>
      </c>
      <c r="BZ40" s="13">
        <v>0</v>
      </c>
      <c r="CA40" s="13">
        <v>0</v>
      </c>
      <c r="CB40" s="13">
        <v>0</v>
      </c>
      <c r="CC40" s="13">
        <v>0</v>
      </c>
      <c r="CD40" s="13">
        <v>0</v>
      </c>
      <c r="CE40" s="13">
        <v>0</v>
      </c>
      <c r="CF40" s="13">
        <v>0</v>
      </c>
      <c r="CG40" s="13">
        <v>0</v>
      </c>
      <c r="CH40" s="13">
        <v>0</v>
      </c>
      <c r="CI40" s="13">
        <v>0</v>
      </c>
      <c r="CJ40" s="15">
        <v>0</v>
      </c>
      <c r="CK40" s="14">
        <v>0</v>
      </c>
      <c r="CL40" s="13">
        <v>0</v>
      </c>
      <c r="CM40" s="13">
        <v>0</v>
      </c>
      <c r="CN40" s="13">
        <v>0</v>
      </c>
      <c r="CO40" s="13" t="s">
        <v>170</v>
      </c>
      <c r="CP40" s="13" t="s">
        <v>170</v>
      </c>
      <c r="CQ40" s="13" t="s">
        <v>170</v>
      </c>
      <c r="CR40" s="13" t="s">
        <v>170</v>
      </c>
      <c r="CS40" s="13" t="s">
        <v>170</v>
      </c>
      <c r="CT40" s="13" t="s">
        <v>170</v>
      </c>
      <c r="CU40" s="13">
        <v>18</v>
      </c>
      <c r="CV40" s="15">
        <v>18</v>
      </c>
      <c r="CW40" s="14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5"/>
      <c r="DI40" s="14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5"/>
    </row>
    <row r="41" spans="1:124" x14ac:dyDescent="0.25">
      <c r="A41" s="13"/>
      <c r="B41" s="13"/>
      <c r="C41" s="13"/>
      <c r="D41" s="16" t="s">
        <v>58</v>
      </c>
      <c r="E41" s="14">
        <v>18</v>
      </c>
      <c r="F41" s="13">
        <v>18</v>
      </c>
      <c r="G41" s="13" t="s">
        <v>171</v>
      </c>
      <c r="H41" s="13" t="s">
        <v>171</v>
      </c>
      <c r="I41" s="13" t="s">
        <v>171</v>
      </c>
      <c r="J41" s="13" t="s">
        <v>171</v>
      </c>
      <c r="K41" s="13">
        <v>18</v>
      </c>
      <c r="L41" s="13">
        <v>18</v>
      </c>
      <c r="M41" s="13" t="s">
        <v>172</v>
      </c>
      <c r="N41" s="13" t="s">
        <v>172</v>
      </c>
      <c r="O41" s="13" t="s">
        <v>172</v>
      </c>
      <c r="P41" s="15" t="s">
        <v>172</v>
      </c>
      <c r="Q41" s="14" t="s">
        <v>166</v>
      </c>
      <c r="R41" s="13" t="s">
        <v>166</v>
      </c>
      <c r="S41" s="13" t="s">
        <v>166</v>
      </c>
      <c r="T41" s="13" t="s">
        <v>166</v>
      </c>
      <c r="U41" s="13" t="s">
        <v>166</v>
      </c>
      <c r="V41" s="13" t="s">
        <v>166</v>
      </c>
      <c r="W41" s="13">
        <v>18</v>
      </c>
      <c r="X41" s="13">
        <v>18</v>
      </c>
      <c r="Y41" s="13" t="s">
        <v>172</v>
      </c>
      <c r="Z41" s="13" t="s">
        <v>172</v>
      </c>
      <c r="AA41" s="13" t="s">
        <v>172</v>
      </c>
      <c r="AB41" s="15" t="s">
        <v>172</v>
      </c>
      <c r="AC41" s="14">
        <v>18</v>
      </c>
      <c r="AD41" s="13">
        <v>18</v>
      </c>
      <c r="AE41" s="13" t="s">
        <v>175</v>
      </c>
      <c r="AF41" s="13" t="s">
        <v>175</v>
      </c>
      <c r="AG41" s="13" t="s">
        <v>175</v>
      </c>
      <c r="AH41" s="13" t="s">
        <v>175</v>
      </c>
      <c r="AI41" s="13">
        <v>18</v>
      </c>
      <c r="AJ41" s="13">
        <v>18</v>
      </c>
      <c r="AK41" s="13" t="s">
        <v>171</v>
      </c>
      <c r="AL41" s="13" t="s">
        <v>171</v>
      </c>
      <c r="AM41" s="13" t="s">
        <v>171</v>
      </c>
      <c r="AN41" s="15" t="s">
        <v>171</v>
      </c>
      <c r="AO41" s="14">
        <v>18</v>
      </c>
      <c r="AP41" s="13">
        <v>18</v>
      </c>
      <c r="AQ41" s="13" t="s">
        <v>171</v>
      </c>
      <c r="AR41" s="13" t="s">
        <v>171</v>
      </c>
      <c r="AS41" s="13" t="s">
        <v>171</v>
      </c>
      <c r="AT41" s="13" t="s">
        <v>171</v>
      </c>
      <c r="AU41" s="13">
        <v>18</v>
      </c>
      <c r="AV41" s="13">
        <v>18</v>
      </c>
      <c r="AW41" s="13" t="s">
        <v>171</v>
      </c>
      <c r="AX41" s="13" t="s">
        <v>171</v>
      </c>
      <c r="AY41" s="13" t="s">
        <v>171</v>
      </c>
      <c r="AZ41" s="15" t="s">
        <v>171</v>
      </c>
      <c r="BA41" s="14">
        <v>18</v>
      </c>
      <c r="BB41" s="13">
        <v>18</v>
      </c>
      <c r="BC41" s="13">
        <v>18</v>
      </c>
      <c r="BD41" s="13">
        <v>18</v>
      </c>
      <c r="BE41" s="13">
        <v>18</v>
      </c>
      <c r="BF41" s="13">
        <v>18</v>
      </c>
      <c r="BG41" s="13">
        <v>18</v>
      </c>
      <c r="BH41" s="13">
        <v>18</v>
      </c>
      <c r="BI41" s="13">
        <v>0</v>
      </c>
      <c r="BJ41" s="13">
        <v>0</v>
      </c>
      <c r="BK41" s="13">
        <v>0</v>
      </c>
      <c r="BL41" s="15">
        <v>0</v>
      </c>
      <c r="BM41" s="14" t="s">
        <v>171</v>
      </c>
      <c r="BN41" s="13" t="s">
        <v>171</v>
      </c>
      <c r="BO41" s="13" t="s">
        <v>171</v>
      </c>
      <c r="BP41" s="13" t="s">
        <v>171</v>
      </c>
      <c r="BQ41" s="13">
        <v>18</v>
      </c>
      <c r="BR41" s="13">
        <v>18</v>
      </c>
      <c r="BS41" s="13" t="s">
        <v>171</v>
      </c>
      <c r="BT41" s="13" t="s">
        <v>171</v>
      </c>
      <c r="BU41" s="13" t="s">
        <v>171</v>
      </c>
      <c r="BV41" s="13" t="s">
        <v>171</v>
      </c>
      <c r="BW41" s="13">
        <v>18</v>
      </c>
      <c r="BX41" s="15">
        <v>18</v>
      </c>
      <c r="BY41" s="14" t="s">
        <v>171</v>
      </c>
      <c r="BZ41" s="13" t="s">
        <v>171</v>
      </c>
      <c r="CA41" s="13" t="s">
        <v>171</v>
      </c>
      <c r="CB41" s="13" t="s">
        <v>171</v>
      </c>
      <c r="CC41" s="13">
        <v>18</v>
      </c>
      <c r="CD41" s="13">
        <v>18</v>
      </c>
      <c r="CE41" s="13">
        <v>18</v>
      </c>
      <c r="CF41" s="13">
        <v>18</v>
      </c>
      <c r="CG41" s="13">
        <v>18</v>
      </c>
      <c r="CH41" s="13">
        <v>18</v>
      </c>
      <c r="CI41" s="13">
        <v>18</v>
      </c>
      <c r="CJ41" s="15">
        <v>18</v>
      </c>
      <c r="CK41" s="14">
        <v>0</v>
      </c>
      <c r="CL41" s="13">
        <v>0</v>
      </c>
      <c r="CM41" s="13">
        <v>0</v>
      </c>
      <c r="CN41" s="13">
        <v>0</v>
      </c>
      <c r="CO41" s="13">
        <v>0</v>
      </c>
      <c r="CP41" s="13">
        <v>0</v>
      </c>
      <c r="CQ41" s="13">
        <v>0</v>
      </c>
      <c r="CR41" s="13">
        <v>18</v>
      </c>
      <c r="CS41" s="13">
        <v>18</v>
      </c>
      <c r="CT41" s="13">
        <v>18</v>
      </c>
      <c r="CU41" s="13">
        <v>18</v>
      </c>
      <c r="CV41" s="15">
        <v>18</v>
      </c>
      <c r="CW41" s="14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5"/>
      <c r="DI41" s="14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5"/>
    </row>
    <row r="42" spans="1:124" x14ac:dyDescent="0.25">
      <c r="A42" s="13"/>
      <c r="B42" s="13"/>
      <c r="C42" s="13"/>
      <c r="D42" s="16" t="s">
        <v>59</v>
      </c>
      <c r="E42" s="14">
        <v>18</v>
      </c>
      <c r="F42" s="13">
        <v>18</v>
      </c>
      <c r="G42" s="13">
        <v>18</v>
      </c>
      <c r="H42" s="13">
        <v>18</v>
      </c>
      <c r="I42" s="13">
        <v>18</v>
      </c>
      <c r="J42" s="13">
        <v>18</v>
      </c>
      <c r="K42" s="13">
        <v>18</v>
      </c>
      <c r="L42" s="13">
        <v>18</v>
      </c>
      <c r="M42" s="13">
        <v>18</v>
      </c>
      <c r="N42" s="13">
        <v>18</v>
      </c>
      <c r="O42" s="13">
        <v>18</v>
      </c>
      <c r="P42" s="15">
        <v>0</v>
      </c>
      <c r="Q42" s="14" t="s">
        <v>166</v>
      </c>
      <c r="R42" s="13" t="s">
        <v>166</v>
      </c>
      <c r="S42" s="13" t="s">
        <v>166</v>
      </c>
      <c r="T42" s="13" t="s">
        <v>166</v>
      </c>
      <c r="U42" s="13" t="s">
        <v>166</v>
      </c>
      <c r="V42" s="13" t="s">
        <v>166</v>
      </c>
      <c r="W42" s="13">
        <v>18</v>
      </c>
      <c r="X42" s="13">
        <v>18</v>
      </c>
      <c r="Y42" s="13" t="s">
        <v>171</v>
      </c>
      <c r="Z42" s="13" t="s">
        <v>171</v>
      </c>
      <c r="AA42" s="13" t="s">
        <v>171</v>
      </c>
      <c r="AB42" s="15" t="s">
        <v>171</v>
      </c>
      <c r="AC42" s="14">
        <v>18</v>
      </c>
      <c r="AD42" s="13">
        <v>18</v>
      </c>
      <c r="AE42" s="13" t="s">
        <v>173</v>
      </c>
      <c r="AF42" s="13" t="s">
        <v>173</v>
      </c>
      <c r="AG42" s="13" t="s">
        <v>173</v>
      </c>
      <c r="AH42" s="13" t="s">
        <v>173</v>
      </c>
      <c r="AI42" s="13">
        <v>18</v>
      </c>
      <c r="AJ42" s="13">
        <v>18</v>
      </c>
      <c r="AK42" s="13" t="s">
        <v>171</v>
      </c>
      <c r="AL42" s="13" t="s">
        <v>171</v>
      </c>
      <c r="AM42" s="13" t="s">
        <v>171</v>
      </c>
      <c r="AN42" s="15" t="s">
        <v>171</v>
      </c>
      <c r="AO42" s="14">
        <v>18</v>
      </c>
      <c r="AP42" s="13">
        <v>18</v>
      </c>
      <c r="AQ42" s="13" t="s">
        <v>172</v>
      </c>
      <c r="AR42" s="13" t="s">
        <v>172</v>
      </c>
      <c r="AS42" s="13" t="s">
        <v>172</v>
      </c>
      <c r="AT42" s="13" t="s">
        <v>172</v>
      </c>
      <c r="AU42" s="13">
        <v>18</v>
      </c>
      <c r="AV42" s="13">
        <v>18</v>
      </c>
      <c r="AW42" s="13" t="s">
        <v>171</v>
      </c>
      <c r="AX42" s="13" t="s">
        <v>171</v>
      </c>
      <c r="AY42" s="13" t="s">
        <v>171</v>
      </c>
      <c r="AZ42" s="15" t="s">
        <v>171</v>
      </c>
      <c r="BA42" s="14">
        <v>18</v>
      </c>
      <c r="BB42" s="13">
        <v>18</v>
      </c>
      <c r="BC42" s="13">
        <v>18</v>
      </c>
      <c r="BD42" s="13">
        <v>18</v>
      </c>
      <c r="BE42" s="13">
        <v>18</v>
      </c>
      <c r="BF42" s="13">
        <v>18</v>
      </c>
      <c r="BG42" s="13">
        <v>18</v>
      </c>
      <c r="BH42" s="13">
        <v>18</v>
      </c>
      <c r="BI42" s="13">
        <v>0</v>
      </c>
      <c r="BJ42" s="13">
        <v>0</v>
      </c>
      <c r="BK42" s="13">
        <v>0</v>
      </c>
      <c r="BL42" s="15">
        <v>0</v>
      </c>
      <c r="BM42" s="14" t="s">
        <v>171</v>
      </c>
      <c r="BN42" s="13">
        <v>18</v>
      </c>
      <c r="BO42" s="13">
        <v>18</v>
      </c>
      <c r="BP42" s="13">
        <v>18</v>
      </c>
      <c r="BQ42" s="13">
        <v>18</v>
      </c>
      <c r="BR42" s="13">
        <v>18</v>
      </c>
      <c r="BS42" s="13">
        <v>18</v>
      </c>
      <c r="BT42" s="13">
        <v>18</v>
      </c>
      <c r="BU42" s="13">
        <v>18</v>
      </c>
      <c r="BV42" s="13">
        <v>18</v>
      </c>
      <c r="BW42" s="13">
        <v>18</v>
      </c>
      <c r="BX42" s="15">
        <v>18</v>
      </c>
      <c r="BY42" s="14">
        <v>0</v>
      </c>
      <c r="BZ42" s="13">
        <v>0</v>
      </c>
      <c r="CA42" s="13">
        <v>0</v>
      </c>
      <c r="CB42" s="13">
        <v>0</v>
      </c>
      <c r="CC42" s="13">
        <v>0</v>
      </c>
      <c r="CD42" s="13">
        <v>0</v>
      </c>
      <c r="CE42" s="13">
        <v>0</v>
      </c>
      <c r="CF42" s="13">
        <v>0</v>
      </c>
      <c r="CG42" s="13">
        <v>0</v>
      </c>
      <c r="CH42" s="13">
        <v>0</v>
      </c>
      <c r="CI42" s="13">
        <v>0</v>
      </c>
      <c r="CJ42" s="15">
        <v>0</v>
      </c>
      <c r="CK42" s="14">
        <v>0</v>
      </c>
      <c r="CL42" s="13">
        <v>0</v>
      </c>
      <c r="CM42" s="13">
        <v>0</v>
      </c>
      <c r="CN42" s="13">
        <v>0</v>
      </c>
      <c r="CO42" s="13">
        <v>0</v>
      </c>
      <c r="CP42" s="13" t="s">
        <v>170</v>
      </c>
      <c r="CQ42" s="13" t="s">
        <v>170</v>
      </c>
      <c r="CR42" s="13" t="s">
        <v>170</v>
      </c>
      <c r="CS42" s="13" t="s">
        <v>170</v>
      </c>
      <c r="CT42" s="13" t="s">
        <v>170</v>
      </c>
      <c r="CU42" s="13" t="s">
        <v>170</v>
      </c>
      <c r="CV42" s="15">
        <v>18</v>
      </c>
      <c r="CW42" s="14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5"/>
      <c r="DI42" s="14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5"/>
    </row>
    <row r="43" spans="1:124" x14ac:dyDescent="0.25">
      <c r="A43" s="13"/>
      <c r="B43" s="13"/>
      <c r="C43" s="13"/>
      <c r="D43" s="16" t="s">
        <v>64</v>
      </c>
      <c r="E43" s="14">
        <v>18</v>
      </c>
      <c r="F43" s="13">
        <v>18</v>
      </c>
      <c r="G43" s="13" t="s">
        <v>171</v>
      </c>
      <c r="H43" s="13" t="s">
        <v>171</v>
      </c>
      <c r="I43" s="13" t="s">
        <v>171</v>
      </c>
      <c r="J43" s="13" t="s">
        <v>171</v>
      </c>
      <c r="K43" s="13">
        <v>18</v>
      </c>
      <c r="L43" s="13">
        <v>18</v>
      </c>
      <c r="M43" s="13" t="s">
        <v>171</v>
      </c>
      <c r="N43" s="13" t="s">
        <v>171</v>
      </c>
      <c r="O43" s="13" t="s">
        <v>171</v>
      </c>
      <c r="P43" s="15" t="s">
        <v>171</v>
      </c>
      <c r="Q43" s="14">
        <v>18</v>
      </c>
      <c r="R43" s="13" t="s">
        <v>166</v>
      </c>
      <c r="S43" s="13" t="s">
        <v>166</v>
      </c>
      <c r="T43" s="13" t="s">
        <v>166</v>
      </c>
      <c r="U43" s="13" t="s">
        <v>166</v>
      </c>
      <c r="V43" s="13" t="s">
        <v>166</v>
      </c>
      <c r="W43" s="13" t="s">
        <v>166</v>
      </c>
      <c r="X43" s="13" t="s">
        <v>166</v>
      </c>
      <c r="Y43" s="13" t="s">
        <v>166</v>
      </c>
      <c r="Z43" s="13" t="s">
        <v>166</v>
      </c>
      <c r="AA43" s="13" t="s">
        <v>166</v>
      </c>
      <c r="AB43" s="15" t="s">
        <v>166</v>
      </c>
      <c r="AC43" s="14" t="s">
        <v>166</v>
      </c>
      <c r="AD43" s="13">
        <v>18</v>
      </c>
      <c r="AE43" s="13">
        <v>18</v>
      </c>
      <c r="AF43" s="13" t="s">
        <v>173</v>
      </c>
      <c r="AG43" s="13" t="s">
        <v>173</v>
      </c>
      <c r="AH43" s="13" t="s">
        <v>173</v>
      </c>
      <c r="AI43" s="13">
        <v>18</v>
      </c>
      <c r="AJ43" s="13">
        <v>18</v>
      </c>
      <c r="AK43" s="13" t="s">
        <v>173</v>
      </c>
      <c r="AL43" s="13" t="s">
        <v>173</v>
      </c>
      <c r="AM43" s="13" t="s">
        <v>173</v>
      </c>
      <c r="AN43" s="15" t="s">
        <v>173</v>
      </c>
      <c r="AO43" s="14">
        <v>18</v>
      </c>
      <c r="AP43" s="13">
        <v>18</v>
      </c>
      <c r="AQ43" s="13" t="s">
        <v>171</v>
      </c>
      <c r="AR43" s="13" t="s">
        <v>171</v>
      </c>
      <c r="AS43" s="13" t="s">
        <v>171</v>
      </c>
      <c r="AT43" s="13" t="s">
        <v>171</v>
      </c>
      <c r="AU43" s="13">
        <v>18</v>
      </c>
      <c r="AV43" s="13">
        <v>18</v>
      </c>
      <c r="AW43" s="13" t="s">
        <v>171</v>
      </c>
      <c r="AX43" s="13" t="s">
        <v>171</v>
      </c>
      <c r="AY43" s="13" t="s">
        <v>171</v>
      </c>
      <c r="AZ43" s="15" t="s">
        <v>171</v>
      </c>
      <c r="BA43" s="14">
        <v>18</v>
      </c>
      <c r="BB43" s="13">
        <v>18</v>
      </c>
      <c r="BC43" s="13">
        <v>18</v>
      </c>
      <c r="BD43" s="13">
        <v>18</v>
      </c>
      <c r="BE43" s="13">
        <v>18</v>
      </c>
      <c r="BF43" s="13">
        <v>18</v>
      </c>
      <c r="BG43" s="13">
        <v>18</v>
      </c>
      <c r="BH43" s="13">
        <v>18</v>
      </c>
      <c r="BI43" s="13">
        <v>18</v>
      </c>
      <c r="BJ43" s="13">
        <v>0</v>
      </c>
      <c r="BK43" s="13">
        <v>0</v>
      </c>
      <c r="BL43" s="15">
        <v>0</v>
      </c>
      <c r="BM43" s="14">
        <v>18</v>
      </c>
      <c r="BN43" s="13">
        <v>18</v>
      </c>
      <c r="BO43" s="13" t="s">
        <v>171</v>
      </c>
      <c r="BP43" s="13" t="s">
        <v>171</v>
      </c>
      <c r="BQ43" s="13" t="s">
        <v>171</v>
      </c>
      <c r="BR43" s="13" t="s">
        <v>171</v>
      </c>
      <c r="BS43" s="13">
        <v>18</v>
      </c>
      <c r="BT43" s="13">
        <v>18</v>
      </c>
      <c r="BU43" s="13" t="s">
        <v>171</v>
      </c>
      <c r="BV43" s="13" t="s">
        <v>171</v>
      </c>
      <c r="BW43" s="13" t="s">
        <v>171</v>
      </c>
      <c r="BX43" s="15" t="s">
        <v>171</v>
      </c>
      <c r="BY43" s="14">
        <v>18</v>
      </c>
      <c r="BZ43" s="13">
        <v>18</v>
      </c>
      <c r="CA43" s="13" t="s">
        <v>171</v>
      </c>
      <c r="CB43" s="13" t="s">
        <v>171</v>
      </c>
      <c r="CC43" s="13" t="s">
        <v>171</v>
      </c>
      <c r="CD43" s="13" t="s">
        <v>171</v>
      </c>
      <c r="CE43" s="13">
        <v>18</v>
      </c>
      <c r="CF43" s="13">
        <v>18</v>
      </c>
      <c r="CG43" s="13" t="s">
        <v>171</v>
      </c>
      <c r="CH43" s="13" t="s">
        <v>171</v>
      </c>
      <c r="CI43" s="13" t="s">
        <v>171</v>
      </c>
      <c r="CJ43" s="15" t="s">
        <v>171</v>
      </c>
      <c r="CK43" s="14">
        <v>18</v>
      </c>
      <c r="CL43" s="13">
        <v>18</v>
      </c>
      <c r="CM43" s="13" t="s">
        <v>171</v>
      </c>
      <c r="CN43" s="13" t="s">
        <v>171</v>
      </c>
      <c r="CO43" s="13" t="s">
        <v>171</v>
      </c>
      <c r="CP43" s="13" t="s">
        <v>171</v>
      </c>
      <c r="CQ43" s="13">
        <v>18</v>
      </c>
      <c r="CR43" s="13">
        <v>18</v>
      </c>
      <c r="CS43" s="13">
        <v>18</v>
      </c>
      <c r="CT43" s="13">
        <v>18</v>
      </c>
      <c r="CU43" s="13">
        <v>18</v>
      </c>
      <c r="CV43" s="15">
        <v>18</v>
      </c>
      <c r="CW43" s="14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5"/>
      <c r="DI43" s="14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5"/>
    </row>
    <row r="44" spans="1:124" x14ac:dyDescent="0.25">
      <c r="A44" s="13"/>
      <c r="B44" s="13"/>
      <c r="C44" s="13"/>
      <c r="D44" s="16" t="s">
        <v>25</v>
      </c>
      <c r="E44" s="14">
        <v>18</v>
      </c>
      <c r="F44" s="13">
        <v>18</v>
      </c>
      <c r="G44" s="13" t="s">
        <v>171</v>
      </c>
      <c r="H44" s="13" t="s">
        <v>171</v>
      </c>
      <c r="I44" s="13" t="s">
        <v>171</v>
      </c>
      <c r="J44" s="13" t="s">
        <v>171</v>
      </c>
      <c r="K44" s="13">
        <v>18</v>
      </c>
      <c r="L44" s="13">
        <v>18</v>
      </c>
      <c r="M44" s="13">
        <v>18</v>
      </c>
      <c r="N44" s="13">
        <v>18</v>
      </c>
      <c r="O44" s="13">
        <v>18</v>
      </c>
      <c r="P44" s="15">
        <v>18</v>
      </c>
      <c r="Q44" s="14">
        <v>0</v>
      </c>
      <c r="R44" s="13">
        <v>0</v>
      </c>
      <c r="S44" s="13">
        <v>0</v>
      </c>
      <c r="T44" s="13" t="s">
        <v>167</v>
      </c>
      <c r="U44" s="13" t="s">
        <v>167</v>
      </c>
      <c r="V44" s="13" t="s">
        <v>167</v>
      </c>
      <c r="W44" s="13" t="s">
        <v>167</v>
      </c>
      <c r="X44" s="13" t="s">
        <v>167</v>
      </c>
      <c r="Y44" s="13" t="s">
        <v>167</v>
      </c>
      <c r="Z44" s="13">
        <v>18</v>
      </c>
      <c r="AA44" s="13">
        <v>18</v>
      </c>
      <c r="AB44" s="15" t="s">
        <v>173</v>
      </c>
      <c r="AC44" s="14" t="s">
        <v>173</v>
      </c>
      <c r="AD44" s="13" t="s">
        <v>173</v>
      </c>
      <c r="AE44" s="13" t="s">
        <v>173</v>
      </c>
      <c r="AF44" s="13">
        <v>18</v>
      </c>
      <c r="AG44" s="13">
        <v>18</v>
      </c>
      <c r="AH44" s="13" t="s">
        <v>173</v>
      </c>
      <c r="AI44" s="13">
        <v>18</v>
      </c>
      <c r="AJ44" s="13">
        <v>18</v>
      </c>
      <c r="AK44" s="13" t="s">
        <v>173</v>
      </c>
      <c r="AL44" s="13" t="s">
        <v>173</v>
      </c>
      <c r="AM44" s="13" t="s">
        <v>173</v>
      </c>
      <c r="AN44" s="15" t="s">
        <v>173</v>
      </c>
      <c r="AO44" s="14">
        <v>18</v>
      </c>
      <c r="AP44" s="13">
        <v>18</v>
      </c>
      <c r="AQ44" s="13">
        <v>18</v>
      </c>
      <c r="AR44" s="13">
        <v>18</v>
      </c>
      <c r="AS44" s="13">
        <v>18</v>
      </c>
      <c r="AT44" s="13">
        <v>18</v>
      </c>
      <c r="AU44" s="13">
        <v>18</v>
      </c>
      <c r="AV44" s="13">
        <v>18</v>
      </c>
      <c r="AW44" s="13">
        <v>18</v>
      </c>
      <c r="AX44" s="13">
        <v>18</v>
      </c>
      <c r="AY44" s="13">
        <v>0</v>
      </c>
      <c r="AZ44" s="15">
        <v>0</v>
      </c>
      <c r="BA44" s="14">
        <v>0</v>
      </c>
      <c r="BB44" s="13">
        <v>0</v>
      </c>
      <c r="BC44" s="13">
        <v>0</v>
      </c>
      <c r="BD44" s="13">
        <v>0</v>
      </c>
      <c r="BE44" s="13">
        <v>0</v>
      </c>
      <c r="BF44" s="13">
        <v>0</v>
      </c>
      <c r="BG44" s="13">
        <v>0</v>
      </c>
      <c r="BH44" s="13">
        <v>0</v>
      </c>
      <c r="BI44" s="13">
        <v>0</v>
      </c>
      <c r="BJ44" s="13">
        <v>0</v>
      </c>
      <c r="BK44" s="13">
        <v>0</v>
      </c>
      <c r="BL44" s="15">
        <v>0</v>
      </c>
      <c r="BM44" s="14">
        <v>0</v>
      </c>
      <c r="BN44" s="13">
        <v>0</v>
      </c>
      <c r="BO44" s="13">
        <v>0</v>
      </c>
      <c r="BP44" s="13">
        <v>0</v>
      </c>
      <c r="BQ44" s="13">
        <v>0</v>
      </c>
      <c r="BR44" s="13">
        <v>0</v>
      </c>
      <c r="BS44" s="13">
        <v>0</v>
      </c>
      <c r="BT44" s="13">
        <v>0</v>
      </c>
      <c r="BU44" s="13">
        <v>0</v>
      </c>
      <c r="BV44" s="13">
        <v>0</v>
      </c>
      <c r="BW44" s="13">
        <v>0</v>
      </c>
      <c r="BX44" s="15">
        <v>0</v>
      </c>
      <c r="BY44" s="14">
        <v>0</v>
      </c>
      <c r="BZ44" s="13">
        <v>0</v>
      </c>
      <c r="CA44" s="13">
        <v>0</v>
      </c>
      <c r="CB44" s="13">
        <v>0</v>
      </c>
      <c r="CC44" s="13" t="s">
        <v>166</v>
      </c>
      <c r="CD44" s="13" t="s">
        <v>166</v>
      </c>
      <c r="CE44" s="13" t="s">
        <v>166</v>
      </c>
      <c r="CF44" s="13" t="s">
        <v>166</v>
      </c>
      <c r="CG44" s="13" t="s">
        <v>166</v>
      </c>
      <c r="CH44" s="13" t="s">
        <v>166</v>
      </c>
      <c r="CI44" s="13">
        <v>18</v>
      </c>
      <c r="CJ44" s="15">
        <v>18</v>
      </c>
      <c r="CK44" s="14" t="s">
        <v>171</v>
      </c>
      <c r="CL44" s="13" t="s">
        <v>171</v>
      </c>
      <c r="CM44" s="13" t="s">
        <v>171</v>
      </c>
      <c r="CN44" s="13" t="s">
        <v>171</v>
      </c>
      <c r="CO44" s="13">
        <v>18</v>
      </c>
      <c r="CP44" s="13">
        <v>18</v>
      </c>
      <c r="CQ44" s="13" t="s">
        <v>171</v>
      </c>
      <c r="CR44" s="13" t="s">
        <v>171</v>
      </c>
      <c r="CS44" s="13" t="s">
        <v>171</v>
      </c>
      <c r="CT44" s="13" t="s">
        <v>171</v>
      </c>
      <c r="CU44" s="13">
        <v>18</v>
      </c>
      <c r="CV44" s="15">
        <v>18</v>
      </c>
      <c r="CW44" s="14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5"/>
      <c r="DI44" s="14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5"/>
    </row>
    <row r="45" spans="1:124" x14ac:dyDescent="0.25">
      <c r="A45" s="13"/>
      <c r="B45" s="13"/>
      <c r="C45" s="13"/>
      <c r="D45" s="16" t="s">
        <v>29</v>
      </c>
      <c r="E45" s="14">
        <v>18</v>
      </c>
      <c r="F45" s="13">
        <v>18</v>
      </c>
      <c r="G45" s="13" t="s">
        <v>171</v>
      </c>
      <c r="H45" s="13" t="s">
        <v>171</v>
      </c>
      <c r="I45" s="13" t="s">
        <v>171</v>
      </c>
      <c r="J45" s="13" t="s">
        <v>171</v>
      </c>
      <c r="K45" s="13">
        <v>18</v>
      </c>
      <c r="L45" s="13">
        <v>18</v>
      </c>
      <c r="M45" s="13" t="s">
        <v>171</v>
      </c>
      <c r="N45" s="13" t="s">
        <v>171</v>
      </c>
      <c r="O45" s="13" t="s">
        <v>171</v>
      </c>
      <c r="P45" s="15" t="s">
        <v>171</v>
      </c>
      <c r="Q45" s="14">
        <v>18</v>
      </c>
      <c r="R45" s="13">
        <v>18</v>
      </c>
      <c r="S45" s="13">
        <v>18</v>
      </c>
      <c r="T45" s="13">
        <v>18</v>
      </c>
      <c r="U45" s="13">
        <v>18</v>
      </c>
      <c r="V45" s="13" t="s">
        <v>167</v>
      </c>
      <c r="W45" s="13" t="s">
        <v>167</v>
      </c>
      <c r="X45" s="13" t="s">
        <v>167</v>
      </c>
      <c r="Y45" s="13" t="s">
        <v>167</v>
      </c>
      <c r="Z45" s="13" t="s">
        <v>167</v>
      </c>
      <c r="AA45" s="13" t="s">
        <v>167</v>
      </c>
      <c r="AB45" s="15" t="s">
        <v>167</v>
      </c>
      <c r="AC45" s="14" t="s">
        <v>167</v>
      </c>
      <c r="AD45" s="13" t="s">
        <v>167</v>
      </c>
      <c r="AE45" s="13" t="s">
        <v>167</v>
      </c>
      <c r="AF45" s="13" t="s">
        <v>167</v>
      </c>
      <c r="AG45" s="13" t="s">
        <v>167</v>
      </c>
      <c r="AH45" s="13">
        <v>18</v>
      </c>
      <c r="AI45" s="13">
        <v>18</v>
      </c>
      <c r="AJ45" s="13" t="s">
        <v>173</v>
      </c>
      <c r="AK45" s="13" t="s">
        <v>173</v>
      </c>
      <c r="AL45" s="13" t="s">
        <v>173</v>
      </c>
      <c r="AM45" s="13" t="s">
        <v>173</v>
      </c>
      <c r="AN45" s="15">
        <v>18</v>
      </c>
      <c r="AO45" s="14">
        <v>18</v>
      </c>
      <c r="AP45" s="13" t="s">
        <v>173</v>
      </c>
      <c r="AQ45" s="13" t="s">
        <v>173</v>
      </c>
      <c r="AR45" s="13" t="s">
        <v>173</v>
      </c>
      <c r="AS45" s="13" t="s">
        <v>173</v>
      </c>
      <c r="AT45" s="13">
        <v>18</v>
      </c>
      <c r="AU45" s="13">
        <v>18</v>
      </c>
      <c r="AV45" s="13" t="s">
        <v>171</v>
      </c>
      <c r="AW45" s="13" t="s">
        <v>171</v>
      </c>
      <c r="AX45" s="13" t="s">
        <v>171</v>
      </c>
      <c r="AY45" s="13" t="s">
        <v>171</v>
      </c>
      <c r="AZ45" s="15">
        <v>18</v>
      </c>
      <c r="BA45" s="14">
        <v>18</v>
      </c>
      <c r="BB45" s="13">
        <v>18</v>
      </c>
      <c r="BC45" s="13">
        <v>18</v>
      </c>
      <c r="BD45" s="13">
        <v>18</v>
      </c>
      <c r="BE45" s="13">
        <v>18</v>
      </c>
      <c r="BF45" s="13">
        <v>18</v>
      </c>
      <c r="BG45" s="13">
        <v>18</v>
      </c>
      <c r="BH45" s="13">
        <v>18</v>
      </c>
      <c r="BI45" s="13">
        <v>18</v>
      </c>
      <c r="BJ45" s="13">
        <v>18</v>
      </c>
      <c r="BK45" s="13">
        <v>0</v>
      </c>
      <c r="BL45" s="15">
        <v>0</v>
      </c>
      <c r="BM45" s="14" t="s">
        <v>171</v>
      </c>
      <c r="BN45" s="13" t="s">
        <v>171</v>
      </c>
      <c r="BO45" s="13" t="s">
        <v>171</v>
      </c>
      <c r="BP45" s="13" t="s">
        <v>171</v>
      </c>
      <c r="BQ45" s="13">
        <v>18</v>
      </c>
      <c r="BR45" s="13">
        <v>18</v>
      </c>
      <c r="BS45" s="13" t="s">
        <v>171</v>
      </c>
      <c r="BT45" s="13" t="s">
        <v>171</v>
      </c>
      <c r="BU45" s="13" t="s">
        <v>171</v>
      </c>
      <c r="BV45" s="13" t="s">
        <v>171</v>
      </c>
      <c r="BW45" s="13">
        <v>18</v>
      </c>
      <c r="BX45" s="15">
        <v>18</v>
      </c>
      <c r="BY45" s="14" t="s">
        <v>171</v>
      </c>
      <c r="BZ45" s="13" t="s">
        <v>171</v>
      </c>
      <c r="CA45" s="13" t="s">
        <v>171</v>
      </c>
      <c r="CB45" s="13" t="s">
        <v>171</v>
      </c>
      <c r="CC45" s="13">
        <v>18</v>
      </c>
      <c r="CD45" s="13">
        <v>18</v>
      </c>
      <c r="CE45" s="13" t="s">
        <v>171</v>
      </c>
      <c r="CF45" s="13" t="s">
        <v>171</v>
      </c>
      <c r="CG45" s="13" t="s">
        <v>171</v>
      </c>
      <c r="CH45" s="13" t="s">
        <v>171</v>
      </c>
      <c r="CI45" s="13">
        <v>18</v>
      </c>
      <c r="CJ45" s="15">
        <v>18</v>
      </c>
      <c r="CK45" s="14" t="s">
        <v>171</v>
      </c>
      <c r="CL45" s="13" t="s">
        <v>171</v>
      </c>
      <c r="CM45" s="13" t="s">
        <v>171</v>
      </c>
      <c r="CN45" s="13" t="s">
        <v>171</v>
      </c>
      <c r="CO45" s="13">
        <v>18</v>
      </c>
      <c r="CP45" s="13">
        <v>18</v>
      </c>
      <c r="CQ45" s="13">
        <v>18</v>
      </c>
      <c r="CR45" s="13">
        <v>18</v>
      </c>
      <c r="CS45" s="13">
        <v>18</v>
      </c>
      <c r="CT45" s="13">
        <v>18</v>
      </c>
      <c r="CU45" s="13">
        <v>18</v>
      </c>
      <c r="CV45" s="15">
        <v>18</v>
      </c>
      <c r="CW45" s="14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5"/>
      <c r="DI45" s="14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5"/>
    </row>
    <row r="46" spans="1:124" x14ac:dyDescent="0.25">
      <c r="A46" s="13"/>
      <c r="B46" s="13"/>
      <c r="C46" s="13"/>
      <c r="D46" s="16" t="s">
        <v>34</v>
      </c>
      <c r="E46" s="14">
        <v>18</v>
      </c>
      <c r="F46" s="13">
        <v>18</v>
      </c>
      <c r="G46" s="13" t="s">
        <v>171</v>
      </c>
      <c r="H46" s="13" t="s">
        <v>171</v>
      </c>
      <c r="I46" s="13" t="s">
        <v>171</v>
      </c>
      <c r="J46" s="13" t="s">
        <v>171</v>
      </c>
      <c r="K46" s="13">
        <v>18</v>
      </c>
      <c r="L46" s="13">
        <v>18</v>
      </c>
      <c r="M46" s="13">
        <v>18</v>
      </c>
      <c r="N46" s="13">
        <v>18</v>
      </c>
      <c r="O46" s="13">
        <v>18</v>
      </c>
      <c r="P46" s="15">
        <v>18</v>
      </c>
      <c r="Q46" s="14">
        <v>18</v>
      </c>
      <c r="R46" s="13">
        <v>18</v>
      </c>
      <c r="S46" s="13">
        <v>18</v>
      </c>
      <c r="T46" s="13">
        <v>0</v>
      </c>
      <c r="U46" s="13">
        <v>0</v>
      </c>
      <c r="V46" s="13">
        <v>0</v>
      </c>
      <c r="W46" s="13" t="s">
        <v>167</v>
      </c>
      <c r="X46" s="13" t="s">
        <v>167</v>
      </c>
      <c r="Y46" s="13" t="s">
        <v>167</v>
      </c>
      <c r="Z46" s="13" t="s">
        <v>167</v>
      </c>
      <c r="AA46" s="13" t="s">
        <v>167</v>
      </c>
      <c r="AB46" s="15" t="s">
        <v>167</v>
      </c>
      <c r="AC46" s="14">
        <v>18</v>
      </c>
      <c r="AD46" s="13">
        <v>18</v>
      </c>
      <c r="AE46" s="13" t="s">
        <v>173</v>
      </c>
      <c r="AF46" s="13" t="s">
        <v>173</v>
      </c>
      <c r="AG46" s="13" t="s">
        <v>173</v>
      </c>
      <c r="AH46" s="13" t="s">
        <v>173</v>
      </c>
      <c r="AI46" s="13">
        <v>18</v>
      </c>
      <c r="AJ46" s="13">
        <v>18</v>
      </c>
      <c r="AK46" s="13" t="s">
        <v>173</v>
      </c>
      <c r="AL46" s="13" t="s">
        <v>173</v>
      </c>
      <c r="AM46" s="13" t="s">
        <v>173</v>
      </c>
      <c r="AN46" s="15" t="s">
        <v>173</v>
      </c>
      <c r="AO46" s="14">
        <v>18</v>
      </c>
      <c r="AP46" s="13">
        <v>18</v>
      </c>
      <c r="AQ46" s="13" t="s">
        <v>171</v>
      </c>
      <c r="AR46" s="13" t="s">
        <v>171</v>
      </c>
      <c r="AS46" s="13" t="s">
        <v>171</v>
      </c>
      <c r="AT46" s="13" t="s">
        <v>171</v>
      </c>
      <c r="AU46" s="13">
        <v>18</v>
      </c>
      <c r="AV46" s="13">
        <v>18</v>
      </c>
      <c r="AW46" s="13">
        <v>18</v>
      </c>
      <c r="AX46" s="13">
        <v>18</v>
      </c>
      <c r="AY46" s="13">
        <v>18</v>
      </c>
      <c r="AZ46" s="15">
        <v>18</v>
      </c>
      <c r="BA46" s="14">
        <v>18</v>
      </c>
      <c r="BB46" s="13">
        <v>18</v>
      </c>
      <c r="BC46" s="13">
        <v>18</v>
      </c>
      <c r="BD46" s="13">
        <v>18</v>
      </c>
      <c r="BE46" s="13">
        <v>18</v>
      </c>
      <c r="BF46" s="13">
        <v>0</v>
      </c>
      <c r="BG46" s="13">
        <v>0</v>
      </c>
      <c r="BH46" s="13">
        <v>0</v>
      </c>
      <c r="BI46" s="13">
        <v>0</v>
      </c>
      <c r="BJ46" s="13">
        <v>0</v>
      </c>
      <c r="BK46" s="13">
        <v>0</v>
      </c>
      <c r="BL46" s="15">
        <v>0</v>
      </c>
      <c r="BM46" s="14">
        <v>18</v>
      </c>
      <c r="BN46" s="13">
        <v>18</v>
      </c>
      <c r="BO46" s="13">
        <v>18</v>
      </c>
      <c r="BP46" s="13">
        <v>18</v>
      </c>
      <c r="BQ46" s="13">
        <v>18</v>
      </c>
      <c r="BR46" s="13">
        <v>18</v>
      </c>
      <c r="BS46" s="13">
        <v>18</v>
      </c>
      <c r="BT46" s="13">
        <v>0</v>
      </c>
      <c r="BU46" s="13">
        <v>0</v>
      </c>
      <c r="BV46" s="13">
        <v>0</v>
      </c>
      <c r="BW46" s="13">
        <v>0</v>
      </c>
      <c r="BX46" s="15">
        <v>0</v>
      </c>
      <c r="BY46" s="14">
        <v>0</v>
      </c>
      <c r="BZ46" s="13">
        <v>0</v>
      </c>
      <c r="CA46" s="13">
        <v>0</v>
      </c>
      <c r="CB46" s="13">
        <v>0</v>
      </c>
      <c r="CC46" s="13">
        <v>0</v>
      </c>
      <c r="CD46" s="13">
        <v>0</v>
      </c>
      <c r="CE46" s="13">
        <v>0</v>
      </c>
      <c r="CF46" s="13">
        <v>0</v>
      </c>
      <c r="CG46" s="13">
        <v>0</v>
      </c>
      <c r="CH46" s="13">
        <v>0</v>
      </c>
      <c r="CI46" s="13">
        <v>0</v>
      </c>
      <c r="CJ46" s="15">
        <v>0</v>
      </c>
      <c r="CK46" s="14">
        <v>0</v>
      </c>
      <c r="CL46" s="13">
        <v>0</v>
      </c>
      <c r="CM46" s="13">
        <v>0</v>
      </c>
      <c r="CN46" s="13">
        <v>0</v>
      </c>
      <c r="CO46" s="13">
        <v>0</v>
      </c>
      <c r="CP46" s="13" t="s">
        <v>170</v>
      </c>
      <c r="CQ46" s="13" t="s">
        <v>170</v>
      </c>
      <c r="CR46" s="13" t="s">
        <v>170</v>
      </c>
      <c r="CS46" s="13" t="s">
        <v>170</v>
      </c>
      <c r="CT46" s="13" t="s">
        <v>170</v>
      </c>
      <c r="CU46" s="13" t="s">
        <v>170</v>
      </c>
      <c r="CV46" s="15">
        <v>18</v>
      </c>
      <c r="CW46" s="14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5"/>
      <c r="DI46" s="14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5"/>
    </row>
    <row r="47" spans="1:124" x14ac:dyDescent="0.25">
      <c r="A47" s="13"/>
      <c r="B47" s="13"/>
      <c r="C47" s="13"/>
      <c r="D47" s="16" t="s">
        <v>63</v>
      </c>
      <c r="E47" s="14">
        <v>18</v>
      </c>
      <c r="F47" s="13">
        <v>18</v>
      </c>
      <c r="G47" s="13" t="s">
        <v>171</v>
      </c>
      <c r="H47" s="13" t="s">
        <v>171</v>
      </c>
      <c r="I47" s="13" t="s">
        <v>171</v>
      </c>
      <c r="J47" s="13" t="s">
        <v>171</v>
      </c>
      <c r="K47" s="13">
        <v>18</v>
      </c>
      <c r="L47" s="13">
        <v>18</v>
      </c>
      <c r="M47" s="13" t="s">
        <v>171</v>
      </c>
      <c r="N47" s="13" t="s">
        <v>171</v>
      </c>
      <c r="O47" s="13" t="s">
        <v>171</v>
      </c>
      <c r="P47" s="15" t="s">
        <v>171</v>
      </c>
      <c r="Q47" s="14">
        <v>18</v>
      </c>
      <c r="R47" s="13">
        <v>18</v>
      </c>
      <c r="S47" s="13" t="s">
        <v>171</v>
      </c>
      <c r="T47" s="13" t="s">
        <v>171</v>
      </c>
      <c r="U47" s="13" t="s">
        <v>171</v>
      </c>
      <c r="V47" s="13" t="s">
        <v>171</v>
      </c>
      <c r="W47" s="13" t="s">
        <v>166</v>
      </c>
      <c r="X47" s="13" t="s">
        <v>166</v>
      </c>
      <c r="Y47" s="13" t="s">
        <v>166</v>
      </c>
      <c r="Z47" s="13" t="s">
        <v>166</v>
      </c>
      <c r="AA47" s="13" t="s">
        <v>166</v>
      </c>
      <c r="AB47" s="15" t="s">
        <v>166</v>
      </c>
      <c r="AC47" s="14">
        <v>18</v>
      </c>
      <c r="AD47" s="13">
        <v>18</v>
      </c>
      <c r="AE47" s="13" t="s">
        <v>173</v>
      </c>
      <c r="AF47" s="13" t="s">
        <v>173</v>
      </c>
      <c r="AG47" s="13" t="s">
        <v>173</v>
      </c>
      <c r="AH47" s="13" t="s">
        <v>173</v>
      </c>
      <c r="AI47" s="13">
        <v>18</v>
      </c>
      <c r="AJ47" s="13">
        <v>18</v>
      </c>
      <c r="AK47" s="13" t="s">
        <v>175</v>
      </c>
      <c r="AL47" s="13" t="s">
        <v>175</v>
      </c>
      <c r="AM47" s="13" t="s">
        <v>175</v>
      </c>
      <c r="AN47" s="15" t="s">
        <v>175</v>
      </c>
      <c r="AO47" s="14">
        <v>18</v>
      </c>
      <c r="AP47" s="13">
        <v>18</v>
      </c>
      <c r="AQ47" s="13" t="s">
        <v>171</v>
      </c>
      <c r="AR47" s="13" t="s">
        <v>171</v>
      </c>
      <c r="AS47" s="13" t="s">
        <v>171</v>
      </c>
      <c r="AT47" s="13" t="s">
        <v>171</v>
      </c>
      <c r="AU47" s="13">
        <v>18</v>
      </c>
      <c r="AV47" s="13">
        <v>18</v>
      </c>
      <c r="AW47" s="13">
        <v>18</v>
      </c>
      <c r="AX47" s="13">
        <v>18</v>
      </c>
      <c r="AY47" s="13">
        <v>18</v>
      </c>
      <c r="AZ47" s="15">
        <v>18</v>
      </c>
      <c r="BA47" s="14">
        <v>18</v>
      </c>
      <c r="BB47" s="13">
        <v>18</v>
      </c>
      <c r="BC47" s="13">
        <v>18</v>
      </c>
      <c r="BD47" s="13">
        <v>18</v>
      </c>
      <c r="BE47" s="13">
        <v>18</v>
      </c>
      <c r="BF47" s="13">
        <v>0</v>
      </c>
      <c r="BG47" s="13">
        <v>0</v>
      </c>
      <c r="BH47" s="13">
        <v>0</v>
      </c>
      <c r="BI47" s="13">
        <v>0</v>
      </c>
      <c r="BJ47" s="13">
        <v>0</v>
      </c>
      <c r="BK47" s="13">
        <v>0</v>
      </c>
      <c r="BL47" s="15">
        <v>0</v>
      </c>
      <c r="BM47" s="14" t="s">
        <v>171</v>
      </c>
      <c r="BN47" s="13">
        <v>18</v>
      </c>
      <c r="BO47" s="13">
        <v>18</v>
      </c>
      <c r="BP47" s="13" t="s">
        <v>171</v>
      </c>
      <c r="BQ47" s="13" t="s">
        <v>171</v>
      </c>
      <c r="BR47" s="13" t="s">
        <v>171</v>
      </c>
      <c r="BS47" s="13" t="s">
        <v>171</v>
      </c>
      <c r="BT47" s="13">
        <v>18</v>
      </c>
      <c r="BU47" s="13">
        <v>18</v>
      </c>
      <c r="BV47" s="13" t="s">
        <v>171</v>
      </c>
      <c r="BW47" s="13" t="s">
        <v>171</v>
      </c>
      <c r="BX47" s="15" t="s">
        <v>171</v>
      </c>
      <c r="BY47" s="14" t="s">
        <v>171</v>
      </c>
      <c r="BZ47" s="13">
        <v>18</v>
      </c>
      <c r="CA47" s="13">
        <v>18</v>
      </c>
      <c r="CB47" s="13" t="s">
        <v>171</v>
      </c>
      <c r="CC47" s="13" t="s">
        <v>171</v>
      </c>
      <c r="CD47" s="13" t="s">
        <v>171</v>
      </c>
      <c r="CE47" s="13" t="s">
        <v>171</v>
      </c>
      <c r="CF47" s="13">
        <v>18</v>
      </c>
      <c r="CG47" s="13">
        <v>18</v>
      </c>
      <c r="CH47" s="13" t="s">
        <v>171</v>
      </c>
      <c r="CI47" s="13" t="s">
        <v>171</v>
      </c>
      <c r="CJ47" s="15" t="s">
        <v>171</v>
      </c>
      <c r="CK47" s="14" t="s">
        <v>171</v>
      </c>
      <c r="CL47" s="13">
        <v>18</v>
      </c>
      <c r="CM47" s="13">
        <v>18</v>
      </c>
      <c r="CN47" s="13" t="s">
        <v>171</v>
      </c>
      <c r="CO47" s="13" t="s">
        <v>171</v>
      </c>
      <c r="CP47" s="13" t="s">
        <v>171</v>
      </c>
      <c r="CQ47" s="13" t="s">
        <v>171</v>
      </c>
      <c r="CR47" s="13">
        <v>18</v>
      </c>
      <c r="CS47" s="13">
        <v>18</v>
      </c>
      <c r="CT47" s="13">
        <v>18</v>
      </c>
      <c r="CU47" s="13">
        <v>18</v>
      </c>
      <c r="CV47" s="15">
        <v>18</v>
      </c>
      <c r="CW47" s="14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5"/>
      <c r="DI47" s="14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5"/>
    </row>
    <row r="48" spans="1:124" x14ac:dyDescent="0.25">
      <c r="A48" s="13"/>
      <c r="B48" s="13"/>
      <c r="C48" s="13"/>
      <c r="D48" s="16" t="s">
        <v>27</v>
      </c>
      <c r="E48" s="14">
        <v>18</v>
      </c>
      <c r="F48" s="13">
        <v>18</v>
      </c>
      <c r="G48" s="13" t="s">
        <v>171</v>
      </c>
      <c r="H48" s="13" t="s">
        <v>171</v>
      </c>
      <c r="I48" s="13" t="s">
        <v>171</v>
      </c>
      <c r="J48" s="13" t="s">
        <v>171</v>
      </c>
      <c r="K48" s="13">
        <v>18</v>
      </c>
      <c r="L48" s="13">
        <v>18</v>
      </c>
      <c r="M48" s="13" t="s">
        <v>171</v>
      </c>
      <c r="N48" s="13" t="s">
        <v>171</v>
      </c>
      <c r="O48" s="13" t="s">
        <v>171</v>
      </c>
      <c r="P48" s="15" t="s">
        <v>171</v>
      </c>
      <c r="Q48" s="14">
        <v>18</v>
      </c>
      <c r="R48" s="13">
        <v>18</v>
      </c>
      <c r="S48" s="13" t="s">
        <v>171</v>
      </c>
      <c r="T48" s="13" t="s">
        <v>171</v>
      </c>
      <c r="U48" s="13" t="s">
        <v>171</v>
      </c>
      <c r="V48" s="13" t="s">
        <v>171</v>
      </c>
      <c r="W48" s="13">
        <v>18</v>
      </c>
      <c r="X48" s="13">
        <v>18</v>
      </c>
      <c r="Y48" s="13" t="s">
        <v>171</v>
      </c>
      <c r="Z48" s="13" t="s">
        <v>171</v>
      </c>
      <c r="AA48" s="13" t="s">
        <v>171</v>
      </c>
      <c r="AB48" s="15" t="s">
        <v>171</v>
      </c>
      <c r="AC48" s="14" t="s">
        <v>167</v>
      </c>
      <c r="AD48" s="13" t="s">
        <v>167</v>
      </c>
      <c r="AE48" s="13" t="s">
        <v>167</v>
      </c>
      <c r="AF48" s="13" t="s">
        <v>167</v>
      </c>
      <c r="AG48" s="13" t="s">
        <v>167</v>
      </c>
      <c r="AH48" s="13" t="s">
        <v>167</v>
      </c>
      <c r="AI48" s="13">
        <v>18</v>
      </c>
      <c r="AJ48" s="13">
        <v>18</v>
      </c>
      <c r="AK48" s="13" t="s">
        <v>171</v>
      </c>
      <c r="AL48" s="13" t="s">
        <v>171</v>
      </c>
      <c r="AM48" s="13" t="s">
        <v>171</v>
      </c>
      <c r="AN48" s="15" t="s">
        <v>171</v>
      </c>
      <c r="AO48" s="14">
        <v>18</v>
      </c>
      <c r="AP48" s="13">
        <v>18</v>
      </c>
      <c r="AQ48" s="13" t="s">
        <v>171</v>
      </c>
      <c r="AR48" s="13" t="s">
        <v>171</v>
      </c>
      <c r="AS48" s="13" t="s">
        <v>171</v>
      </c>
      <c r="AT48" s="13" t="s">
        <v>171</v>
      </c>
      <c r="AU48" s="13">
        <v>18</v>
      </c>
      <c r="AV48" s="13">
        <v>18</v>
      </c>
      <c r="AW48" s="13" t="s">
        <v>171</v>
      </c>
      <c r="AX48" s="13" t="s">
        <v>171</v>
      </c>
      <c r="AY48" s="13" t="s">
        <v>171</v>
      </c>
      <c r="AZ48" s="15" t="s">
        <v>171</v>
      </c>
      <c r="BA48" s="14">
        <v>18</v>
      </c>
      <c r="BB48" s="13">
        <v>18</v>
      </c>
      <c r="BC48" s="13" t="s">
        <v>171</v>
      </c>
      <c r="BD48" s="13" t="s">
        <v>171</v>
      </c>
      <c r="BE48" s="13" t="s">
        <v>171</v>
      </c>
      <c r="BF48" s="13" t="s">
        <v>171</v>
      </c>
      <c r="BG48" s="13">
        <v>18</v>
      </c>
      <c r="BH48" s="13">
        <v>18</v>
      </c>
      <c r="BI48" s="13" t="s">
        <v>171</v>
      </c>
      <c r="BJ48" s="13" t="s">
        <v>171</v>
      </c>
      <c r="BK48" s="13" t="s">
        <v>171</v>
      </c>
      <c r="BL48" s="15" t="s">
        <v>171</v>
      </c>
      <c r="BM48" s="14">
        <v>0</v>
      </c>
      <c r="BN48" s="13">
        <v>0</v>
      </c>
      <c r="BO48" s="13" t="s">
        <v>170</v>
      </c>
      <c r="BP48" s="13" t="s">
        <v>170</v>
      </c>
      <c r="BQ48" s="13" t="s">
        <v>170</v>
      </c>
      <c r="BR48" s="13" t="s">
        <v>170</v>
      </c>
      <c r="BS48" s="13" t="s">
        <v>170</v>
      </c>
      <c r="BT48" s="13" t="s">
        <v>170</v>
      </c>
      <c r="BU48" s="13">
        <v>18</v>
      </c>
      <c r="BV48" s="13">
        <v>18</v>
      </c>
      <c r="BW48" s="13" t="s">
        <v>171</v>
      </c>
      <c r="BX48" s="15" t="s">
        <v>171</v>
      </c>
      <c r="BY48" s="14" t="s">
        <v>171</v>
      </c>
      <c r="BZ48" s="13" t="s">
        <v>171</v>
      </c>
      <c r="CA48" s="13">
        <v>18</v>
      </c>
      <c r="CB48" s="13">
        <v>18</v>
      </c>
      <c r="CC48" s="13" t="s">
        <v>171</v>
      </c>
      <c r="CD48" s="13" t="s">
        <v>171</v>
      </c>
      <c r="CE48" s="13" t="s">
        <v>171</v>
      </c>
      <c r="CF48" s="13" t="s">
        <v>171</v>
      </c>
      <c r="CG48" s="13">
        <v>18</v>
      </c>
      <c r="CH48" s="13">
        <v>18</v>
      </c>
      <c r="CI48" s="13" t="s">
        <v>171</v>
      </c>
      <c r="CJ48" s="15" t="s">
        <v>171</v>
      </c>
      <c r="CK48" s="14" t="s">
        <v>171</v>
      </c>
      <c r="CL48" s="13" t="s">
        <v>171</v>
      </c>
      <c r="CM48" s="13">
        <v>18</v>
      </c>
      <c r="CN48" s="13">
        <v>18</v>
      </c>
      <c r="CO48" s="13" t="s">
        <v>171</v>
      </c>
      <c r="CP48" s="13" t="s">
        <v>171</v>
      </c>
      <c r="CQ48" s="13" t="s">
        <v>171</v>
      </c>
      <c r="CR48" s="13" t="s">
        <v>171</v>
      </c>
      <c r="CS48" s="13">
        <v>18</v>
      </c>
      <c r="CT48" s="13">
        <v>18</v>
      </c>
      <c r="CU48" s="13">
        <v>18</v>
      </c>
      <c r="CV48" s="15">
        <v>18</v>
      </c>
      <c r="CW48" s="14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5"/>
      <c r="DI48" s="14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5"/>
    </row>
    <row r="49" spans="1:124" x14ac:dyDescent="0.25">
      <c r="A49" s="13"/>
      <c r="B49" s="13"/>
      <c r="C49" s="13"/>
      <c r="D49" s="16" t="s">
        <v>38</v>
      </c>
      <c r="E49" s="14">
        <v>18</v>
      </c>
      <c r="F49" s="13">
        <v>18</v>
      </c>
      <c r="G49" s="13" t="s">
        <v>173</v>
      </c>
      <c r="H49" s="13" t="s">
        <v>173</v>
      </c>
      <c r="I49" s="13" t="s">
        <v>173</v>
      </c>
      <c r="J49" s="13" t="s">
        <v>173</v>
      </c>
      <c r="K49" s="13">
        <v>18</v>
      </c>
      <c r="L49" s="13">
        <v>18</v>
      </c>
      <c r="M49" s="13" t="s">
        <v>171</v>
      </c>
      <c r="N49" s="13" t="s">
        <v>171</v>
      </c>
      <c r="O49" s="13" t="s">
        <v>171</v>
      </c>
      <c r="P49" s="15" t="s">
        <v>171</v>
      </c>
      <c r="Q49" s="14">
        <v>18</v>
      </c>
      <c r="R49" s="13">
        <v>18</v>
      </c>
      <c r="S49" s="13" t="s">
        <v>171</v>
      </c>
      <c r="T49" s="13" t="s">
        <v>171</v>
      </c>
      <c r="U49" s="13" t="s">
        <v>171</v>
      </c>
      <c r="V49" s="13" t="s">
        <v>171</v>
      </c>
      <c r="W49" s="13">
        <v>18</v>
      </c>
      <c r="X49" s="13">
        <v>18</v>
      </c>
      <c r="Y49" s="13">
        <v>18</v>
      </c>
      <c r="Z49" s="13">
        <v>18</v>
      </c>
      <c r="AA49" s="13">
        <v>18</v>
      </c>
      <c r="AB49" s="15">
        <v>18</v>
      </c>
      <c r="AC49" s="14">
        <v>18</v>
      </c>
      <c r="AD49" s="13" t="s">
        <v>167</v>
      </c>
      <c r="AE49" s="13" t="s">
        <v>167</v>
      </c>
      <c r="AF49" s="13" t="s">
        <v>167</v>
      </c>
      <c r="AG49" s="13" t="s">
        <v>167</v>
      </c>
      <c r="AH49" s="13" t="s">
        <v>167</v>
      </c>
      <c r="AI49" s="13" t="s">
        <v>167</v>
      </c>
      <c r="AJ49" s="13" t="s">
        <v>167</v>
      </c>
      <c r="AK49" s="13" t="s">
        <v>167</v>
      </c>
      <c r="AL49" s="13" t="s">
        <v>167</v>
      </c>
      <c r="AM49" s="13" t="s">
        <v>167</v>
      </c>
      <c r="AN49" s="15" t="s">
        <v>167</v>
      </c>
      <c r="AO49" s="14">
        <v>18</v>
      </c>
      <c r="AP49" s="13">
        <v>18</v>
      </c>
      <c r="AQ49" s="13" t="s">
        <v>173</v>
      </c>
      <c r="AR49" s="13" t="s">
        <v>173</v>
      </c>
      <c r="AS49" s="13" t="s">
        <v>173</v>
      </c>
      <c r="AT49" s="13" t="s">
        <v>173</v>
      </c>
      <c r="AU49" s="13">
        <v>18</v>
      </c>
      <c r="AV49" s="13">
        <v>18</v>
      </c>
      <c r="AW49" s="13" t="s">
        <v>173</v>
      </c>
      <c r="AX49" s="13" t="s">
        <v>173</v>
      </c>
      <c r="AY49" s="13" t="s">
        <v>173</v>
      </c>
      <c r="AZ49" s="15" t="s">
        <v>173</v>
      </c>
      <c r="BA49" s="14">
        <v>18</v>
      </c>
      <c r="BB49" s="13">
        <v>18</v>
      </c>
      <c r="BC49" s="13" t="s">
        <v>171</v>
      </c>
      <c r="BD49" s="13" t="s">
        <v>171</v>
      </c>
      <c r="BE49" s="13" t="s">
        <v>171</v>
      </c>
      <c r="BF49" s="13" t="s">
        <v>171</v>
      </c>
      <c r="BG49" s="13">
        <v>18</v>
      </c>
      <c r="BH49" s="13">
        <v>18</v>
      </c>
      <c r="BI49" s="13">
        <v>18</v>
      </c>
      <c r="BJ49" s="13">
        <v>18</v>
      </c>
      <c r="BK49" s="13">
        <v>18</v>
      </c>
      <c r="BL49" s="15">
        <v>18</v>
      </c>
      <c r="BM49" s="14" t="s">
        <v>166</v>
      </c>
      <c r="BN49" s="13" t="s">
        <v>166</v>
      </c>
      <c r="BO49" s="13" t="s">
        <v>166</v>
      </c>
      <c r="BP49" s="13" t="s">
        <v>166</v>
      </c>
      <c r="BQ49" s="13" t="s">
        <v>166</v>
      </c>
      <c r="BR49" s="13" t="s">
        <v>166</v>
      </c>
      <c r="BS49" s="13">
        <v>18</v>
      </c>
      <c r="BT49" s="13">
        <v>18</v>
      </c>
      <c r="BU49" s="13" t="s">
        <v>171</v>
      </c>
      <c r="BV49" s="13" t="s">
        <v>171</v>
      </c>
      <c r="BW49" s="13" t="s">
        <v>171</v>
      </c>
      <c r="BX49" s="15" t="s">
        <v>171</v>
      </c>
      <c r="BY49" s="14">
        <v>18</v>
      </c>
      <c r="BZ49" s="13">
        <v>18</v>
      </c>
      <c r="CA49" s="13" t="s">
        <v>171</v>
      </c>
      <c r="CB49" s="13" t="s">
        <v>171</v>
      </c>
      <c r="CC49" s="13" t="s">
        <v>171</v>
      </c>
      <c r="CD49" s="13" t="s">
        <v>171</v>
      </c>
      <c r="CE49" s="13">
        <v>18</v>
      </c>
      <c r="CF49" s="13">
        <v>18</v>
      </c>
      <c r="CG49" s="13" t="s">
        <v>171</v>
      </c>
      <c r="CH49" s="13" t="s">
        <v>171</v>
      </c>
      <c r="CI49" s="13" t="s">
        <v>171</v>
      </c>
      <c r="CJ49" s="15" t="s">
        <v>171</v>
      </c>
      <c r="CK49" s="14">
        <v>18</v>
      </c>
      <c r="CL49" s="13">
        <v>18</v>
      </c>
      <c r="CM49" s="13" t="s">
        <v>171</v>
      </c>
      <c r="CN49" s="13" t="s">
        <v>171</v>
      </c>
      <c r="CO49" s="13" t="s">
        <v>171</v>
      </c>
      <c r="CP49" s="13" t="s">
        <v>171</v>
      </c>
      <c r="CQ49" s="13">
        <v>18</v>
      </c>
      <c r="CR49" s="13">
        <v>18</v>
      </c>
      <c r="CS49" s="13">
        <v>18</v>
      </c>
      <c r="CT49" s="13">
        <v>18</v>
      </c>
      <c r="CU49" s="13">
        <v>18</v>
      </c>
      <c r="CV49" s="15">
        <v>18</v>
      </c>
      <c r="CW49" s="14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5"/>
      <c r="DI49" s="14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5"/>
    </row>
    <row r="50" spans="1:124" x14ac:dyDescent="0.25">
      <c r="A50" s="13"/>
      <c r="B50" s="13"/>
      <c r="C50" s="13"/>
      <c r="D50" s="16" t="s">
        <v>68</v>
      </c>
      <c r="E50" s="14">
        <v>18</v>
      </c>
      <c r="F50" s="13" t="s">
        <v>174</v>
      </c>
      <c r="G50" s="13" t="s">
        <v>174</v>
      </c>
      <c r="H50" s="13" t="s">
        <v>174</v>
      </c>
      <c r="I50" s="13" t="s">
        <v>174</v>
      </c>
      <c r="J50" s="13">
        <v>18</v>
      </c>
      <c r="K50" s="13">
        <v>18</v>
      </c>
      <c r="L50" s="13" t="s">
        <v>173</v>
      </c>
      <c r="M50" s="13" t="s">
        <v>173</v>
      </c>
      <c r="N50" s="13" t="s">
        <v>173</v>
      </c>
      <c r="O50" s="13" t="s">
        <v>173</v>
      </c>
      <c r="P50" s="15">
        <v>18</v>
      </c>
      <c r="Q50" s="14">
        <v>18</v>
      </c>
      <c r="R50" s="13" t="s">
        <v>173</v>
      </c>
      <c r="S50" s="13" t="s">
        <v>173</v>
      </c>
      <c r="T50" s="13" t="s">
        <v>173</v>
      </c>
      <c r="U50" s="13" t="s">
        <v>173</v>
      </c>
      <c r="V50" s="13">
        <v>18</v>
      </c>
      <c r="W50" s="13">
        <v>18</v>
      </c>
      <c r="X50" s="13">
        <v>18</v>
      </c>
      <c r="Y50" s="13">
        <v>18</v>
      </c>
      <c r="Z50" s="13">
        <v>18</v>
      </c>
      <c r="AA50" s="13">
        <v>18</v>
      </c>
      <c r="AB50" s="15">
        <v>18</v>
      </c>
      <c r="AC50" s="14">
        <v>0</v>
      </c>
      <c r="AD50" s="13" t="s">
        <v>166</v>
      </c>
      <c r="AE50" s="13" t="s">
        <v>166</v>
      </c>
      <c r="AF50" s="13" t="s">
        <v>166</v>
      </c>
      <c r="AG50" s="13" t="s">
        <v>166</v>
      </c>
      <c r="AH50" s="13" t="s">
        <v>166</v>
      </c>
      <c r="AI50" s="13">
        <v>18</v>
      </c>
      <c r="AJ50" s="13">
        <v>18</v>
      </c>
      <c r="AK50" s="13" t="s">
        <v>173</v>
      </c>
      <c r="AL50" s="13" t="s">
        <v>173</v>
      </c>
      <c r="AM50" s="13" t="s">
        <v>173</v>
      </c>
      <c r="AN50" s="15" t="s">
        <v>173</v>
      </c>
      <c r="AO50" s="14">
        <v>18</v>
      </c>
      <c r="AP50" s="13">
        <v>18</v>
      </c>
      <c r="AQ50" s="13" t="s">
        <v>173</v>
      </c>
      <c r="AR50" s="13" t="s">
        <v>173</v>
      </c>
      <c r="AS50" s="13" t="s">
        <v>173</v>
      </c>
      <c r="AT50" s="13" t="s">
        <v>173</v>
      </c>
      <c r="AU50" s="13">
        <v>18</v>
      </c>
      <c r="AV50" s="13">
        <v>18</v>
      </c>
      <c r="AW50" s="13" t="s">
        <v>174</v>
      </c>
      <c r="AX50" s="13" t="s">
        <v>174</v>
      </c>
      <c r="AY50" s="13" t="s">
        <v>174</v>
      </c>
      <c r="AZ50" s="15" t="s">
        <v>174</v>
      </c>
      <c r="BA50" s="14">
        <v>18</v>
      </c>
      <c r="BB50" s="13">
        <v>18</v>
      </c>
      <c r="BC50" s="13">
        <v>18</v>
      </c>
      <c r="BD50" s="13">
        <v>18</v>
      </c>
      <c r="BE50" s="13">
        <v>18</v>
      </c>
      <c r="BF50" s="13">
        <v>18</v>
      </c>
      <c r="BG50" s="13">
        <v>18</v>
      </c>
      <c r="BH50" s="13">
        <v>18</v>
      </c>
      <c r="BI50" s="13">
        <v>18</v>
      </c>
      <c r="BJ50" s="13">
        <v>18</v>
      </c>
      <c r="BK50" s="13">
        <v>18</v>
      </c>
      <c r="BL50" s="15">
        <v>0</v>
      </c>
      <c r="BM50" s="14" t="s">
        <v>171</v>
      </c>
      <c r="BN50" s="13" t="s">
        <v>171</v>
      </c>
      <c r="BO50" s="13" t="s">
        <v>171</v>
      </c>
      <c r="BP50" s="13" t="s">
        <v>171</v>
      </c>
      <c r="BQ50" s="13">
        <v>18</v>
      </c>
      <c r="BR50" s="13">
        <v>18</v>
      </c>
      <c r="BS50" s="13" t="s">
        <v>171</v>
      </c>
      <c r="BT50" s="13" t="s">
        <v>171</v>
      </c>
      <c r="BU50" s="13" t="s">
        <v>171</v>
      </c>
      <c r="BV50" s="13" t="s">
        <v>171</v>
      </c>
      <c r="BW50" s="13">
        <v>18</v>
      </c>
      <c r="BX50" s="15">
        <v>18</v>
      </c>
      <c r="BY50" s="14" t="s">
        <v>171</v>
      </c>
      <c r="BZ50" s="13" t="s">
        <v>171</v>
      </c>
      <c r="CA50" s="13" t="s">
        <v>171</v>
      </c>
      <c r="CB50" s="13" t="s">
        <v>171</v>
      </c>
      <c r="CC50" s="13">
        <v>18</v>
      </c>
      <c r="CD50" s="13">
        <v>18</v>
      </c>
      <c r="CE50" s="13">
        <v>18</v>
      </c>
      <c r="CF50" s="13">
        <v>18</v>
      </c>
      <c r="CG50" s="13">
        <v>18</v>
      </c>
      <c r="CH50" s="13">
        <v>18</v>
      </c>
      <c r="CI50" s="13">
        <v>18</v>
      </c>
      <c r="CJ50" s="15">
        <v>18</v>
      </c>
      <c r="CK50" s="14">
        <v>0</v>
      </c>
      <c r="CL50" s="13">
        <v>0</v>
      </c>
      <c r="CM50" s="13">
        <v>0</v>
      </c>
      <c r="CN50" s="13">
        <v>0</v>
      </c>
      <c r="CO50" s="13">
        <v>0</v>
      </c>
      <c r="CP50" s="13">
        <v>0</v>
      </c>
      <c r="CQ50" s="13">
        <v>0</v>
      </c>
      <c r="CR50" s="13">
        <v>18</v>
      </c>
      <c r="CS50" s="13">
        <v>18</v>
      </c>
      <c r="CT50" s="13">
        <v>18</v>
      </c>
      <c r="CU50" s="13">
        <v>18</v>
      </c>
      <c r="CV50" s="15">
        <v>18</v>
      </c>
      <c r="CW50" s="14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5"/>
      <c r="DI50" s="14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5"/>
    </row>
    <row r="51" spans="1:124" x14ac:dyDescent="0.25">
      <c r="A51" s="13"/>
      <c r="B51" s="13"/>
      <c r="C51" s="13"/>
      <c r="D51" s="16" t="s">
        <v>37</v>
      </c>
      <c r="E51" s="14">
        <v>18</v>
      </c>
      <c r="F51" s="13">
        <v>18</v>
      </c>
      <c r="G51" s="13" t="s">
        <v>171</v>
      </c>
      <c r="H51" s="13" t="s">
        <v>171</v>
      </c>
      <c r="I51" s="13" t="s">
        <v>171</v>
      </c>
      <c r="J51" s="13" t="s">
        <v>171</v>
      </c>
      <c r="K51" s="13">
        <v>18</v>
      </c>
      <c r="L51" s="13">
        <v>18</v>
      </c>
      <c r="M51" s="13" t="s">
        <v>171</v>
      </c>
      <c r="N51" s="13" t="s">
        <v>171</v>
      </c>
      <c r="O51" s="13" t="s">
        <v>171</v>
      </c>
      <c r="P51" s="15" t="s">
        <v>171</v>
      </c>
      <c r="Q51" s="14">
        <v>18</v>
      </c>
      <c r="R51" s="13">
        <v>18</v>
      </c>
      <c r="S51" s="13" t="s">
        <v>171</v>
      </c>
      <c r="T51" s="13" t="s">
        <v>171</v>
      </c>
      <c r="U51" s="13" t="s">
        <v>171</v>
      </c>
      <c r="V51" s="13" t="s">
        <v>171</v>
      </c>
      <c r="W51" s="13">
        <v>18</v>
      </c>
      <c r="X51" s="13">
        <v>18</v>
      </c>
      <c r="Y51" s="13" t="s">
        <v>171</v>
      </c>
      <c r="Z51" s="13" t="s">
        <v>171</v>
      </c>
      <c r="AA51" s="13" t="s">
        <v>171</v>
      </c>
      <c r="AB51" s="15" t="s">
        <v>171</v>
      </c>
      <c r="AC51" s="14">
        <v>18</v>
      </c>
      <c r="AD51" s="13">
        <v>18</v>
      </c>
      <c r="AE51" s="13" t="s">
        <v>171</v>
      </c>
      <c r="AF51" s="13" t="s">
        <v>171</v>
      </c>
      <c r="AG51" s="13" t="s">
        <v>171</v>
      </c>
      <c r="AH51" s="13" t="s">
        <v>171</v>
      </c>
      <c r="AI51" s="13" t="s">
        <v>167</v>
      </c>
      <c r="AJ51" s="13" t="s">
        <v>167</v>
      </c>
      <c r="AK51" s="13" t="s">
        <v>167</v>
      </c>
      <c r="AL51" s="13" t="s">
        <v>167</v>
      </c>
      <c r="AM51" s="13" t="s">
        <v>167</v>
      </c>
      <c r="AN51" s="15" t="s">
        <v>167</v>
      </c>
      <c r="AO51" s="14">
        <v>18</v>
      </c>
      <c r="AP51" s="13">
        <v>18</v>
      </c>
      <c r="AQ51" s="13" t="s">
        <v>171</v>
      </c>
      <c r="AR51" s="13" t="s">
        <v>171</v>
      </c>
      <c r="AS51" s="13" t="s">
        <v>171</v>
      </c>
      <c r="AT51" s="13" t="s">
        <v>171</v>
      </c>
      <c r="AU51" s="13">
        <v>18</v>
      </c>
      <c r="AV51" s="13">
        <v>18</v>
      </c>
      <c r="AW51" s="13" t="s">
        <v>171</v>
      </c>
      <c r="AX51" s="13" t="s">
        <v>171</v>
      </c>
      <c r="AY51" s="13" t="s">
        <v>171</v>
      </c>
      <c r="AZ51" s="15" t="s">
        <v>171</v>
      </c>
      <c r="BA51" s="14">
        <v>18</v>
      </c>
      <c r="BB51" s="13">
        <v>18</v>
      </c>
      <c r="BC51" s="13" t="s">
        <v>171</v>
      </c>
      <c r="BD51" s="13" t="s">
        <v>171</v>
      </c>
      <c r="BE51" s="13" t="s">
        <v>171</v>
      </c>
      <c r="BF51" s="13" t="s">
        <v>171</v>
      </c>
      <c r="BG51" s="13">
        <v>18</v>
      </c>
      <c r="BH51" s="13">
        <v>18</v>
      </c>
      <c r="BI51" s="13" t="s">
        <v>171</v>
      </c>
      <c r="BJ51" s="13" t="s">
        <v>171</v>
      </c>
      <c r="BK51" s="13" t="s">
        <v>171</v>
      </c>
      <c r="BL51" s="15" t="s">
        <v>171</v>
      </c>
      <c r="BM51" s="14">
        <v>0</v>
      </c>
      <c r="BN51" s="13">
        <v>0</v>
      </c>
      <c r="BO51" s="13" t="s">
        <v>170</v>
      </c>
      <c r="BP51" s="13" t="s">
        <v>170</v>
      </c>
      <c r="BQ51" s="13" t="s">
        <v>170</v>
      </c>
      <c r="BR51" s="13" t="s">
        <v>170</v>
      </c>
      <c r="BS51" s="13" t="s">
        <v>170</v>
      </c>
      <c r="BT51" s="13" t="s">
        <v>170</v>
      </c>
      <c r="BU51" s="13">
        <v>18</v>
      </c>
      <c r="BV51" s="13">
        <v>18</v>
      </c>
      <c r="BW51" s="13" t="s">
        <v>171</v>
      </c>
      <c r="BX51" s="15" t="s">
        <v>171</v>
      </c>
      <c r="BY51" s="14" t="s">
        <v>171</v>
      </c>
      <c r="BZ51" s="13" t="s">
        <v>171</v>
      </c>
      <c r="CA51" s="13">
        <v>18</v>
      </c>
      <c r="CB51" s="13">
        <v>18</v>
      </c>
      <c r="CC51" s="13" t="s">
        <v>171</v>
      </c>
      <c r="CD51" s="13" t="s">
        <v>171</v>
      </c>
      <c r="CE51" s="13" t="s">
        <v>171</v>
      </c>
      <c r="CF51" s="13" t="s">
        <v>171</v>
      </c>
      <c r="CG51" s="13">
        <v>18</v>
      </c>
      <c r="CH51" s="13">
        <v>18</v>
      </c>
      <c r="CI51" s="13" t="s">
        <v>171</v>
      </c>
      <c r="CJ51" s="15" t="s">
        <v>171</v>
      </c>
      <c r="CK51" s="14" t="s">
        <v>171</v>
      </c>
      <c r="CL51" s="13" t="s">
        <v>171</v>
      </c>
      <c r="CM51" s="13">
        <v>18</v>
      </c>
      <c r="CN51" s="13">
        <v>18</v>
      </c>
      <c r="CO51" s="13" t="s">
        <v>171</v>
      </c>
      <c r="CP51" s="13" t="s">
        <v>171</v>
      </c>
      <c r="CQ51" s="13" t="s">
        <v>171</v>
      </c>
      <c r="CR51" s="13" t="s">
        <v>171</v>
      </c>
      <c r="CS51" s="13">
        <v>18</v>
      </c>
      <c r="CT51" s="13">
        <v>18</v>
      </c>
      <c r="CU51" s="13">
        <v>18</v>
      </c>
      <c r="CV51" s="15">
        <v>18</v>
      </c>
      <c r="CW51" s="14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5"/>
      <c r="DI51" s="14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5"/>
    </row>
    <row r="52" spans="1:124" x14ac:dyDescent="0.25">
      <c r="A52" s="13"/>
      <c r="B52" s="13"/>
      <c r="C52" s="13"/>
      <c r="D52" s="16" t="s">
        <v>73</v>
      </c>
      <c r="E52" s="14">
        <v>18</v>
      </c>
      <c r="F52" s="13">
        <v>18</v>
      </c>
      <c r="G52" s="13" t="s">
        <v>171</v>
      </c>
      <c r="H52" s="13" t="s">
        <v>171</v>
      </c>
      <c r="I52" s="13" t="s">
        <v>171</v>
      </c>
      <c r="J52" s="13" t="s">
        <v>171</v>
      </c>
      <c r="K52" s="13">
        <v>18</v>
      </c>
      <c r="L52" s="13">
        <v>18</v>
      </c>
      <c r="M52" s="13" t="s">
        <v>171</v>
      </c>
      <c r="N52" s="13" t="s">
        <v>171</v>
      </c>
      <c r="O52" s="13" t="s">
        <v>171</v>
      </c>
      <c r="P52" s="15" t="s">
        <v>171</v>
      </c>
      <c r="Q52" s="14">
        <v>18</v>
      </c>
      <c r="R52" s="13">
        <v>18</v>
      </c>
      <c r="S52" s="13" t="s">
        <v>171</v>
      </c>
      <c r="T52" s="13" t="s">
        <v>171</v>
      </c>
      <c r="U52" s="13" t="s">
        <v>171</v>
      </c>
      <c r="V52" s="13" t="s">
        <v>171</v>
      </c>
      <c r="W52" s="13">
        <v>18</v>
      </c>
      <c r="X52" s="13">
        <v>18</v>
      </c>
      <c r="Y52" s="13" t="s">
        <v>171</v>
      </c>
      <c r="Z52" s="13" t="s">
        <v>171</v>
      </c>
      <c r="AA52" s="13" t="s">
        <v>171</v>
      </c>
      <c r="AB52" s="15" t="s">
        <v>171</v>
      </c>
      <c r="AC52" s="14">
        <v>18</v>
      </c>
      <c r="AD52" s="13">
        <v>18</v>
      </c>
      <c r="AE52" s="13" t="s">
        <v>171</v>
      </c>
      <c r="AF52" s="13" t="s">
        <v>171</v>
      </c>
      <c r="AG52" s="13" t="s">
        <v>171</v>
      </c>
      <c r="AH52" s="13" t="s">
        <v>171</v>
      </c>
      <c r="AI52" s="13">
        <v>18</v>
      </c>
      <c r="AJ52" s="13" t="s">
        <v>166</v>
      </c>
      <c r="AK52" s="13" t="s">
        <v>166</v>
      </c>
      <c r="AL52" s="13" t="s">
        <v>166</v>
      </c>
      <c r="AM52" s="13" t="s">
        <v>166</v>
      </c>
      <c r="AN52" s="15" t="s">
        <v>166</v>
      </c>
      <c r="AO52" s="14" t="s">
        <v>166</v>
      </c>
      <c r="AP52" s="13">
        <v>18</v>
      </c>
      <c r="AQ52" s="13">
        <v>18</v>
      </c>
      <c r="AR52" s="13" t="s">
        <v>173</v>
      </c>
      <c r="AS52" s="13" t="s">
        <v>173</v>
      </c>
      <c r="AT52" s="13" t="s">
        <v>173</v>
      </c>
      <c r="AU52" s="13" t="s">
        <v>173</v>
      </c>
      <c r="AV52" s="13">
        <v>18</v>
      </c>
      <c r="AW52" s="13">
        <v>18</v>
      </c>
      <c r="AX52" s="13" t="s">
        <v>173</v>
      </c>
      <c r="AY52" s="13" t="s">
        <v>173</v>
      </c>
      <c r="AZ52" s="15" t="s">
        <v>173</v>
      </c>
      <c r="BA52" s="14" t="s">
        <v>173</v>
      </c>
      <c r="BB52" s="13">
        <v>18</v>
      </c>
      <c r="BC52" s="13">
        <v>18</v>
      </c>
      <c r="BD52" s="13" t="s">
        <v>171</v>
      </c>
      <c r="BE52" s="13" t="s">
        <v>171</v>
      </c>
      <c r="BF52" s="13" t="s">
        <v>171</v>
      </c>
      <c r="BG52" s="13" t="s">
        <v>171</v>
      </c>
      <c r="BH52" s="13">
        <v>18</v>
      </c>
      <c r="BI52" s="13">
        <v>18</v>
      </c>
      <c r="BJ52" s="13">
        <v>18</v>
      </c>
      <c r="BK52" s="13">
        <v>18</v>
      </c>
      <c r="BL52" s="15">
        <v>18</v>
      </c>
      <c r="BM52" s="14">
        <v>18</v>
      </c>
      <c r="BN52" s="13">
        <v>18</v>
      </c>
      <c r="BO52" s="13" t="s">
        <v>171</v>
      </c>
      <c r="BP52" s="13" t="s">
        <v>171</v>
      </c>
      <c r="BQ52" s="13" t="s">
        <v>171</v>
      </c>
      <c r="BR52" s="13" t="s">
        <v>171</v>
      </c>
      <c r="BS52" s="13">
        <v>18</v>
      </c>
      <c r="BT52" s="13">
        <v>18</v>
      </c>
      <c r="BU52" s="13" t="s">
        <v>171</v>
      </c>
      <c r="BV52" s="13" t="s">
        <v>171</v>
      </c>
      <c r="BW52" s="13" t="s">
        <v>171</v>
      </c>
      <c r="BX52" s="15" t="s">
        <v>171</v>
      </c>
      <c r="BY52" s="14">
        <v>18</v>
      </c>
      <c r="BZ52" s="13">
        <v>18</v>
      </c>
      <c r="CA52" s="13" t="s">
        <v>171</v>
      </c>
      <c r="CB52" s="13" t="s">
        <v>171</v>
      </c>
      <c r="CC52" s="13" t="s">
        <v>171</v>
      </c>
      <c r="CD52" s="13" t="s">
        <v>171</v>
      </c>
      <c r="CE52" s="13">
        <v>18</v>
      </c>
      <c r="CF52" s="13">
        <v>18</v>
      </c>
      <c r="CG52" s="13" t="s">
        <v>171</v>
      </c>
      <c r="CH52" s="13" t="s">
        <v>171</v>
      </c>
      <c r="CI52" s="13" t="s">
        <v>171</v>
      </c>
      <c r="CJ52" s="15" t="s">
        <v>171</v>
      </c>
      <c r="CK52" s="14">
        <v>18</v>
      </c>
      <c r="CL52" s="13">
        <v>18</v>
      </c>
      <c r="CM52" s="13" t="s">
        <v>171</v>
      </c>
      <c r="CN52" s="13" t="s">
        <v>171</v>
      </c>
      <c r="CO52" s="13" t="s">
        <v>171</v>
      </c>
      <c r="CP52" s="13" t="s">
        <v>171</v>
      </c>
      <c r="CQ52" s="13">
        <v>18</v>
      </c>
      <c r="CR52" s="13">
        <v>18</v>
      </c>
      <c r="CS52" s="13">
        <v>18</v>
      </c>
      <c r="CT52" s="13">
        <v>18</v>
      </c>
      <c r="CU52" s="13">
        <v>18</v>
      </c>
      <c r="CV52" s="15">
        <v>18</v>
      </c>
      <c r="CW52" s="14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5"/>
      <c r="DI52" s="14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5"/>
    </row>
    <row r="53" spans="1:124" x14ac:dyDescent="0.25">
      <c r="A53" s="13"/>
      <c r="B53" s="13"/>
      <c r="C53" s="13"/>
      <c r="D53" s="16" t="s">
        <v>43</v>
      </c>
      <c r="E53" s="14">
        <v>18</v>
      </c>
      <c r="F53" s="13">
        <v>18</v>
      </c>
      <c r="G53" s="13" t="s">
        <v>171</v>
      </c>
      <c r="H53" s="13" t="s">
        <v>171</v>
      </c>
      <c r="I53" s="13" t="s">
        <v>171</v>
      </c>
      <c r="J53" s="13" t="s">
        <v>171</v>
      </c>
      <c r="K53" s="13">
        <v>18</v>
      </c>
      <c r="L53" s="13">
        <v>18</v>
      </c>
      <c r="M53" s="13" t="s">
        <v>171</v>
      </c>
      <c r="N53" s="13" t="s">
        <v>171</v>
      </c>
      <c r="O53" s="13" t="s">
        <v>171</v>
      </c>
      <c r="P53" s="15" t="s">
        <v>171</v>
      </c>
      <c r="Q53" s="14">
        <v>18</v>
      </c>
      <c r="R53" s="13">
        <v>18</v>
      </c>
      <c r="S53" s="13" t="s">
        <v>171</v>
      </c>
      <c r="T53" s="13" t="s">
        <v>171</v>
      </c>
      <c r="U53" s="13" t="s">
        <v>171</v>
      </c>
      <c r="V53" s="13" t="s">
        <v>171</v>
      </c>
      <c r="W53" s="13">
        <v>18</v>
      </c>
      <c r="X53" s="13">
        <v>18</v>
      </c>
      <c r="Y53" s="13" t="s">
        <v>171</v>
      </c>
      <c r="Z53" s="13" t="s">
        <v>171</v>
      </c>
      <c r="AA53" s="13" t="s">
        <v>171</v>
      </c>
      <c r="AB53" s="15" t="s">
        <v>171</v>
      </c>
      <c r="AC53" s="14">
        <v>18</v>
      </c>
      <c r="AD53" s="13">
        <v>18</v>
      </c>
      <c r="AE53" s="13" t="s">
        <v>173</v>
      </c>
      <c r="AF53" s="13" t="s">
        <v>173</v>
      </c>
      <c r="AG53" s="13" t="s">
        <v>173</v>
      </c>
      <c r="AH53" s="13" t="s">
        <v>173</v>
      </c>
      <c r="AI53" s="13">
        <v>18</v>
      </c>
      <c r="AJ53" s="13">
        <v>18</v>
      </c>
      <c r="AK53" s="13" t="s">
        <v>171</v>
      </c>
      <c r="AL53" s="13" t="s">
        <v>171</v>
      </c>
      <c r="AM53" s="13" t="s">
        <v>171</v>
      </c>
      <c r="AN53" s="15" t="s">
        <v>171</v>
      </c>
      <c r="AO53" s="14" t="s">
        <v>167</v>
      </c>
      <c r="AP53" s="13" t="s">
        <v>167</v>
      </c>
      <c r="AQ53" s="13" t="s">
        <v>167</v>
      </c>
      <c r="AR53" s="13" t="s">
        <v>167</v>
      </c>
      <c r="AS53" s="13" t="s">
        <v>167</v>
      </c>
      <c r="AT53" s="13" t="s">
        <v>167</v>
      </c>
      <c r="AU53" s="13">
        <v>18</v>
      </c>
      <c r="AV53" s="13">
        <v>18</v>
      </c>
      <c r="AW53" s="13" t="s">
        <v>173</v>
      </c>
      <c r="AX53" s="13" t="s">
        <v>173</v>
      </c>
      <c r="AY53" s="13" t="s">
        <v>173</v>
      </c>
      <c r="AZ53" s="15" t="s">
        <v>173</v>
      </c>
      <c r="BA53" s="14">
        <v>18</v>
      </c>
      <c r="BB53" s="13">
        <v>18</v>
      </c>
      <c r="BC53" s="13" t="s">
        <v>173</v>
      </c>
      <c r="BD53" s="13" t="s">
        <v>173</v>
      </c>
      <c r="BE53" s="13" t="s">
        <v>173</v>
      </c>
      <c r="BF53" s="13" t="s">
        <v>173</v>
      </c>
      <c r="BG53" s="13">
        <v>18</v>
      </c>
      <c r="BH53" s="13">
        <v>18</v>
      </c>
      <c r="BI53" s="13" t="s">
        <v>172</v>
      </c>
      <c r="BJ53" s="13" t="s">
        <v>172</v>
      </c>
      <c r="BK53" s="13">
        <v>18</v>
      </c>
      <c r="BL53" s="15">
        <v>18</v>
      </c>
      <c r="BM53" s="14" t="s">
        <v>170</v>
      </c>
      <c r="BN53" s="13" t="s">
        <v>170</v>
      </c>
      <c r="BO53" s="13" t="s">
        <v>170</v>
      </c>
      <c r="BP53" s="13" t="s">
        <v>170</v>
      </c>
      <c r="BQ53" s="13">
        <v>18</v>
      </c>
      <c r="BR53" s="13">
        <v>18</v>
      </c>
      <c r="BS53" s="13" t="s">
        <v>171</v>
      </c>
      <c r="BT53" s="13" t="s">
        <v>171</v>
      </c>
      <c r="BU53" s="13" t="s">
        <v>171</v>
      </c>
      <c r="BV53" s="13" t="s">
        <v>171</v>
      </c>
      <c r="BW53" s="13">
        <v>18</v>
      </c>
      <c r="BX53" s="15">
        <v>18</v>
      </c>
      <c r="BY53" s="14" t="s">
        <v>171</v>
      </c>
      <c r="BZ53" s="13" t="s">
        <v>171</v>
      </c>
      <c r="CA53" s="13" t="s">
        <v>171</v>
      </c>
      <c r="CB53" s="13" t="s">
        <v>171</v>
      </c>
      <c r="CC53" s="13">
        <v>18</v>
      </c>
      <c r="CD53" s="13">
        <v>18</v>
      </c>
      <c r="CE53" s="13" t="s">
        <v>171</v>
      </c>
      <c r="CF53" s="13" t="s">
        <v>171</v>
      </c>
      <c r="CG53" s="13" t="s">
        <v>171</v>
      </c>
      <c r="CH53" s="13" t="s">
        <v>171</v>
      </c>
      <c r="CI53" s="13">
        <v>18</v>
      </c>
      <c r="CJ53" s="15">
        <v>18</v>
      </c>
      <c r="CK53" s="14" t="s">
        <v>171</v>
      </c>
      <c r="CL53" s="13" t="s">
        <v>171</v>
      </c>
      <c r="CM53" s="13" t="s">
        <v>171</v>
      </c>
      <c r="CN53" s="13" t="s">
        <v>171</v>
      </c>
      <c r="CO53" s="13">
        <v>18</v>
      </c>
      <c r="CP53" s="13">
        <v>18</v>
      </c>
      <c r="CQ53" s="13" t="s">
        <v>171</v>
      </c>
      <c r="CR53" s="13" t="s">
        <v>171</v>
      </c>
      <c r="CS53" s="13" t="s">
        <v>171</v>
      </c>
      <c r="CT53" s="13" t="s">
        <v>171</v>
      </c>
      <c r="CU53" s="13">
        <v>18</v>
      </c>
      <c r="CV53" s="15">
        <v>18</v>
      </c>
      <c r="CW53" s="14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5"/>
      <c r="DI53" s="14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5"/>
    </row>
    <row r="54" spans="1:124" x14ac:dyDescent="0.25">
      <c r="A54" s="13"/>
      <c r="B54" s="13"/>
      <c r="C54" s="13"/>
      <c r="D54" s="16" t="s">
        <v>22</v>
      </c>
      <c r="E54" s="14">
        <v>18</v>
      </c>
      <c r="F54" s="13" t="s">
        <v>173</v>
      </c>
      <c r="G54" s="13" t="s">
        <v>173</v>
      </c>
      <c r="H54" s="13" t="s">
        <v>173</v>
      </c>
      <c r="I54" s="13" t="s">
        <v>173</v>
      </c>
      <c r="J54" s="13">
        <v>18</v>
      </c>
      <c r="K54" s="13">
        <v>18</v>
      </c>
      <c r="L54" s="13" t="s">
        <v>172</v>
      </c>
      <c r="M54" s="13" t="s">
        <v>172</v>
      </c>
      <c r="N54" s="13" t="s">
        <v>172</v>
      </c>
      <c r="O54" s="13" t="s">
        <v>172</v>
      </c>
      <c r="P54" s="15">
        <v>18</v>
      </c>
      <c r="Q54" s="14">
        <v>18</v>
      </c>
      <c r="R54" s="13" t="s">
        <v>171</v>
      </c>
      <c r="S54" s="13" t="s">
        <v>171</v>
      </c>
      <c r="T54" s="13" t="s">
        <v>171</v>
      </c>
      <c r="U54" s="13" t="s">
        <v>171</v>
      </c>
      <c r="V54" s="13">
        <v>18</v>
      </c>
      <c r="W54" s="13">
        <v>18</v>
      </c>
      <c r="X54" s="13">
        <v>18</v>
      </c>
      <c r="Y54" s="13">
        <v>18</v>
      </c>
      <c r="Z54" s="13">
        <v>18</v>
      </c>
      <c r="AA54" s="13">
        <v>18</v>
      </c>
      <c r="AB54" s="15">
        <v>18</v>
      </c>
      <c r="AC54" s="14">
        <v>0</v>
      </c>
      <c r="AD54" s="13">
        <v>0</v>
      </c>
      <c r="AE54" s="13">
        <v>0</v>
      </c>
      <c r="AF54" s="13">
        <v>0</v>
      </c>
      <c r="AG54" s="13">
        <v>0</v>
      </c>
      <c r="AH54" s="13">
        <v>0</v>
      </c>
      <c r="AI54" s="13">
        <v>0</v>
      </c>
      <c r="AJ54" s="13">
        <v>0</v>
      </c>
      <c r="AK54" s="13">
        <v>0</v>
      </c>
      <c r="AL54" s="13">
        <v>0</v>
      </c>
      <c r="AM54" s="13">
        <v>0</v>
      </c>
      <c r="AN54" s="15">
        <v>0</v>
      </c>
      <c r="AO54" s="14">
        <v>0</v>
      </c>
      <c r="AP54" s="13" t="s">
        <v>167</v>
      </c>
      <c r="AQ54" s="13" t="s">
        <v>167</v>
      </c>
      <c r="AR54" s="13" t="s">
        <v>167</v>
      </c>
      <c r="AS54" s="13" t="s">
        <v>167</v>
      </c>
      <c r="AT54" s="13" t="s">
        <v>167</v>
      </c>
      <c r="AU54" s="13" t="s">
        <v>167</v>
      </c>
      <c r="AV54" s="13">
        <v>18</v>
      </c>
      <c r="AW54" s="13">
        <v>18</v>
      </c>
      <c r="AX54" s="13" t="s">
        <v>173</v>
      </c>
      <c r="AY54" s="13" t="s">
        <v>173</v>
      </c>
      <c r="AZ54" s="15" t="s">
        <v>173</v>
      </c>
      <c r="BA54" s="14" t="s">
        <v>173</v>
      </c>
      <c r="BB54" s="13">
        <v>18</v>
      </c>
      <c r="BC54" s="13">
        <v>18</v>
      </c>
      <c r="BD54" s="13" t="s">
        <v>173</v>
      </c>
      <c r="BE54" s="13" t="s">
        <v>173</v>
      </c>
      <c r="BF54" s="13" t="s">
        <v>173</v>
      </c>
      <c r="BG54" s="13" t="s">
        <v>173</v>
      </c>
      <c r="BH54" s="13">
        <v>18</v>
      </c>
      <c r="BI54" s="13">
        <v>18</v>
      </c>
      <c r="BJ54" s="13" t="s">
        <v>171</v>
      </c>
      <c r="BK54" s="13" t="s">
        <v>171</v>
      </c>
      <c r="BL54" s="15" t="s">
        <v>171</v>
      </c>
      <c r="BM54" s="14" t="s">
        <v>171</v>
      </c>
      <c r="BN54" s="13" t="s">
        <v>171</v>
      </c>
      <c r="BO54" s="13" t="s">
        <v>171</v>
      </c>
      <c r="BP54" s="13" t="s">
        <v>171</v>
      </c>
      <c r="BQ54" s="13">
        <v>18</v>
      </c>
      <c r="BR54" s="13">
        <v>18</v>
      </c>
      <c r="BS54" s="13" t="s">
        <v>171</v>
      </c>
      <c r="BT54" s="13" t="s">
        <v>171</v>
      </c>
      <c r="BU54" s="13" t="s">
        <v>171</v>
      </c>
      <c r="BV54" s="13" t="s">
        <v>171</v>
      </c>
      <c r="BW54" s="13">
        <v>18</v>
      </c>
      <c r="BX54" s="15">
        <v>18</v>
      </c>
      <c r="BY54" s="14" t="s">
        <v>171</v>
      </c>
      <c r="BZ54" s="13" t="s">
        <v>171</v>
      </c>
      <c r="CA54" s="13" t="s">
        <v>171</v>
      </c>
      <c r="CB54" s="13" t="s">
        <v>171</v>
      </c>
      <c r="CC54" s="13">
        <v>18</v>
      </c>
      <c r="CD54" s="13">
        <v>18</v>
      </c>
      <c r="CE54" s="13" t="s">
        <v>171</v>
      </c>
      <c r="CF54" s="13" t="s">
        <v>171</v>
      </c>
      <c r="CG54" s="13" t="s">
        <v>171</v>
      </c>
      <c r="CH54" s="13" t="s">
        <v>171</v>
      </c>
      <c r="CI54" s="13">
        <v>18</v>
      </c>
      <c r="CJ54" s="15">
        <v>18</v>
      </c>
      <c r="CK54" s="14" t="s">
        <v>171</v>
      </c>
      <c r="CL54" s="13" t="s">
        <v>171</v>
      </c>
      <c r="CM54" s="13" t="s">
        <v>171</v>
      </c>
      <c r="CN54" s="13" t="s">
        <v>171</v>
      </c>
      <c r="CO54" s="13">
        <v>18</v>
      </c>
      <c r="CP54" s="13">
        <v>18</v>
      </c>
      <c r="CQ54" s="13" t="s">
        <v>171</v>
      </c>
      <c r="CR54" s="13" t="s">
        <v>171</v>
      </c>
      <c r="CS54" s="13" t="s">
        <v>171</v>
      </c>
      <c r="CT54" s="13" t="s">
        <v>171</v>
      </c>
      <c r="CU54" s="13">
        <v>18</v>
      </c>
      <c r="CV54" s="15">
        <v>18</v>
      </c>
      <c r="CW54" s="14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5"/>
      <c r="DI54" s="14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5"/>
    </row>
    <row r="55" spans="1:124" x14ac:dyDescent="0.25">
      <c r="A55" s="13"/>
      <c r="B55" s="13"/>
      <c r="C55" s="13"/>
      <c r="D55" s="16" t="s">
        <v>45</v>
      </c>
      <c r="E55" s="14">
        <v>18</v>
      </c>
      <c r="F55" s="13">
        <v>18</v>
      </c>
      <c r="G55" s="13" t="s">
        <v>171</v>
      </c>
      <c r="H55" s="13" t="s">
        <v>171</v>
      </c>
      <c r="I55" s="13" t="s">
        <v>171</v>
      </c>
      <c r="J55" s="13" t="s">
        <v>171</v>
      </c>
      <c r="K55" s="13">
        <v>18</v>
      </c>
      <c r="L55" s="13">
        <v>18</v>
      </c>
      <c r="M55" s="13" t="s">
        <v>171</v>
      </c>
      <c r="N55" s="13" t="s">
        <v>171</v>
      </c>
      <c r="O55" s="13" t="s">
        <v>171</v>
      </c>
      <c r="P55" s="15" t="s">
        <v>171</v>
      </c>
      <c r="Q55" s="14">
        <v>18</v>
      </c>
      <c r="R55" s="13">
        <v>18</v>
      </c>
      <c r="S55" s="13" t="s">
        <v>171</v>
      </c>
      <c r="T55" s="13" t="s">
        <v>171</v>
      </c>
      <c r="U55" s="13" t="s">
        <v>171</v>
      </c>
      <c r="V55" s="13" t="s">
        <v>171</v>
      </c>
      <c r="W55" s="13">
        <v>18</v>
      </c>
      <c r="X55" s="13">
        <v>18</v>
      </c>
      <c r="Y55" s="13" t="s">
        <v>175</v>
      </c>
      <c r="Z55" s="13" t="s">
        <v>175</v>
      </c>
      <c r="AA55" s="13" t="s">
        <v>175</v>
      </c>
      <c r="AB55" s="15" t="s">
        <v>175</v>
      </c>
      <c r="AC55" s="14">
        <v>18</v>
      </c>
      <c r="AD55" s="13">
        <v>18</v>
      </c>
      <c r="AE55" s="13">
        <v>18</v>
      </c>
      <c r="AF55" s="13">
        <v>18</v>
      </c>
      <c r="AG55" s="13">
        <v>18</v>
      </c>
      <c r="AH55" s="13">
        <v>18</v>
      </c>
      <c r="AI55" s="13">
        <v>0</v>
      </c>
      <c r="AJ55" s="13">
        <v>0</v>
      </c>
      <c r="AK55" s="13">
        <v>0</v>
      </c>
      <c r="AL55" s="13">
        <v>0</v>
      </c>
      <c r="AM55" s="13">
        <v>0</v>
      </c>
      <c r="AN55" s="15">
        <v>0</v>
      </c>
      <c r="AO55" s="14">
        <v>0</v>
      </c>
      <c r="AP55" s="13" t="s">
        <v>167</v>
      </c>
      <c r="AQ55" s="13" t="s">
        <v>167</v>
      </c>
      <c r="AR55" s="13" t="s">
        <v>167</v>
      </c>
      <c r="AS55" s="13" t="s">
        <v>167</v>
      </c>
      <c r="AT55" s="13" t="s">
        <v>167</v>
      </c>
      <c r="AU55" s="13" t="s">
        <v>167</v>
      </c>
      <c r="AV55" s="13">
        <v>18</v>
      </c>
      <c r="AW55" s="13">
        <v>18</v>
      </c>
      <c r="AX55" s="13" t="s">
        <v>173</v>
      </c>
      <c r="AY55" s="13" t="s">
        <v>173</v>
      </c>
      <c r="AZ55" s="15" t="s">
        <v>173</v>
      </c>
      <c r="BA55" s="14" t="s">
        <v>173</v>
      </c>
      <c r="BB55" s="13">
        <v>18</v>
      </c>
      <c r="BC55" s="13">
        <v>18</v>
      </c>
      <c r="BD55" s="13" t="s">
        <v>173</v>
      </c>
      <c r="BE55" s="13" t="s">
        <v>173</v>
      </c>
      <c r="BF55" s="13" t="s">
        <v>173</v>
      </c>
      <c r="BG55" s="13" t="s">
        <v>173</v>
      </c>
      <c r="BH55" s="13">
        <v>18</v>
      </c>
      <c r="BI55" s="13">
        <v>18</v>
      </c>
      <c r="BJ55" s="13" t="s">
        <v>171</v>
      </c>
      <c r="BK55" s="13" t="s">
        <v>171</v>
      </c>
      <c r="BL55" s="15" t="s">
        <v>171</v>
      </c>
      <c r="BM55" s="14">
        <v>0</v>
      </c>
      <c r="BN55" s="13">
        <v>0</v>
      </c>
      <c r="BO55" s="13">
        <v>0</v>
      </c>
      <c r="BP55" s="13">
        <v>0</v>
      </c>
      <c r="BQ55" s="13" t="s">
        <v>170</v>
      </c>
      <c r="BR55" s="13" t="s">
        <v>170</v>
      </c>
      <c r="BS55" s="13" t="s">
        <v>170</v>
      </c>
      <c r="BT55" s="13" t="s">
        <v>170</v>
      </c>
      <c r="BU55" s="13" t="s">
        <v>170</v>
      </c>
      <c r="BV55" s="13" t="s">
        <v>170</v>
      </c>
      <c r="BW55" s="13">
        <v>18</v>
      </c>
      <c r="BX55" s="15">
        <v>18</v>
      </c>
      <c r="BY55" s="14" t="s">
        <v>171</v>
      </c>
      <c r="BZ55" s="13" t="s">
        <v>171</v>
      </c>
      <c r="CA55" s="13" t="s">
        <v>171</v>
      </c>
      <c r="CB55" s="13" t="s">
        <v>171</v>
      </c>
      <c r="CC55" s="13">
        <v>18</v>
      </c>
      <c r="CD55" s="13">
        <v>18</v>
      </c>
      <c r="CE55" s="13" t="s">
        <v>171</v>
      </c>
      <c r="CF55" s="13" t="s">
        <v>171</v>
      </c>
      <c r="CG55" s="13" t="s">
        <v>171</v>
      </c>
      <c r="CH55" s="13" t="s">
        <v>171</v>
      </c>
      <c r="CI55" s="13">
        <v>18</v>
      </c>
      <c r="CJ55" s="15">
        <v>18</v>
      </c>
      <c r="CK55" s="14" t="s">
        <v>171</v>
      </c>
      <c r="CL55" s="13" t="s">
        <v>171</v>
      </c>
      <c r="CM55" s="13" t="s">
        <v>171</v>
      </c>
      <c r="CN55" s="13" t="s">
        <v>171</v>
      </c>
      <c r="CO55" s="13">
        <v>18</v>
      </c>
      <c r="CP55" s="13">
        <v>18</v>
      </c>
      <c r="CQ55" s="13" t="s">
        <v>171</v>
      </c>
      <c r="CR55" s="13" t="s">
        <v>171</v>
      </c>
      <c r="CS55" s="13" t="s">
        <v>171</v>
      </c>
      <c r="CT55" s="13" t="s">
        <v>171</v>
      </c>
      <c r="CU55" s="13">
        <v>18</v>
      </c>
      <c r="CV55" s="15">
        <v>18</v>
      </c>
      <c r="CW55" s="14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5"/>
      <c r="DI55" s="14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5"/>
    </row>
    <row r="56" spans="1:124" x14ac:dyDescent="0.25">
      <c r="A56" s="13"/>
      <c r="B56" s="13"/>
      <c r="C56" s="13"/>
      <c r="D56" s="16" t="s">
        <v>49</v>
      </c>
      <c r="E56" s="14">
        <v>18</v>
      </c>
      <c r="F56" s="13">
        <v>18</v>
      </c>
      <c r="G56" s="13" t="s">
        <v>173</v>
      </c>
      <c r="H56" s="13" t="s">
        <v>173</v>
      </c>
      <c r="I56" s="13" t="s">
        <v>173</v>
      </c>
      <c r="J56" s="13" t="s">
        <v>173</v>
      </c>
      <c r="K56" s="13">
        <v>18</v>
      </c>
      <c r="L56" s="13">
        <v>18</v>
      </c>
      <c r="M56" s="13" t="s">
        <v>171</v>
      </c>
      <c r="N56" s="13" t="s">
        <v>171</v>
      </c>
      <c r="O56" s="13" t="s">
        <v>171</v>
      </c>
      <c r="P56" s="15" t="s">
        <v>171</v>
      </c>
      <c r="Q56" s="14">
        <v>18</v>
      </c>
      <c r="R56" s="13">
        <v>18</v>
      </c>
      <c r="S56" s="13" t="s">
        <v>171</v>
      </c>
      <c r="T56" s="13" t="s">
        <v>171</v>
      </c>
      <c r="U56" s="13" t="s">
        <v>171</v>
      </c>
      <c r="V56" s="13" t="s">
        <v>171</v>
      </c>
      <c r="W56" s="13">
        <v>18</v>
      </c>
      <c r="X56" s="13">
        <v>18</v>
      </c>
      <c r="Y56" s="13" t="s">
        <v>171</v>
      </c>
      <c r="Z56" s="13" t="s">
        <v>171</v>
      </c>
      <c r="AA56" s="13" t="s">
        <v>171</v>
      </c>
      <c r="AB56" s="15" t="s">
        <v>171</v>
      </c>
      <c r="AC56" s="14">
        <v>18</v>
      </c>
      <c r="AD56" s="13">
        <v>18</v>
      </c>
      <c r="AE56" s="13">
        <v>18</v>
      </c>
      <c r="AF56" s="13">
        <v>18</v>
      </c>
      <c r="AG56" s="13">
        <v>18</v>
      </c>
      <c r="AH56" s="13">
        <v>18</v>
      </c>
      <c r="AI56" s="13">
        <v>18</v>
      </c>
      <c r="AJ56" s="13">
        <v>18</v>
      </c>
      <c r="AK56" s="13">
        <v>18</v>
      </c>
      <c r="AL56" s="13">
        <v>18</v>
      </c>
      <c r="AM56" s="13">
        <v>18</v>
      </c>
      <c r="AN56" s="15">
        <v>18</v>
      </c>
      <c r="AO56" s="14">
        <v>0</v>
      </c>
      <c r="AP56" s="13" t="s">
        <v>167</v>
      </c>
      <c r="AQ56" s="13" t="s">
        <v>167</v>
      </c>
      <c r="AR56" s="13" t="s">
        <v>167</v>
      </c>
      <c r="AS56" s="13" t="s">
        <v>167</v>
      </c>
      <c r="AT56" s="13" t="s">
        <v>167</v>
      </c>
      <c r="AU56" s="13" t="s">
        <v>167</v>
      </c>
      <c r="AV56" s="13">
        <v>18</v>
      </c>
      <c r="AW56" s="13">
        <v>18</v>
      </c>
      <c r="AX56" s="13" t="s">
        <v>173</v>
      </c>
      <c r="AY56" s="13" t="s">
        <v>173</v>
      </c>
      <c r="AZ56" s="15" t="s">
        <v>173</v>
      </c>
      <c r="BA56" s="14" t="s">
        <v>173</v>
      </c>
      <c r="BB56" s="13">
        <v>18</v>
      </c>
      <c r="BC56" s="13">
        <v>18</v>
      </c>
      <c r="BD56" s="13" t="s">
        <v>175</v>
      </c>
      <c r="BE56" s="13" t="s">
        <v>175</v>
      </c>
      <c r="BF56" s="13" t="s">
        <v>175</v>
      </c>
      <c r="BG56" s="13" t="s">
        <v>175</v>
      </c>
      <c r="BH56" s="13">
        <v>18</v>
      </c>
      <c r="BI56" s="13">
        <v>18</v>
      </c>
      <c r="BJ56" s="13" t="s">
        <v>172</v>
      </c>
      <c r="BK56" s="13" t="s">
        <v>172</v>
      </c>
      <c r="BL56" s="15" t="s">
        <v>172</v>
      </c>
      <c r="BM56" s="14">
        <v>0</v>
      </c>
      <c r="BN56" s="13">
        <v>0</v>
      </c>
      <c r="BO56" s="13">
        <v>0</v>
      </c>
      <c r="BP56" s="13">
        <v>0</v>
      </c>
      <c r="BQ56" s="13" t="s">
        <v>170</v>
      </c>
      <c r="BR56" s="13" t="s">
        <v>170</v>
      </c>
      <c r="BS56" s="13" t="s">
        <v>170</v>
      </c>
      <c r="BT56" s="13" t="s">
        <v>170</v>
      </c>
      <c r="BU56" s="13" t="s">
        <v>170</v>
      </c>
      <c r="BV56" s="13" t="s">
        <v>170</v>
      </c>
      <c r="BW56" s="13">
        <v>18</v>
      </c>
      <c r="BX56" s="15">
        <v>18</v>
      </c>
      <c r="BY56" s="14" t="s">
        <v>171</v>
      </c>
      <c r="BZ56" s="13" t="s">
        <v>171</v>
      </c>
      <c r="CA56" s="13" t="s">
        <v>171</v>
      </c>
      <c r="CB56" s="13" t="s">
        <v>171</v>
      </c>
      <c r="CC56" s="13">
        <v>18</v>
      </c>
      <c r="CD56" s="13">
        <v>18</v>
      </c>
      <c r="CE56" s="13" t="s">
        <v>171</v>
      </c>
      <c r="CF56" s="13" t="s">
        <v>171</v>
      </c>
      <c r="CG56" s="13" t="s">
        <v>171</v>
      </c>
      <c r="CH56" s="13" t="s">
        <v>171</v>
      </c>
      <c r="CI56" s="13">
        <v>18</v>
      </c>
      <c r="CJ56" s="15">
        <v>18</v>
      </c>
      <c r="CK56" s="14" t="s">
        <v>171</v>
      </c>
      <c r="CL56" s="13" t="s">
        <v>171</v>
      </c>
      <c r="CM56" s="13" t="s">
        <v>171</v>
      </c>
      <c r="CN56" s="13" t="s">
        <v>171</v>
      </c>
      <c r="CO56" s="13">
        <v>18</v>
      </c>
      <c r="CP56" s="13">
        <v>18</v>
      </c>
      <c r="CQ56" s="13" t="s">
        <v>171</v>
      </c>
      <c r="CR56" s="13" t="s">
        <v>171</v>
      </c>
      <c r="CS56" s="13" t="s">
        <v>171</v>
      </c>
      <c r="CT56" s="13" t="s">
        <v>171</v>
      </c>
      <c r="CU56" s="13">
        <v>18</v>
      </c>
      <c r="CV56" s="15">
        <v>18</v>
      </c>
      <c r="CW56" s="14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5"/>
      <c r="DI56" s="14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5"/>
    </row>
    <row r="57" spans="1:124" x14ac:dyDescent="0.25">
      <c r="A57" s="13"/>
      <c r="B57" s="13"/>
      <c r="C57" s="13"/>
      <c r="D57" s="16" t="s">
        <v>50</v>
      </c>
      <c r="E57" s="14">
        <v>18</v>
      </c>
      <c r="F57" s="13">
        <v>18</v>
      </c>
      <c r="G57" s="13" t="s">
        <v>171</v>
      </c>
      <c r="H57" s="13" t="s">
        <v>171</v>
      </c>
      <c r="I57" s="13" t="s">
        <v>171</v>
      </c>
      <c r="J57" s="13" t="s">
        <v>171</v>
      </c>
      <c r="K57" s="13">
        <v>18</v>
      </c>
      <c r="L57" s="13">
        <v>18</v>
      </c>
      <c r="M57" s="13" t="s">
        <v>171</v>
      </c>
      <c r="N57" s="13" t="s">
        <v>171</v>
      </c>
      <c r="O57" s="13" t="s">
        <v>171</v>
      </c>
      <c r="P57" s="15" t="s">
        <v>171</v>
      </c>
      <c r="Q57" s="14">
        <v>18</v>
      </c>
      <c r="R57" s="13">
        <v>18</v>
      </c>
      <c r="S57" s="13" t="s">
        <v>171</v>
      </c>
      <c r="T57" s="13" t="s">
        <v>171</v>
      </c>
      <c r="U57" s="13" t="s">
        <v>171</v>
      </c>
      <c r="V57" s="13" t="s">
        <v>171</v>
      </c>
      <c r="W57" s="13">
        <v>18</v>
      </c>
      <c r="X57" s="13">
        <v>18</v>
      </c>
      <c r="Y57" s="13" t="s">
        <v>171</v>
      </c>
      <c r="Z57" s="13" t="s">
        <v>171</v>
      </c>
      <c r="AA57" s="13" t="s">
        <v>171</v>
      </c>
      <c r="AB57" s="15" t="s">
        <v>171</v>
      </c>
      <c r="AC57" s="14">
        <v>18</v>
      </c>
      <c r="AD57" s="13">
        <v>18</v>
      </c>
      <c r="AE57" s="13" t="s">
        <v>171</v>
      </c>
      <c r="AF57" s="13" t="s">
        <v>171</v>
      </c>
      <c r="AG57" s="13" t="s">
        <v>171</v>
      </c>
      <c r="AH57" s="13" t="s">
        <v>171</v>
      </c>
      <c r="AI57" s="13">
        <v>18</v>
      </c>
      <c r="AJ57" s="13">
        <v>18</v>
      </c>
      <c r="AK57" s="13" t="s">
        <v>171</v>
      </c>
      <c r="AL57" s="13" t="s">
        <v>171</v>
      </c>
      <c r="AM57" s="13" t="s">
        <v>171</v>
      </c>
      <c r="AN57" s="15" t="s">
        <v>171</v>
      </c>
      <c r="AO57" s="14">
        <v>18</v>
      </c>
      <c r="AP57" s="13" t="s">
        <v>167</v>
      </c>
      <c r="AQ57" s="13" t="s">
        <v>167</v>
      </c>
      <c r="AR57" s="13" t="s">
        <v>167</v>
      </c>
      <c r="AS57" s="13" t="s">
        <v>167</v>
      </c>
      <c r="AT57" s="13" t="s">
        <v>167</v>
      </c>
      <c r="AU57" s="13" t="s">
        <v>167</v>
      </c>
      <c r="AV57" s="13">
        <v>18</v>
      </c>
      <c r="AW57" s="13">
        <v>18</v>
      </c>
      <c r="AX57" s="13" t="s">
        <v>171</v>
      </c>
      <c r="AY57" s="13" t="s">
        <v>171</v>
      </c>
      <c r="AZ57" s="15" t="s">
        <v>171</v>
      </c>
      <c r="BA57" s="14" t="s">
        <v>171</v>
      </c>
      <c r="BB57" s="13">
        <v>18</v>
      </c>
      <c r="BC57" s="13">
        <v>18</v>
      </c>
      <c r="BD57" s="13" t="s">
        <v>171</v>
      </c>
      <c r="BE57" s="13" t="s">
        <v>171</v>
      </c>
      <c r="BF57" s="13" t="s">
        <v>171</v>
      </c>
      <c r="BG57" s="13" t="s">
        <v>171</v>
      </c>
      <c r="BH57" s="13">
        <v>18</v>
      </c>
      <c r="BI57" s="13">
        <v>18</v>
      </c>
      <c r="BJ57" s="13" t="s">
        <v>171</v>
      </c>
      <c r="BK57" s="13" t="s">
        <v>171</v>
      </c>
      <c r="BL57" s="15" t="s">
        <v>171</v>
      </c>
      <c r="BM57" s="14">
        <v>18</v>
      </c>
      <c r="BN57" s="13">
        <v>18</v>
      </c>
      <c r="BO57" s="13" t="s">
        <v>171</v>
      </c>
      <c r="BP57" s="13" t="s">
        <v>171</v>
      </c>
      <c r="BQ57" s="13" t="s">
        <v>171</v>
      </c>
      <c r="BR57" s="13" t="s">
        <v>171</v>
      </c>
      <c r="BS57" s="13">
        <v>18</v>
      </c>
      <c r="BT57" s="13">
        <v>18</v>
      </c>
      <c r="BU57" s="13" t="s">
        <v>171</v>
      </c>
      <c r="BV57" s="13" t="s">
        <v>171</v>
      </c>
      <c r="BW57" s="13" t="s">
        <v>171</v>
      </c>
      <c r="BX57" s="15" t="s">
        <v>171</v>
      </c>
      <c r="BY57" s="14">
        <v>18</v>
      </c>
      <c r="BZ57" s="13">
        <v>18</v>
      </c>
      <c r="CA57" s="13" t="s">
        <v>171</v>
      </c>
      <c r="CB57" s="13" t="s">
        <v>171</v>
      </c>
      <c r="CC57" s="13" t="s">
        <v>171</v>
      </c>
      <c r="CD57" s="13" t="s">
        <v>171</v>
      </c>
      <c r="CE57" s="13">
        <v>18</v>
      </c>
      <c r="CF57" s="13">
        <v>18</v>
      </c>
      <c r="CG57" s="13" t="s">
        <v>171</v>
      </c>
      <c r="CH57" s="13" t="s">
        <v>171</v>
      </c>
      <c r="CI57" s="13" t="s">
        <v>171</v>
      </c>
      <c r="CJ57" s="15" t="s">
        <v>171</v>
      </c>
      <c r="CK57" s="14">
        <v>18</v>
      </c>
      <c r="CL57" s="13">
        <v>18</v>
      </c>
      <c r="CM57" s="13" t="s">
        <v>171</v>
      </c>
      <c r="CN57" s="13" t="s">
        <v>171</v>
      </c>
      <c r="CO57" s="13" t="s">
        <v>171</v>
      </c>
      <c r="CP57" s="13" t="s">
        <v>171</v>
      </c>
      <c r="CQ57" s="13">
        <v>18</v>
      </c>
      <c r="CR57" s="13">
        <v>18</v>
      </c>
      <c r="CS57" s="13">
        <v>18</v>
      </c>
      <c r="CT57" s="13">
        <v>18</v>
      </c>
      <c r="CU57" s="13">
        <v>18</v>
      </c>
      <c r="CV57" s="15">
        <v>18</v>
      </c>
      <c r="CW57" s="14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5"/>
      <c r="DI57" s="14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5"/>
    </row>
    <row r="58" spans="1:124" x14ac:dyDescent="0.25">
      <c r="A58" s="13"/>
      <c r="B58" s="13"/>
      <c r="C58" s="13"/>
      <c r="D58" s="16" t="s">
        <v>36</v>
      </c>
      <c r="E58" s="14">
        <v>18</v>
      </c>
      <c r="F58" s="13" t="s">
        <v>175</v>
      </c>
      <c r="G58" s="13" t="s">
        <v>175</v>
      </c>
      <c r="H58" s="13" t="s">
        <v>175</v>
      </c>
      <c r="I58" s="13" t="s">
        <v>175</v>
      </c>
      <c r="J58" s="13">
        <v>18</v>
      </c>
      <c r="K58" s="13">
        <v>18</v>
      </c>
      <c r="L58" s="13" t="s">
        <v>171</v>
      </c>
      <c r="M58" s="13" t="s">
        <v>171</v>
      </c>
      <c r="N58" s="13" t="s">
        <v>171</v>
      </c>
      <c r="O58" s="13" t="s">
        <v>171</v>
      </c>
      <c r="P58" s="15">
        <v>18</v>
      </c>
      <c r="Q58" s="14">
        <v>18</v>
      </c>
      <c r="R58" s="13">
        <v>18</v>
      </c>
      <c r="S58" s="13">
        <v>18</v>
      </c>
      <c r="T58" s="13">
        <v>18</v>
      </c>
      <c r="U58" s="13">
        <v>18</v>
      </c>
      <c r="V58" s="13">
        <v>18</v>
      </c>
      <c r="W58" s="13">
        <v>18</v>
      </c>
      <c r="X58" s="13">
        <v>18</v>
      </c>
      <c r="Y58" s="13">
        <v>18</v>
      </c>
      <c r="Z58" s="13">
        <v>0</v>
      </c>
      <c r="AA58" s="13">
        <v>0</v>
      </c>
      <c r="AB58" s="15">
        <v>0</v>
      </c>
      <c r="AC58" s="14">
        <v>0</v>
      </c>
      <c r="AD58" s="13">
        <v>0</v>
      </c>
      <c r="AE58" s="13">
        <v>0</v>
      </c>
      <c r="AF58" s="13">
        <v>0</v>
      </c>
      <c r="AG58" s="13">
        <v>0</v>
      </c>
      <c r="AH58" s="13">
        <v>0</v>
      </c>
      <c r="AI58" s="13">
        <v>0</v>
      </c>
      <c r="AJ58" s="13">
        <v>0</v>
      </c>
      <c r="AK58" s="13">
        <v>0</v>
      </c>
      <c r="AL58" s="13">
        <v>0</v>
      </c>
      <c r="AM58" s="13">
        <v>0</v>
      </c>
      <c r="AN58" s="15">
        <v>0</v>
      </c>
      <c r="AO58" s="14">
        <v>0</v>
      </c>
      <c r="AP58" s="13">
        <v>0</v>
      </c>
      <c r="AQ58" s="13">
        <v>0</v>
      </c>
      <c r="AR58" s="13">
        <v>0</v>
      </c>
      <c r="AS58" s="13" t="s">
        <v>167</v>
      </c>
      <c r="AT58" s="13" t="s">
        <v>167</v>
      </c>
      <c r="AU58" s="13" t="s">
        <v>167</v>
      </c>
      <c r="AV58" s="13" t="s">
        <v>167</v>
      </c>
      <c r="AW58" s="13" t="s">
        <v>167</v>
      </c>
      <c r="AX58" s="13" t="s">
        <v>167</v>
      </c>
      <c r="AY58" s="13">
        <v>18</v>
      </c>
      <c r="AZ58" s="15">
        <v>18</v>
      </c>
      <c r="BA58" s="14" t="s">
        <v>173</v>
      </c>
      <c r="BB58" s="13" t="s">
        <v>173</v>
      </c>
      <c r="BC58" s="13" t="s">
        <v>173</v>
      </c>
      <c r="BD58" s="13" t="s">
        <v>173</v>
      </c>
      <c r="BE58" s="13">
        <v>18</v>
      </c>
      <c r="BF58" s="13">
        <v>18</v>
      </c>
      <c r="BG58" s="13" t="s">
        <v>173</v>
      </c>
      <c r="BH58" s="13" t="s">
        <v>173</v>
      </c>
      <c r="BI58" s="13" t="s">
        <v>173</v>
      </c>
      <c r="BJ58" s="13" t="s">
        <v>173</v>
      </c>
      <c r="BK58" s="13">
        <v>18</v>
      </c>
      <c r="BL58" s="15">
        <v>18</v>
      </c>
      <c r="BM58" s="14" t="s">
        <v>170</v>
      </c>
      <c r="BN58" s="13">
        <v>18</v>
      </c>
      <c r="BO58" s="13">
        <v>18</v>
      </c>
      <c r="BP58" s="13" t="s">
        <v>171</v>
      </c>
      <c r="BQ58" s="13" t="s">
        <v>171</v>
      </c>
      <c r="BR58" s="13" t="s">
        <v>171</v>
      </c>
      <c r="BS58" s="13" t="s">
        <v>171</v>
      </c>
      <c r="BT58" s="13">
        <v>18</v>
      </c>
      <c r="BU58" s="13">
        <v>18</v>
      </c>
      <c r="BV58" s="13" t="s">
        <v>171</v>
      </c>
      <c r="BW58" s="13" t="s">
        <v>171</v>
      </c>
      <c r="BX58" s="15" t="s">
        <v>171</v>
      </c>
      <c r="BY58" s="14" t="s">
        <v>171</v>
      </c>
      <c r="BZ58" s="13">
        <v>18</v>
      </c>
      <c r="CA58" s="13">
        <v>18</v>
      </c>
      <c r="CB58" s="13" t="s">
        <v>171</v>
      </c>
      <c r="CC58" s="13" t="s">
        <v>171</v>
      </c>
      <c r="CD58" s="13" t="s">
        <v>171</v>
      </c>
      <c r="CE58" s="13" t="s">
        <v>171</v>
      </c>
      <c r="CF58" s="13">
        <v>18</v>
      </c>
      <c r="CG58" s="13">
        <v>18</v>
      </c>
      <c r="CH58" s="13" t="s">
        <v>171</v>
      </c>
      <c r="CI58" s="13" t="s">
        <v>171</v>
      </c>
      <c r="CJ58" s="15" t="s">
        <v>171</v>
      </c>
      <c r="CK58" s="14" t="s">
        <v>171</v>
      </c>
      <c r="CL58" s="13">
        <v>18</v>
      </c>
      <c r="CM58" s="13">
        <v>18</v>
      </c>
      <c r="CN58" s="13" t="s">
        <v>171</v>
      </c>
      <c r="CO58" s="13" t="s">
        <v>171</v>
      </c>
      <c r="CP58" s="13" t="s">
        <v>171</v>
      </c>
      <c r="CQ58" s="13" t="s">
        <v>171</v>
      </c>
      <c r="CR58" s="13">
        <v>18</v>
      </c>
      <c r="CS58" s="13">
        <v>18</v>
      </c>
      <c r="CT58" s="13">
        <v>18</v>
      </c>
      <c r="CU58" s="13">
        <v>18</v>
      </c>
      <c r="CV58" s="15">
        <v>18</v>
      </c>
      <c r="CW58" s="14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5"/>
      <c r="DI58" s="14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5"/>
    </row>
    <row r="59" spans="1:124" x14ac:dyDescent="0.25">
      <c r="A59" s="13"/>
      <c r="B59" s="13"/>
      <c r="C59" s="13"/>
      <c r="D59" s="16" t="s">
        <v>42</v>
      </c>
      <c r="E59" s="14">
        <v>18</v>
      </c>
      <c r="F59" s="13">
        <v>18</v>
      </c>
      <c r="G59" s="13" t="s">
        <v>173</v>
      </c>
      <c r="H59" s="13" t="s">
        <v>173</v>
      </c>
      <c r="I59" s="13" t="s">
        <v>173</v>
      </c>
      <c r="J59" s="13" t="s">
        <v>173</v>
      </c>
      <c r="K59" s="13">
        <v>18</v>
      </c>
      <c r="L59" s="13">
        <v>18</v>
      </c>
      <c r="M59" s="13" t="s">
        <v>171</v>
      </c>
      <c r="N59" s="13" t="s">
        <v>171</v>
      </c>
      <c r="O59" s="13" t="s">
        <v>171</v>
      </c>
      <c r="P59" s="15" t="s">
        <v>171</v>
      </c>
      <c r="Q59" s="14">
        <v>18</v>
      </c>
      <c r="R59" s="13">
        <v>18</v>
      </c>
      <c r="S59" s="13" t="s">
        <v>171</v>
      </c>
      <c r="T59" s="13" t="s">
        <v>171</v>
      </c>
      <c r="U59" s="13" t="s">
        <v>171</v>
      </c>
      <c r="V59" s="13" t="s">
        <v>171</v>
      </c>
      <c r="W59" s="13">
        <v>18</v>
      </c>
      <c r="X59" s="13">
        <v>18</v>
      </c>
      <c r="Y59" s="13">
        <v>18</v>
      </c>
      <c r="Z59" s="13">
        <v>18</v>
      </c>
      <c r="AA59" s="13">
        <v>18</v>
      </c>
      <c r="AB59" s="15">
        <v>18</v>
      </c>
      <c r="AC59" s="14">
        <v>0</v>
      </c>
      <c r="AD59" s="13">
        <v>0</v>
      </c>
      <c r="AE59" s="13">
        <v>0</v>
      </c>
      <c r="AF59" s="13">
        <v>0</v>
      </c>
      <c r="AG59" s="13">
        <v>0</v>
      </c>
      <c r="AH59" s="13">
        <v>0</v>
      </c>
      <c r="AI59" s="13">
        <v>0</v>
      </c>
      <c r="AJ59" s="13">
        <v>0</v>
      </c>
      <c r="AK59" s="13">
        <v>0</v>
      </c>
      <c r="AL59" s="13">
        <v>0</v>
      </c>
      <c r="AM59" s="13">
        <v>0</v>
      </c>
      <c r="AN59" s="15">
        <v>0</v>
      </c>
      <c r="AO59" s="14">
        <v>0</v>
      </c>
      <c r="AP59" s="13">
        <v>0</v>
      </c>
      <c r="AQ59" s="13">
        <v>0</v>
      </c>
      <c r="AR59" s="13">
        <v>0</v>
      </c>
      <c r="AS59" s="13" t="s">
        <v>167</v>
      </c>
      <c r="AT59" s="13" t="s">
        <v>167</v>
      </c>
      <c r="AU59" s="13" t="s">
        <v>167</v>
      </c>
      <c r="AV59" s="13" t="s">
        <v>167</v>
      </c>
      <c r="AW59" s="13" t="s">
        <v>167</v>
      </c>
      <c r="AX59" s="13" t="s">
        <v>167</v>
      </c>
      <c r="AY59" s="13">
        <v>18</v>
      </c>
      <c r="AZ59" s="15">
        <v>18</v>
      </c>
      <c r="BA59" s="14" t="s">
        <v>173</v>
      </c>
      <c r="BB59" s="13" t="s">
        <v>173</v>
      </c>
      <c r="BC59" s="13" t="s">
        <v>173</v>
      </c>
      <c r="BD59" s="13" t="s">
        <v>173</v>
      </c>
      <c r="BE59" s="13">
        <v>18</v>
      </c>
      <c r="BF59" s="13">
        <v>18</v>
      </c>
      <c r="BG59" s="13" t="s">
        <v>173</v>
      </c>
      <c r="BH59" s="13" t="s">
        <v>173</v>
      </c>
      <c r="BI59" s="13" t="s">
        <v>173</v>
      </c>
      <c r="BJ59" s="13" t="s">
        <v>173</v>
      </c>
      <c r="BK59" s="13">
        <v>18</v>
      </c>
      <c r="BL59" s="15">
        <v>18</v>
      </c>
      <c r="BM59" s="14">
        <v>18</v>
      </c>
      <c r="BN59" s="13">
        <v>18</v>
      </c>
      <c r="BO59" s="13" t="s">
        <v>171</v>
      </c>
      <c r="BP59" s="13" t="s">
        <v>171</v>
      </c>
      <c r="BQ59" s="13" t="s">
        <v>171</v>
      </c>
      <c r="BR59" s="13" t="s">
        <v>171</v>
      </c>
      <c r="BS59" s="13">
        <v>18</v>
      </c>
      <c r="BT59" s="13">
        <v>18</v>
      </c>
      <c r="BU59" s="13" t="s">
        <v>171</v>
      </c>
      <c r="BV59" s="13" t="s">
        <v>171</v>
      </c>
      <c r="BW59" s="13" t="s">
        <v>171</v>
      </c>
      <c r="BX59" s="15" t="s">
        <v>171</v>
      </c>
      <c r="BY59" s="14">
        <v>18</v>
      </c>
      <c r="BZ59" s="13">
        <v>18</v>
      </c>
      <c r="CA59" s="13" t="s">
        <v>171</v>
      </c>
      <c r="CB59" s="13" t="s">
        <v>171</v>
      </c>
      <c r="CC59" s="13" t="s">
        <v>171</v>
      </c>
      <c r="CD59" s="13" t="s">
        <v>171</v>
      </c>
      <c r="CE59" s="13">
        <v>18</v>
      </c>
      <c r="CF59" s="13">
        <v>18</v>
      </c>
      <c r="CG59" s="13" t="s">
        <v>171</v>
      </c>
      <c r="CH59" s="13" t="s">
        <v>171</v>
      </c>
      <c r="CI59" s="13" t="s">
        <v>171</v>
      </c>
      <c r="CJ59" s="15" t="s">
        <v>171</v>
      </c>
      <c r="CK59" s="14">
        <v>18</v>
      </c>
      <c r="CL59" s="13">
        <v>18</v>
      </c>
      <c r="CM59" s="13" t="s">
        <v>171</v>
      </c>
      <c r="CN59" s="13" t="s">
        <v>171</v>
      </c>
      <c r="CO59" s="13" t="s">
        <v>171</v>
      </c>
      <c r="CP59" s="13" t="s">
        <v>171</v>
      </c>
      <c r="CQ59" s="13">
        <v>18</v>
      </c>
      <c r="CR59" s="13">
        <v>18</v>
      </c>
      <c r="CS59" s="13">
        <v>18</v>
      </c>
      <c r="CT59" s="13">
        <v>18</v>
      </c>
      <c r="CU59" s="13">
        <v>18</v>
      </c>
      <c r="CV59" s="15">
        <v>18</v>
      </c>
      <c r="CW59" s="14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5"/>
      <c r="DI59" s="14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5"/>
    </row>
    <row r="60" spans="1:124" x14ac:dyDescent="0.25">
      <c r="A60" s="13"/>
      <c r="B60" s="13"/>
      <c r="C60" s="13"/>
      <c r="D60" s="16" t="s">
        <v>33</v>
      </c>
      <c r="E60" s="14">
        <v>18</v>
      </c>
      <c r="F60" s="13">
        <v>18</v>
      </c>
      <c r="G60" s="13" t="s">
        <v>171</v>
      </c>
      <c r="H60" s="13" t="s">
        <v>171</v>
      </c>
      <c r="I60" s="13" t="s">
        <v>171</v>
      </c>
      <c r="J60" s="13" t="s">
        <v>171</v>
      </c>
      <c r="K60" s="13">
        <v>18</v>
      </c>
      <c r="L60" s="13">
        <v>18</v>
      </c>
      <c r="M60" s="13" t="s">
        <v>171</v>
      </c>
      <c r="N60" s="13" t="s">
        <v>171</v>
      </c>
      <c r="O60" s="13" t="s">
        <v>171</v>
      </c>
      <c r="P60" s="15" t="s">
        <v>171</v>
      </c>
      <c r="Q60" s="14">
        <v>18</v>
      </c>
      <c r="R60" s="13">
        <v>18</v>
      </c>
      <c r="S60" s="13" t="s">
        <v>171</v>
      </c>
      <c r="T60" s="13" t="s">
        <v>171</v>
      </c>
      <c r="U60" s="13" t="s">
        <v>171</v>
      </c>
      <c r="V60" s="13" t="s">
        <v>171</v>
      </c>
      <c r="W60" s="13">
        <v>18</v>
      </c>
      <c r="X60" s="13">
        <v>18</v>
      </c>
      <c r="Y60" s="13" t="s">
        <v>171</v>
      </c>
      <c r="Z60" s="13" t="s">
        <v>171</v>
      </c>
      <c r="AA60" s="13" t="s">
        <v>171</v>
      </c>
      <c r="AB60" s="15" t="s">
        <v>171</v>
      </c>
      <c r="AC60" s="14">
        <v>18</v>
      </c>
      <c r="AD60" s="13">
        <v>18</v>
      </c>
      <c r="AE60" s="13" t="s">
        <v>171</v>
      </c>
      <c r="AF60" s="13" t="s">
        <v>171</v>
      </c>
      <c r="AG60" s="13" t="s">
        <v>171</v>
      </c>
      <c r="AH60" s="13" t="s">
        <v>171</v>
      </c>
      <c r="AI60" s="13">
        <v>18</v>
      </c>
      <c r="AJ60" s="13">
        <v>18</v>
      </c>
      <c r="AK60" s="13" t="s">
        <v>171</v>
      </c>
      <c r="AL60" s="13" t="s">
        <v>171</v>
      </c>
      <c r="AM60" s="13" t="s">
        <v>171</v>
      </c>
      <c r="AN60" s="15" t="s">
        <v>171</v>
      </c>
      <c r="AO60" s="14">
        <v>18</v>
      </c>
      <c r="AP60" s="13">
        <v>18</v>
      </c>
      <c r="AQ60" s="13" t="s">
        <v>171</v>
      </c>
      <c r="AR60" s="13" t="s">
        <v>171</v>
      </c>
      <c r="AS60" s="13" t="s">
        <v>171</v>
      </c>
      <c r="AT60" s="13" t="s">
        <v>171</v>
      </c>
      <c r="AU60" s="13" t="s">
        <v>167</v>
      </c>
      <c r="AV60" s="13" t="s">
        <v>167</v>
      </c>
      <c r="AW60" s="13" t="s">
        <v>167</v>
      </c>
      <c r="AX60" s="13" t="s">
        <v>167</v>
      </c>
      <c r="AY60" s="13" t="s">
        <v>167</v>
      </c>
      <c r="AZ60" s="15" t="s">
        <v>167</v>
      </c>
      <c r="BA60" s="14">
        <v>18</v>
      </c>
      <c r="BB60" s="13">
        <v>18</v>
      </c>
      <c r="BC60" s="13" t="s">
        <v>171</v>
      </c>
      <c r="BD60" s="13" t="s">
        <v>171</v>
      </c>
      <c r="BE60" s="13" t="s">
        <v>171</v>
      </c>
      <c r="BF60" s="13" t="s">
        <v>171</v>
      </c>
      <c r="BG60" s="13">
        <v>18</v>
      </c>
      <c r="BH60" s="13">
        <v>18</v>
      </c>
      <c r="BI60" s="13" t="s">
        <v>171</v>
      </c>
      <c r="BJ60" s="13" t="s">
        <v>171</v>
      </c>
      <c r="BK60" s="13" t="s">
        <v>171</v>
      </c>
      <c r="BL60" s="15" t="s">
        <v>171</v>
      </c>
      <c r="BM60" s="14">
        <v>0</v>
      </c>
      <c r="BN60" s="13">
        <v>0</v>
      </c>
      <c r="BO60" s="13">
        <v>0</v>
      </c>
      <c r="BP60" s="13">
        <v>0</v>
      </c>
      <c r="BQ60" s="13">
        <v>0</v>
      </c>
      <c r="BR60" s="13">
        <v>0</v>
      </c>
      <c r="BS60" s="13">
        <v>0</v>
      </c>
      <c r="BT60" s="13">
        <v>0</v>
      </c>
      <c r="BU60" s="13">
        <v>0</v>
      </c>
      <c r="BV60" s="13">
        <v>0</v>
      </c>
      <c r="BW60" s="13" t="s">
        <v>170</v>
      </c>
      <c r="BX60" s="15" t="s">
        <v>170</v>
      </c>
      <c r="BY60" s="14" t="s">
        <v>170</v>
      </c>
      <c r="BZ60" s="13" t="s">
        <v>170</v>
      </c>
      <c r="CA60" s="13" t="s">
        <v>170</v>
      </c>
      <c r="CB60" s="13" t="s">
        <v>170</v>
      </c>
      <c r="CC60" s="13">
        <v>18</v>
      </c>
      <c r="CD60" s="13">
        <v>18</v>
      </c>
      <c r="CE60" s="13" t="s">
        <v>171</v>
      </c>
      <c r="CF60" s="13" t="s">
        <v>171</v>
      </c>
      <c r="CG60" s="13" t="s">
        <v>171</v>
      </c>
      <c r="CH60" s="13" t="s">
        <v>171</v>
      </c>
      <c r="CI60" s="13">
        <v>18</v>
      </c>
      <c r="CJ60" s="15">
        <v>18</v>
      </c>
      <c r="CK60" s="14" t="s">
        <v>171</v>
      </c>
      <c r="CL60" s="13" t="s">
        <v>171</v>
      </c>
      <c r="CM60" s="13" t="s">
        <v>171</v>
      </c>
      <c r="CN60" s="13" t="s">
        <v>171</v>
      </c>
      <c r="CO60" s="13">
        <v>18</v>
      </c>
      <c r="CP60" s="13">
        <v>18</v>
      </c>
      <c r="CQ60" s="13" t="s">
        <v>171</v>
      </c>
      <c r="CR60" s="13" t="s">
        <v>171</v>
      </c>
      <c r="CS60" s="13" t="s">
        <v>171</v>
      </c>
      <c r="CT60" s="13" t="s">
        <v>171</v>
      </c>
      <c r="CU60" s="13">
        <v>18</v>
      </c>
      <c r="CV60" s="15">
        <v>18</v>
      </c>
      <c r="CW60" s="14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5"/>
      <c r="DI60" s="14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5"/>
    </row>
    <row r="61" spans="1:124" x14ac:dyDescent="0.25">
      <c r="A61" s="13"/>
      <c r="B61" s="13"/>
      <c r="C61" s="13"/>
      <c r="D61" s="16" t="s">
        <v>44</v>
      </c>
      <c r="E61" s="14">
        <v>18</v>
      </c>
      <c r="F61" s="13">
        <v>18</v>
      </c>
      <c r="G61" s="13" t="s">
        <v>171</v>
      </c>
      <c r="H61" s="13" t="s">
        <v>171</v>
      </c>
      <c r="I61" s="13" t="s">
        <v>171</v>
      </c>
      <c r="J61" s="13" t="s">
        <v>171</v>
      </c>
      <c r="K61" s="13">
        <v>18</v>
      </c>
      <c r="L61" s="13">
        <v>18</v>
      </c>
      <c r="M61" s="13" t="s">
        <v>175</v>
      </c>
      <c r="N61" s="13" t="s">
        <v>175</v>
      </c>
      <c r="O61" s="13" t="s">
        <v>175</v>
      </c>
      <c r="P61" s="15" t="s">
        <v>175</v>
      </c>
      <c r="Q61" s="14">
        <v>18</v>
      </c>
      <c r="R61" s="13">
        <v>18</v>
      </c>
      <c r="S61" s="13" t="s">
        <v>171</v>
      </c>
      <c r="T61" s="13" t="s">
        <v>171</v>
      </c>
      <c r="U61" s="13" t="s">
        <v>171</v>
      </c>
      <c r="V61" s="13" t="s">
        <v>171</v>
      </c>
      <c r="W61" s="13">
        <v>18</v>
      </c>
      <c r="X61" s="13">
        <v>18</v>
      </c>
      <c r="Y61" s="13" t="s">
        <v>171</v>
      </c>
      <c r="Z61" s="13" t="s">
        <v>171</v>
      </c>
      <c r="AA61" s="13" t="s">
        <v>171</v>
      </c>
      <c r="AB61" s="15" t="s">
        <v>171</v>
      </c>
      <c r="AC61" s="14">
        <v>18</v>
      </c>
      <c r="AD61" s="13">
        <v>18</v>
      </c>
      <c r="AE61" s="13" t="s">
        <v>171</v>
      </c>
      <c r="AF61" s="13" t="s">
        <v>171</v>
      </c>
      <c r="AG61" s="13" t="s">
        <v>171</v>
      </c>
      <c r="AH61" s="13" t="s">
        <v>171</v>
      </c>
      <c r="AI61" s="13">
        <v>18</v>
      </c>
      <c r="AJ61" s="13">
        <v>18</v>
      </c>
      <c r="AK61" s="13" t="s">
        <v>171</v>
      </c>
      <c r="AL61" s="13" t="s">
        <v>171</v>
      </c>
      <c r="AM61" s="13" t="s">
        <v>171</v>
      </c>
      <c r="AN61" s="15" t="s">
        <v>171</v>
      </c>
      <c r="AO61" s="14">
        <v>18</v>
      </c>
      <c r="AP61" s="13">
        <v>18</v>
      </c>
      <c r="AQ61" s="13">
        <v>18</v>
      </c>
      <c r="AR61" s="13">
        <v>18</v>
      </c>
      <c r="AS61" s="13">
        <v>18</v>
      </c>
      <c r="AT61" s="13">
        <v>18</v>
      </c>
      <c r="AU61" s="13" t="s">
        <v>167</v>
      </c>
      <c r="AV61" s="13" t="s">
        <v>167</v>
      </c>
      <c r="AW61" s="13" t="s">
        <v>167</v>
      </c>
      <c r="AX61" s="13" t="s">
        <v>167</v>
      </c>
      <c r="AY61" s="13" t="s">
        <v>167</v>
      </c>
      <c r="AZ61" s="15" t="s">
        <v>167</v>
      </c>
      <c r="BA61" s="14">
        <v>18</v>
      </c>
      <c r="BB61" s="13">
        <v>18</v>
      </c>
      <c r="BC61" s="13" t="s">
        <v>173</v>
      </c>
      <c r="BD61" s="13" t="s">
        <v>173</v>
      </c>
      <c r="BE61" s="13" t="s">
        <v>173</v>
      </c>
      <c r="BF61" s="13" t="s">
        <v>173</v>
      </c>
      <c r="BG61" s="13">
        <v>18</v>
      </c>
      <c r="BH61" s="13">
        <v>18</v>
      </c>
      <c r="BI61" s="13" t="s">
        <v>173</v>
      </c>
      <c r="BJ61" s="13" t="s">
        <v>173</v>
      </c>
      <c r="BK61" s="13">
        <v>18</v>
      </c>
      <c r="BL61" s="15">
        <v>18</v>
      </c>
      <c r="BM61" s="14">
        <v>0</v>
      </c>
      <c r="BN61" s="13">
        <v>0</v>
      </c>
      <c r="BO61" s="13">
        <v>0</v>
      </c>
      <c r="BP61" s="13">
        <v>0</v>
      </c>
      <c r="BQ61" s="13">
        <v>0</v>
      </c>
      <c r="BR61" s="13">
        <v>0</v>
      </c>
      <c r="BS61" s="13">
        <v>0</v>
      </c>
      <c r="BT61" s="13">
        <v>0</v>
      </c>
      <c r="BU61" s="13">
        <v>0</v>
      </c>
      <c r="BV61" s="13">
        <v>0</v>
      </c>
      <c r="BW61" s="13">
        <v>0</v>
      </c>
      <c r="BX61" s="15" t="s">
        <v>170</v>
      </c>
      <c r="BY61" s="14" t="s">
        <v>170</v>
      </c>
      <c r="BZ61" s="13" t="s">
        <v>170</v>
      </c>
      <c r="CA61" s="13" t="s">
        <v>170</v>
      </c>
      <c r="CB61" s="13" t="s">
        <v>170</v>
      </c>
      <c r="CC61" s="13" t="s">
        <v>170</v>
      </c>
      <c r="CD61" s="13">
        <v>18</v>
      </c>
      <c r="CE61" s="13">
        <v>18</v>
      </c>
      <c r="CF61" s="13" t="s">
        <v>171</v>
      </c>
      <c r="CG61" s="13" t="s">
        <v>171</v>
      </c>
      <c r="CH61" s="13" t="s">
        <v>171</v>
      </c>
      <c r="CI61" s="13" t="s">
        <v>171</v>
      </c>
      <c r="CJ61" s="15">
        <v>18</v>
      </c>
      <c r="CK61" s="14">
        <v>18</v>
      </c>
      <c r="CL61" s="13" t="s">
        <v>171</v>
      </c>
      <c r="CM61" s="13" t="s">
        <v>171</v>
      </c>
      <c r="CN61" s="13" t="s">
        <v>171</v>
      </c>
      <c r="CO61" s="13" t="s">
        <v>171</v>
      </c>
      <c r="CP61" s="13">
        <v>18</v>
      </c>
      <c r="CQ61" s="13">
        <v>18</v>
      </c>
      <c r="CR61" s="13">
        <v>18</v>
      </c>
      <c r="CS61" s="13">
        <v>18</v>
      </c>
      <c r="CT61" s="13">
        <v>18</v>
      </c>
      <c r="CU61" s="13">
        <v>18</v>
      </c>
      <c r="CV61" s="15">
        <v>18</v>
      </c>
      <c r="CW61" s="14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5"/>
      <c r="DI61" s="14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5"/>
    </row>
    <row r="62" spans="1:124" x14ac:dyDescent="0.25">
      <c r="A62" s="13"/>
      <c r="B62" s="13"/>
      <c r="C62" s="13"/>
      <c r="D62" s="16" t="s">
        <v>53</v>
      </c>
      <c r="E62" s="14">
        <v>18</v>
      </c>
      <c r="F62" s="13">
        <v>18</v>
      </c>
      <c r="G62" s="13" t="s">
        <v>171</v>
      </c>
      <c r="H62" s="13" t="s">
        <v>171</v>
      </c>
      <c r="I62" s="13" t="s">
        <v>171</v>
      </c>
      <c r="J62" s="13" t="s">
        <v>171</v>
      </c>
      <c r="K62" s="13">
        <v>18</v>
      </c>
      <c r="L62" s="13">
        <v>18</v>
      </c>
      <c r="M62" s="13" t="s">
        <v>175</v>
      </c>
      <c r="N62" s="13" t="s">
        <v>175</v>
      </c>
      <c r="O62" s="13" t="s">
        <v>175</v>
      </c>
      <c r="P62" s="15" t="s">
        <v>175</v>
      </c>
      <c r="Q62" s="14">
        <v>18</v>
      </c>
      <c r="R62" s="13">
        <v>18</v>
      </c>
      <c r="S62" s="13" t="s">
        <v>171</v>
      </c>
      <c r="T62" s="13" t="s">
        <v>171</v>
      </c>
      <c r="U62" s="13" t="s">
        <v>171</v>
      </c>
      <c r="V62" s="13" t="s">
        <v>171</v>
      </c>
      <c r="W62" s="13">
        <v>18</v>
      </c>
      <c r="X62" s="13">
        <v>18</v>
      </c>
      <c r="Y62" s="13" t="s">
        <v>171</v>
      </c>
      <c r="Z62" s="13" t="s">
        <v>171</v>
      </c>
      <c r="AA62" s="13" t="s">
        <v>171</v>
      </c>
      <c r="AB62" s="15" t="s">
        <v>171</v>
      </c>
      <c r="AC62" s="14">
        <v>18</v>
      </c>
      <c r="AD62" s="13">
        <v>18</v>
      </c>
      <c r="AE62" s="13" t="s">
        <v>171</v>
      </c>
      <c r="AF62" s="13" t="s">
        <v>171</v>
      </c>
      <c r="AG62" s="13" t="s">
        <v>171</v>
      </c>
      <c r="AH62" s="13" t="s">
        <v>171</v>
      </c>
      <c r="AI62" s="13">
        <v>18</v>
      </c>
      <c r="AJ62" s="13">
        <v>18</v>
      </c>
      <c r="AK62" s="13" t="s">
        <v>171</v>
      </c>
      <c r="AL62" s="13" t="s">
        <v>171</v>
      </c>
      <c r="AM62" s="13" t="s">
        <v>171</v>
      </c>
      <c r="AN62" s="15" t="s">
        <v>171</v>
      </c>
      <c r="AO62" s="14">
        <v>18</v>
      </c>
      <c r="AP62" s="13">
        <v>18</v>
      </c>
      <c r="AQ62" s="13">
        <v>18</v>
      </c>
      <c r="AR62" s="13">
        <v>18</v>
      </c>
      <c r="AS62" s="13">
        <v>18</v>
      </c>
      <c r="AT62" s="13">
        <v>0</v>
      </c>
      <c r="AU62" s="13" t="s">
        <v>167</v>
      </c>
      <c r="AV62" s="13" t="s">
        <v>167</v>
      </c>
      <c r="AW62" s="13" t="s">
        <v>167</v>
      </c>
      <c r="AX62" s="13" t="s">
        <v>167</v>
      </c>
      <c r="AY62" s="13" t="s">
        <v>167</v>
      </c>
      <c r="AZ62" s="15" t="s">
        <v>167</v>
      </c>
      <c r="BA62" s="14">
        <v>18</v>
      </c>
      <c r="BB62" s="13">
        <v>18</v>
      </c>
      <c r="BC62" s="13" t="s">
        <v>173</v>
      </c>
      <c r="BD62" s="13" t="s">
        <v>173</v>
      </c>
      <c r="BE62" s="13" t="s">
        <v>173</v>
      </c>
      <c r="BF62" s="13" t="s">
        <v>173</v>
      </c>
      <c r="BG62" s="13">
        <v>18</v>
      </c>
      <c r="BH62" s="13">
        <v>18</v>
      </c>
      <c r="BI62" s="13" t="s">
        <v>173</v>
      </c>
      <c r="BJ62" s="13" t="s">
        <v>173</v>
      </c>
      <c r="BK62" s="13">
        <v>18</v>
      </c>
      <c r="BL62" s="15">
        <v>18</v>
      </c>
      <c r="BM62" s="14">
        <v>0</v>
      </c>
      <c r="BN62" s="13">
        <v>0</v>
      </c>
      <c r="BO62" s="13">
        <v>0</v>
      </c>
      <c r="BP62" s="13">
        <v>0</v>
      </c>
      <c r="BQ62" s="13">
        <v>0</v>
      </c>
      <c r="BR62" s="13">
        <v>0</v>
      </c>
      <c r="BS62" s="13">
        <v>0</v>
      </c>
      <c r="BT62" s="13" t="s">
        <v>166</v>
      </c>
      <c r="BU62" s="13" t="s">
        <v>166</v>
      </c>
      <c r="BV62" s="13" t="s">
        <v>166</v>
      </c>
      <c r="BW62" s="13" t="s">
        <v>166</v>
      </c>
      <c r="BX62" s="15" t="s">
        <v>166</v>
      </c>
      <c r="BY62" s="14" t="s">
        <v>166</v>
      </c>
      <c r="BZ62" s="13">
        <v>18</v>
      </c>
      <c r="CA62" s="13">
        <v>18</v>
      </c>
      <c r="CB62" s="13" t="s">
        <v>171</v>
      </c>
      <c r="CC62" s="13" t="s">
        <v>171</v>
      </c>
      <c r="CD62" s="13" t="s">
        <v>171</v>
      </c>
      <c r="CE62" s="13" t="s">
        <v>171</v>
      </c>
      <c r="CF62" s="13">
        <v>18</v>
      </c>
      <c r="CG62" s="13">
        <v>18</v>
      </c>
      <c r="CH62" s="13" t="s">
        <v>171</v>
      </c>
      <c r="CI62" s="13" t="s">
        <v>171</v>
      </c>
      <c r="CJ62" s="15" t="s">
        <v>171</v>
      </c>
      <c r="CK62" s="14" t="s">
        <v>171</v>
      </c>
      <c r="CL62" s="13">
        <v>18</v>
      </c>
      <c r="CM62" s="13">
        <v>18</v>
      </c>
      <c r="CN62" s="13" t="s">
        <v>171</v>
      </c>
      <c r="CO62" s="13" t="s">
        <v>171</v>
      </c>
      <c r="CP62" s="13" t="s">
        <v>171</v>
      </c>
      <c r="CQ62" s="13" t="s">
        <v>171</v>
      </c>
      <c r="CR62" s="13">
        <v>18</v>
      </c>
      <c r="CS62" s="13">
        <v>18</v>
      </c>
      <c r="CT62" s="13">
        <v>18</v>
      </c>
      <c r="CU62" s="13">
        <v>18</v>
      </c>
      <c r="CV62" s="15">
        <v>18</v>
      </c>
      <c r="CW62" s="14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5"/>
      <c r="DI62" s="14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5"/>
    </row>
    <row r="63" spans="1:124" x14ac:dyDescent="0.25">
      <c r="A63" s="13"/>
      <c r="B63" s="13"/>
      <c r="C63" s="13"/>
      <c r="D63" s="16" t="s">
        <v>39</v>
      </c>
      <c r="E63" s="14">
        <v>18</v>
      </c>
      <c r="F63" s="13">
        <v>18</v>
      </c>
      <c r="G63" s="13" t="s">
        <v>171</v>
      </c>
      <c r="H63" s="13" t="s">
        <v>171</v>
      </c>
      <c r="I63" s="13" t="s">
        <v>171</v>
      </c>
      <c r="J63" s="13" t="s">
        <v>171</v>
      </c>
      <c r="K63" s="13">
        <v>18</v>
      </c>
      <c r="L63" s="13">
        <v>18</v>
      </c>
      <c r="M63" s="13" t="s">
        <v>173</v>
      </c>
      <c r="N63" s="13" t="s">
        <v>173</v>
      </c>
      <c r="O63" s="13" t="s">
        <v>173</v>
      </c>
      <c r="P63" s="15" t="s">
        <v>173</v>
      </c>
      <c r="Q63" s="14">
        <v>18</v>
      </c>
      <c r="R63" s="13">
        <v>18</v>
      </c>
      <c r="S63" s="13" t="s">
        <v>171</v>
      </c>
      <c r="T63" s="13" t="s">
        <v>171</v>
      </c>
      <c r="U63" s="13" t="s">
        <v>171</v>
      </c>
      <c r="V63" s="13" t="s">
        <v>171</v>
      </c>
      <c r="W63" s="13">
        <v>18</v>
      </c>
      <c r="X63" s="13">
        <v>18</v>
      </c>
      <c r="Y63" s="13" t="s">
        <v>171</v>
      </c>
      <c r="Z63" s="13" t="s">
        <v>171</v>
      </c>
      <c r="AA63" s="13" t="s">
        <v>171</v>
      </c>
      <c r="AB63" s="15" t="s">
        <v>171</v>
      </c>
      <c r="AC63" s="14">
        <v>18</v>
      </c>
      <c r="AD63" s="13">
        <v>18</v>
      </c>
      <c r="AE63" s="13" t="s">
        <v>171</v>
      </c>
      <c r="AF63" s="13" t="s">
        <v>171</v>
      </c>
      <c r="AG63" s="13" t="s">
        <v>171</v>
      </c>
      <c r="AH63" s="13" t="s">
        <v>171</v>
      </c>
      <c r="AI63" s="13">
        <v>18</v>
      </c>
      <c r="AJ63" s="13">
        <v>18</v>
      </c>
      <c r="AK63" s="13" t="s">
        <v>171</v>
      </c>
      <c r="AL63" s="13" t="s">
        <v>171</v>
      </c>
      <c r="AM63" s="13" t="s">
        <v>171</v>
      </c>
      <c r="AN63" s="15" t="s">
        <v>171</v>
      </c>
      <c r="AO63" s="14">
        <v>18</v>
      </c>
      <c r="AP63" s="13">
        <v>18</v>
      </c>
      <c r="AQ63" s="13">
        <v>18</v>
      </c>
      <c r="AR63" s="13">
        <v>18</v>
      </c>
      <c r="AS63" s="13">
        <v>18</v>
      </c>
      <c r="AT63" s="13">
        <v>18</v>
      </c>
      <c r="AU63" s="13">
        <v>0</v>
      </c>
      <c r="AV63" s="13" t="s">
        <v>167</v>
      </c>
      <c r="AW63" s="13" t="s">
        <v>167</v>
      </c>
      <c r="AX63" s="13" t="s">
        <v>167</v>
      </c>
      <c r="AY63" s="13" t="s">
        <v>167</v>
      </c>
      <c r="AZ63" s="15" t="s">
        <v>167</v>
      </c>
      <c r="BA63" s="14" t="s">
        <v>167</v>
      </c>
      <c r="BB63" s="13">
        <v>18</v>
      </c>
      <c r="BC63" s="13">
        <v>18</v>
      </c>
      <c r="BD63" s="13" t="s">
        <v>175</v>
      </c>
      <c r="BE63" s="13" t="s">
        <v>175</v>
      </c>
      <c r="BF63" s="13" t="s">
        <v>175</v>
      </c>
      <c r="BG63" s="13" t="s">
        <v>175</v>
      </c>
      <c r="BH63" s="13">
        <v>18</v>
      </c>
      <c r="BI63" s="13">
        <v>18</v>
      </c>
      <c r="BJ63" s="13" t="s">
        <v>173</v>
      </c>
      <c r="BK63" s="13" t="s">
        <v>173</v>
      </c>
      <c r="BL63" s="15" t="s">
        <v>173</v>
      </c>
      <c r="BM63" s="14" t="s">
        <v>170</v>
      </c>
      <c r="BN63" s="13">
        <v>18</v>
      </c>
      <c r="BO63" s="13">
        <v>18</v>
      </c>
      <c r="BP63" s="13" t="s">
        <v>171</v>
      </c>
      <c r="BQ63" s="13" t="s">
        <v>171</v>
      </c>
      <c r="BR63" s="13" t="s">
        <v>171</v>
      </c>
      <c r="BS63" s="13" t="s">
        <v>171</v>
      </c>
      <c r="BT63" s="13">
        <v>18</v>
      </c>
      <c r="BU63" s="13">
        <v>18</v>
      </c>
      <c r="BV63" s="13" t="s">
        <v>171</v>
      </c>
      <c r="BW63" s="13" t="s">
        <v>171</v>
      </c>
      <c r="BX63" s="15" t="s">
        <v>171</v>
      </c>
      <c r="BY63" s="14" t="s">
        <v>171</v>
      </c>
      <c r="BZ63" s="13">
        <v>18</v>
      </c>
      <c r="CA63" s="13">
        <v>18</v>
      </c>
      <c r="CB63" s="13" t="s">
        <v>171</v>
      </c>
      <c r="CC63" s="13" t="s">
        <v>171</v>
      </c>
      <c r="CD63" s="13" t="s">
        <v>171</v>
      </c>
      <c r="CE63" s="13" t="s">
        <v>171</v>
      </c>
      <c r="CF63" s="13">
        <v>18</v>
      </c>
      <c r="CG63" s="13">
        <v>18</v>
      </c>
      <c r="CH63" s="13" t="s">
        <v>171</v>
      </c>
      <c r="CI63" s="13" t="s">
        <v>171</v>
      </c>
      <c r="CJ63" s="15" t="s">
        <v>171</v>
      </c>
      <c r="CK63" s="14" t="s">
        <v>171</v>
      </c>
      <c r="CL63" s="13">
        <v>18</v>
      </c>
      <c r="CM63" s="13">
        <v>18</v>
      </c>
      <c r="CN63" s="13" t="s">
        <v>171</v>
      </c>
      <c r="CO63" s="13" t="s">
        <v>171</v>
      </c>
      <c r="CP63" s="13" t="s">
        <v>171</v>
      </c>
      <c r="CQ63" s="13" t="s">
        <v>171</v>
      </c>
      <c r="CR63" s="13">
        <v>18</v>
      </c>
      <c r="CS63" s="13">
        <v>18</v>
      </c>
      <c r="CT63" s="13">
        <v>18</v>
      </c>
      <c r="CU63" s="13">
        <v>18</v>
      </c>
      <c r="CV63" s="15">
        <v>18</v>
      </c>
      <c r="CW63" s="14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5"/>
      <c r="DI63" s="14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5"/>
    </row>
    <row r="64" spans="1:124" x14ac:dyDescent="0.25">
      <c r="A64" s="13"/>
      <c r="B64" s="13"/>
      <c r="C64" s="13"/>
      <c r="D64" s="16" t="s">
        <v>40</v>
      </c>
      <c r="E64" s="14">
        <v>18</v>
      </c>
      <c r="F64" s="13">
        <v>18</v>
      </c>
      <c r="G64" s="13" t="s">
        <v>173</v>
      </c>
      <c r="H64" s="13" t="s">
        <v>173</v>
      </c>
      <c r="I64" s="13" t="s">
        <v>173</v>
      </c>
      <c r="J64" s="13" t="s">
        <v>173</v>
      </c>
      <c r="K64" s="13">
        <v>18</v>
      </c>
      <c r="L64" s="13">
        <v>18</v>
      </c>
      <c r="M64" s="13" t="s">
        <v>173</v>
      </c>
      <c r="N64" s="13" t="s">
        <v>173</v>
      </c>
      <c r="O64" s="13" t="s">
        <v>173</v>
      </c>
      <c r="P64" s="15" t="s">
        <v>173</v>
      </c>
      <c r="Q64" s="14">
        <v>18</v>
      </c>
      <c r="R64" s="13">
        <v>18</v>
      </c>
      <c r="S64" s="13" t="s">
        <v>171</v>
      </c>
      <c r="T64" s="13" t="s">
        <v>171</v>
      </c>
      <c r="U64" s="13" t="s">
        <v>171</v>
      </c>
      <c r="V64" s="13" t="s">
        <v>171</v>
      </c>
      <c r="W64" s="13">
        <v>18</v>
      </c>
      <c r="X64" s="13">
        <v>18</v>
      </c>
      <c r="Y64" s="13">
        <v>18</v>
      </c>
      <c r="Z64" s="13">
        <v>18</v>
      </c>
      <c r="AA64" s="13">
        <v>18</v>
      </c>
      <c r="AB64" s="15">
        <v>18</v>
      </c>
      <c r="AC64" s="14">
        <v>18</v>
      </c>
      <c r="AD64" s="13">
        <v>18</v>
      </c>
      <c r="AE64" s="13">
        <v>18</v>
      </c>
      <c r="AF64" s="13">
        <v>0</v>
      </c>
      <c r="AG64" s="13">
        <v>0</v>
      </c>
      <c r="AH64" s="13">
        <v>0</v>
      </c>
      <c r="AI64" s="13">
        <v>0</v>
      </c>
      <c r="AJ64" s="13">
        <v>0</v>
      </c>
      <c r="AK64" s="13">
        <v>0</v>
      </c>
      <c r="AL64" s="13">
        <v>0</v>
      </c>
      <c r="AM64" s="13">
        <v>0</v>
      </c>
      <c r="AN64" s="15">
        <v>0</v>
      </c>
      <c r="AO64" s="14">
        <v>0</v>
      </c>
      <c r="AP64" s="13">
        <v>0</v>
      </c>
      <c r="AQ64" s="13">
        <v>0</v>
      </c>
      <c r="AR64" s="13">
        <v>0</v>
      </c>
      <c r="AS64" s="13">
        <v>0</v>
      </c>
      <c r="AT64" s="13">
        <v>0</v>
      </c>
      <c r="AU64" s="13">
        <v>0</v>
      </c>
      <c r="AV64" s="13" t="s">
        <v>167</v>
      </c>
      <c r="AW64" s="13" t="s">
        <v>167</v>
      </c>
      <c r="AX64" s="13" t="s">
        <v>167</v>
      </c>
      <c r="AY64" s="13" t="s">
        <v>167</v>
      </c>
      <c r="AZ64" s="15" t="s">
        <v>167</v>
      </c>
      <c r="BA64" s="14" t="s">
        <v>167</v>
      </c>
      <c r="BB64" s="13">
        <v>18</v>
      </c>
      <c r="BC64" s="13">
        <v>18</v>
      </c>
      <c r="BD64" s="13" t="s">
        <v>173</v>
      </c>
      <c r="BE64" s="13" t="s">
        <v>173</v>
      </c>
      <c r="BF64" s="13" t="s">
        <v>173</v>
      </c>
      <c r="BG64" s="13" t="s">
        <v>173</v>
      </c>
      <c r="BH64" s="13">
        <v>18</v>
      </c>
      <c r="BI64" s="13">
        <v>18</v>
      </c>
      <c r="BJ64" s="13" t="s">
        <v>173</v>
      </c>
      <c r="BK64" s="13" t="s">
        <v>173</v>
      </c>
      <c r="BL64" s="15" t="s">
        <v>173</v>
      </c>
      <c r="BM64" s="14" t="s">
        <v>170</v>
      </c>
      <c r="BN64" s="13" t="s">
        <v>170</v>
      </c>
      <c r="BO64" s="13" t="s">
        <v>170</v>
      </c>
      <c r="BP64" s="13" t="s">
        <v>170</v>
      </c>
      <c r="BQ64" s="13" t="s">
        <v>170</v>
      </c>
      <c r="BR64" s="13" t="s">
        <v>170</v>
      </c>
      <c r="BS64" s="13">
        <v>18</v>
      </c>
      <c r="BT64" s="13">
        <v>18</v>
      </c>
      <c r="BU64" s="13" t="s">
        <v>171</v>
      </c>
      <c r="BV64" s="13" t="s">
        <v>171</v>
      </c>
      <c r="BW64" s="13" t="s">
        <v>171</v>
      </c>
      <c r="BX64" s="15" t="s">
        <v>171</v>
      </c>
      <c r="BY64" s="14">
        <v>18</v>
      </c>
      <c r="BZ64" s="13">
        <v>18</v>
      </c>
      <c r="CA64" s="13" t="s">
        <v>171</v>
      </c>
      <c r="CB64" s="13" t="s">
        <v>171</v>
      </c>
      <c r="CC64" s="13" t="s">
        <v>171</v>
      </c>
      <c r="CD64" s="13" t="s">
        <v>171</v>
      </c>
      <c r="CE64" s="13">
        <v>18</v>
      </c>
      <c r="CF64" s="13">
        <v>18</v>
      </c>
      <c r="CG64" s="13" t="s">
        <v>171</v>
      </c>
      <c r="CH64" s="13" t="s">
        <v>171</v>
      </c>
      <c r="CI64" s="13" t="s">
        <v>171</v>
      </c>
      <c r="CJ64" s="15" t="s">
        <v>171</v>
      </c>
      <c r="CK64" s="14">
        <v>18</v>
      </c>
      <c r="CL64" s="13">
        <v>18</v>
      </c>
      <c r="CM64" s="13" t="s">
        <v>171</v>
      </c>
      <c r="CN64" s="13" t="s">
        <v>171</v>
      </c>
      <c r="CO64" s="13" t="s">
        <v>171</v>
      </c>
      <c r="CP64" s="13" t="s">
        <v>171</v>
      </c>
      <c r="CQ64" s="13">
        <v>18</v>
      </c>
      <c r="CR64" s="13">
        <v>18</v>
      </c>
      <c r="CS64" s="13">
        <v>18</v>
      </c>
      <c r="CT64" s="13">
        <v>18</v>
      </c>
      <c r="CU64" s="13">
        <v>18</v>
      </c>
      <c r="CV64" s="15">
        <v>18</v>
      </c>
      <c r="CW64" s="14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5"/>
      <c r="DI64" s="14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5"/>
    </row>
    <row r="65" spans="1:124" x14ac:dyDescent="0.25">
      <c r="A65" s="13"/>
      <c r="B65" s="13"/>
      <c r="C65" s="13"/>
      <c r="D65" s="16" t="s">
        <v>41</v>
      </c>
      <c r="E65" s="14" t="s">
        <v>174</v>
      </c>
      <c r="F65" s="13" t="s">
        <v>174</v>
      </c>
      <c r="G65" s="13" t="s">
        <v>174</v>
      </c>
      <c r="H65" s="13" t="s">
        <v>174</v>
      </c>
      <c r="I65" s="13">
        <v>18</v>
      </c>
      <c r="J65" s="13">
        <v>18</v>
      </c>
      <c r="K65" s="13" t="s">
        <v>173</v>
      </c>
      <c r="L65" s="13" t="s">
        <v>173</v>
      </c>
      <c r="M65" s="13" t="s">
        <v>173</v>
      </c>
      <c r="N65" s="13" t="s">
        <v>173</v>
      </c>
      <c r="O65" s="13">
        <v>18</v>
      </c>
      <c r="P65" s="15">
        <v>18</v>
      </c>
      <c r="Q65" s="14" t="s">
        <v>173</v>
      </c>
      <c r="R65" s="13" t="s">
        <v>173</v>
      </c>
      <c r="S65" s="13" t="s">
        <v>173</v>
      </c>
      <c r="T65" s="13" t="s">
        <v>173</v>
      </c>
      <c r="U65" s="13">
        <v>18</v>
      </c>
      <c r="V65" s="13">
        <v>18</v>
      </c>
      <c r="W65" s="13" t="s">
        <v>174</v>
      </c>
      <c r="X65" s="13" t="s">
        <v>174</v>
      </c>
      <c r="Y65" s="13" t="s">
        <v>174</v>
      </c>
      <c r="Z65" s="13" t="s">
        <v>174</v>
      </c>
      <c r="AA65" s="13">
        <v>18</v>
      </c>
      <c r="AB65" s="15">
        <v>18</v>
      </c>
      <c r="AC65" s="14">
        <v>18</v>
      </c>
      <c r="AD65" s="13">
        <v>18</v>
      </c>
      <c r="AE65" s="13">
        <v>18</v>
      </c>
      <c r="AF65" s="13">
        <v>18</v>
      </c>
      <c r="AG65" s="13">
        <v>0</v>
      </c>
      <c r="AH65" s="13">
        <v>0</v>
      </c>
      <c r="AI65" s="13">
        <v>0</v>
      </c>
      <c r="AJ65" s="13">
        <v>0</v>
      </c>
      <c r="AK65" s="13">
        <v>0</v>
      </c>
      <c r="AL65" s="13">
        <v>0</v>
      </c>
      <c r="AM65" s="13">
        <v>0</v>
      </c>
      <c r="AN65" s="15">
        <v>0</v>
      </c>
      <c r="AO65" s="14">
        <v>0</v>
      </c>
      <c r="AP65" s="13">
        <v>0</v>
      </c>
      <c r="AQ65" s="13">
        <v>0</v>
      </c>
      <c r="AR65" s="13">
        <v>0</v>
      </c>
      <c r="AS65" s="13">
        <v>0</v>
      </c>
      <c r="AT65" s="13">
        <v>0</v>
      </c>
      <c r="AU65" s="13">
        <v>0</v>
      </c>
      <c r="AV65" s="13">
        <v>0</v>
      </c>
      <c r="AW65" s="13">
        <v>0</v>
      </c>
      <c r="AX65" s="13" t="s">
        <v>167</v>
      </c>
      <c r="AY65" s="13" t="s">
        <v>167</v>
      </c>
      <c r="AZ65" s="15" t="s">
        <v>167</v>
      </c>
      <c r="BA65" s="14" t="s">
        <v>167</v>
      </c>
      <c r="BB65" s="13" t="s">
        <v>167</v>
      </c>
      <c r="BC65" s="13" t="s">
        <v>167</v>
      </c>
      <c r="BD65" s="13">
        <v>18</v>
      </c>
      <c r="BE65" s="13">
        <v>18</v>
      </c>
      <c r="BF65" s="13" t="s">
        <v>173</v>
      </c>
      <c r="BG65" s="13" t="s">
        <v>173</v>
      </c>
      <c r="BH65" s="13" t="s">
        <v>173</v>
      </c>
      <c r="BI65" s="13" t="s">
        <v>173</v>
      </c>
      <c r="BJ65" s="13">
        <v>18</v>
      </c>
      <c r="BK65" s="13">
        <v>18</v>
      </c>
      <c r="BL65" s="15" t="s">
        <v>173</v>
      </c>
      <c r="BM65" s="14">
        <v>0</v>
      </c>
      <c r="BN65" s="13">
        <v>0</v>
      </c>
      <c r="BO65" s="13">
        <v>0</v>
      </c>
      <c r="BP65" s="13">
        <v>0</v>
      </c>
      <c r="BQ65" s="13">
        <v>0</v>
      </c>
      <c r="BR65" s="13">
        <v>0</v>
      </c>
      <c r="BS65" s="13">
        <v>0</v>
      </c>
      <c r="BT65" s="13">
        <v>0</v>
      </c>
      <c r="BU65" s="13">
        <v>0</v>
      </c>
      <c r="BV65" s="13">
        <v>0</v>
      </c>
      <c r="BW65" s="13">
        <v>0</v>
      </c>
      <c r="BX65" s="15">
        <v>0</v>
      </c>
      <c r="BY65" s="14">
        <v>0</v>
      </c>
      <c r="BZ65" s="13">
        <v>0</v>
      </c>
      <c r="CA65" s="13">
        <v>0</v>
      </c>
      <c r="CB65" s="13">
        <v>0</v>
      </c>
      <c r="CC65" s="13" t="s">
        <v>170</v>
      </c>
      <c r="CD65" s="13" t="s">
        <v>170</v>
      </c>
      <c r="CE65" s="13" t="s">
        <v>170</v>
      </c>
      <c r="CF65" s="13" t="s">
        <v>170</v>
      </c>
      <c r="CG65" s="13" t="s">
        <v>170</v>
      </c>
      <c r="CH65" s="13" t="s">
        <v>170</v>
      </c>
      <c r="CI65" s="13">
        <v>18</v>
      </c>
      <c r="CJ65" s="15">
        <v>18</v>
      </c>
      <c r="CK65" s="14" t="s">
        <v>174</v>
      </c>
      <c r="CL65" s="13" t="s">
        <v>174</v>
      </c>
      <c r="CM65" s="13" t="s">
        <v>174</v>
      </c>
      <c r="CN65" s="13" t="s">
        <v>174</v>
      </c>
      <c r="CO65" s="13">
        <v>18</v>
      </c>
      <c r="CP65" s="13">
        <v>18</v>
      </c>
      <c r="CQ65" s="13" t="s">
        <v>174</v>
      </c>
      <c r="CR65" s="13" t="s">
        <v>174</v>
      </c>
      <c r="CS65" s="13">
        <v>18</v>
      </c>
      <c r="CT65" s="13">
        <v>18</v>
      </c>
      <c r="CU65" s="13">
        <v>18</v>
      </c>
      <c r="CV65" s="15">
        <v>18</v>
      </c>
      <c r="CW65" s="14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5"/>
      <c r="DI65" s="14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5"/>
    </row>
    <row r="66" spans="1:124" x14ac:dyDescent="0.25">
      <c r="A66" s="13"/>
      <c r="B66" s="13"/>
      <c r="C66" s="13"/>
      <c r="D66" s="16" t="s">
        <v>46</v>
      </c>
      <c r="E66" s="14">
        <v>18</v>
      </c>
      <c r="F66" s="13">
        <v>18</v>
      </c>
      <c r="G66" s="13" t="s">
        <v>171</v>
      </c>
      <c r="H66" s="13" t="s">
        <v>171</v>
      </c>
      <c r="I66" s="13" t="s">
        <v>171</v>
      </c>
      <c r="J66" s="13" t="s">
        <v>171</v>
      </c>
      <c r="K66" s="13">
        <v>18</v>
      </c>
      <c r="L66" s="13">
        <v>18</v>
      </c>
      <c r="M66" s="13" t="s">
        <v>171</v>
      </c>
      <c r="N66" s="13" t="s">
        <v>171</v>
      </c>
      <c r="O66" s="13" t="s">
        <v>171</v>
      </c>
      <c r="P66" s="15" t="s">
        <v>171</v>
      </c>
      <c r="Q66" s="14">
        <v>18</v>
      </c>
      <c r="R66" s="13">
        <v>18</v>
      </c>
      <c r="S66" s="13" t="s">
        <v>171</v>
      </c>
      <c r="T66" s="13" t="s">
        <v>171</v>
      </c>
      <c r="U66" s="13" t="s">
        <v>171</v>
      </c>
      <c r="V66" s="13" t="s">
        <v>171</v>
      </c>
      <c r="W66" s="13">
        <v>18</v>
      </c>
      <c r="X66" s="13">
        <v>18</v>
      </c>
      <c r="Y66" s="13" t="s">
        <v>173</v>
      </c>
      <c r="Z66" s="13" t="s">
        <v>173</v>
      </c>
      <c r="AA66" s="13" t="s">
        <v>173</v>
      </c>
      <c r="AB66" s="15" t="s">
        <v>173</v>
      </c>
      <c r="AC66" s="14">
        <v>18</v>
      </c>
      <c r="AD66" s="13">
        <v>18</v>
      </c>
      <c r="AE66" s="13" t="s">
        <v>171</v>
      </c>
      <c r="AF66" s="13" t="s">
        <v>171</v>
      </c>
      <c r="AG66" s="13" t="s">
        <v>171</v>
      </c>
      <c r="AH66" s="13" t="s">
        <v>171</v>
      </c>
      <c r="AI66" s="13">
        <v>18</v>
      </c>
      <c r="AJ66" s="13">
        <v>18</v>
      </c>
      <c r="AK66" s="13" t="s">
        <v>171</v>
      </c>
      <c r="AL66" s="13" t="s">
        <v>171</v>
      </c>
      <c r="AM66" s="13" t="s">
        <v>171</v>
      </c>
      <c r="AN66" s="15" t="s">
        <v>171</v>
      </c>
      <c r="AO66" s="14">
        <v>18</v>
      </c>
      <c r="AP66" s="13">
        <v>18</v>
      </c>
      <c r="AQ66" s="13">
        <v>18</v>
      </c>
      <c r="AR66" s="13">
        <v>18</v>
      </c>
      <c r="AS66" s="13">
        <v>18</v>
      </c>
      <c r="AT66" s="13">
        <v>18</v>
      </c>
      <c r="AU66" s="13">
        <v>0</v>
      </c>
      <c r="AV66" s="13">
        <v>0</v>
      </c>
      <c r="AW66" s="13">
        <v>0</v>
      </c>
      <c r="AX66" s="13" t="s">
        <v>170</v>
      </c>
      <c r="AY66" s="13" t="s">
        <v>170</v>
      </c>
      <c r="AZ66" s="15" t="s">
        <v>170</v>
      </c>
      <c r="BA66" s="14" t="s">
        <v>170</v>
      </c>
      <c r="BB66" s="13" t="s">
        <v>170</v>
      </c>
      <c r="BC66" s="13" t="s">
        <v>170</v>
      </c>
      <c r="BD66" s="13">
        <v>18</v>
      </c>
      <c r="BE66" s="13">
        <v>18</v>
      </c>
      <c r="BF66" s="13" t="s">
        <v>172</v>
      </c>
      <c r="BG66" s="13" t="s">
        <v>172</v>
      </c>
      <c r="BH66" s="13" t="s">
        <v>172</v>
      </c>
      <c r="BI66" s="13" t="s">
        <v>172</v>
      </c>
      <c r="BJ66" s="13">
        <v>18</v>
      </c>
      <c r="BK66" s="13">
        <v>18</v>
      </c>
      <c r="BL66" s="15" t="s">
        <v>173</v>
      </c>
      <c r="BM66" s="14" t="s">
        <v>170</v>
      </c>
      <c r="BN66" s="13" t="s">
        <v>170</v>
      </c>
      <c r="BO66" s="13">
        <v>18</v>
      </c>
      <c r="BP66" s="13">
        <v>18</v>
      </c>
      <c r="BQ66" s="13" t="s">
        <v>171</v>
      </c>
      <c r="BR66" s="13" t="s">
        <v>171</v>
      </c>
      <c r="BS66" s="13" t="s">
        <v>171</v>
      </c>
      <c r="BT66" s="13" t="s">
        <v>171</v>
      </c>
      <c r="BU66" s="13">
        <v>18</v>
      </c>
      <c r="BV66" s="13">
        <v>18</v>
      </c>
      <c r="BW66" s="13" t="s">
        <v>171</v>
      </c>
      <c r="BX66" s="15" t="s">
        <v>171</v>
      </c>
      <c r="BY66" s="14" t="s">
        <v>171</v>
      </c>
      <c r="BZ66" s="13" t="s">
        <v>171</v>
      </c>
      <c r="CA66" s="13">
        <v>18</v>
      </c>
      <c r="CB66" s="13">
        <v>18</v>
      </c>
      <c r="CC66" s="13" t="s">
        <v>171</v>
      </c>
      <c r="CD66" s="13" t="s">
        <v>171</v>
      </c>
      <c r="CE66" s="13" t="s">
        <v>171</v>
      </c>
      <c r="CF66" s="13" t="s">
        <v>171</v>
      </c>
      <c r="CG66" s="13">
        <v>18</v>
      </c>
      <c r="CH66" s="13">
        <v>18</v>
      </c>
      <c r="CI66" s="13" t="s">
        <v>171</v>
      </c>
      <c r="CJ66" s="15" t="s">
        <v>171</v>
      </c>
      <c r="CK66" s="14" t="s">
        <v>171</v>
      </c>
      <c r="CL66" s="13" t="s">
        <v>171</v>
      </c>
      <c r="CM66" s="13">
        <v>18</v>
      </c>
      <c r="CN66" s="13">
        <v>18</v>
      </c>
      <c r="CO66" s="13" t="s">
        <v>171</v>
      </c>
      <c r="CP66" s="13" t="s">
        <v>171</v>
      </c>
      <c r="CQ66" s="13" t="s">
        <v>171</v>
      </c>
      <c r="CR66" s="13" t="s">
        <v>171</v>
      </c>
      <c r="CS66" s="13">
        <v>18</v>
      </c>
      <c r="CT66" s="13">
        <v>18</v>
      </c>
      <c r="CU66" s="13">
        <v>18</v>
      </c>
      <c r="CV66" s="15">
        <v>18</v>
      </c>
      <c r="CW66" s="14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5"/>
      <c r="DI66" s="14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5"/>
    </row>
    <row r="67" spans="1:124" x14ac:dyDescent="0.25">
      <c r="A67" s="13"/>
      <c r="B67" s="13"/>
      <c r="C67" s="13"/>
      <c r="D67" s="16" t="s">
        <v>78</v>
      </c>
      <c r="E67" s="14">
        <v>18</v>
      </c>
      <c r="F67" s="13">
        <v>18</v>
      </c>
      <c r="G67" s="13" t="s">
        <v>171</v>
      </c>
      <c r="H67" s="13" t="s">
        <v>171</v>
      </c>
      <c r="I67" s="13" t="s">
        <v>171</v>
      </c>
      <c r="J67" s="13" t="s">
        <v>171</v>
      </c>
      <c r="K67" s="13">
        <v>18</v>
      </c>
      <c r="L67" s="13">
        <v>18</v>
      </c>
      <c r="M67" s="13" t="s">
        <v>171</v>
      </c>
      <c r="N67" s="13" t="s">
        <v>171</v>
      </c>
      <c r="O67" s="13" t="s">
        <v>171</v>
      </c>
      <c r="P67" s="15" t="s">
        <v>171</v>
      </c>
      <c r="Q67" s="14">
        <v>18</v>
      </c>
      <c r="R67" s="13">
        <v>18</v>
      </c>
      <c r="S67" s="13" t="s">
        <v>175</v>
      </c>
      <c r="T67" s="13" t="s">
        <v>175</v>
      </c>
      <c r="U67" s="13" t="s">
        <v>175</v>
      </c>
      <c r="V67" s="13" t="s">
        <v>175</v>
      </c>
      <c r="W67" s="13">
        <v>18</v>
      </c>
      <c r="X67" s="13">
        <v>18</v>
      </c>
      <c r="Y67" s="13" t="s">
        <v>171</v>
      </c>
      <c r="Z67" s="13" t="s">
        <v>171</v>
      </c>
      <c r="AA67" s="13" t="s">
        <v>171</v>
      </c>
      <c r="AB67" s="15" t="s">
        <v>171</v>
      </c>
      <c r="AC67" s="14">
        <v>18</v>
      </c>
      <c r="AD67" s="13">
        <v>18</v>
      </c>
      <c r="AE67" s="13" t="s">
        <v>171</v>
      </c>
      <c r="AF67" s="13" t="s">
        <v>171</v>
      </c>
      <c r="AG67" s="13" t="s">
        <v>171</v>
      </c>
      <c r="AH67" s="13" t="s">
        <v>171</v>
      </c>
      <c r="AI67" s="13">
        <v>18</v>
      </c>
      <c r="AJ67" s="13">
        <v>18</v>
      </c>
      <c r="AK67" s="13" t="s">
        <v>171</v>
      </c>
      <c r="AL67" s="13" t="s">
        <v>171</v>
      </c>
      <c r="AM67" s="13" t="s">
        <v>171</v>
      </c>
      <c r="AN67" s="15" t="s">
        <v>171</v>
      </c>
      <c r="AO67" s="14">
        <v>18</v>
      </c>
      <c r="AP67" s="13">
        <v>18</v>
      </c>
      <c r="AQ67" s="13">
        <v>18</v>
      </c>
      <c r="AR67" s="13">
        <v>18</v>
      </c>
      <c r="AS67" s="13">
        <v>18</v>
      </c>
      <c r="AT67" s="13">
        <v>18</v>
      </c>
      <c r="AU67" s="13">
        <v>0</v>
      </c>
      <c r="AV67" s="13">
        <v>0</v>
      </c>
      <c r="AW67" s="13">
        <v>0</v>
      </c>
      <c r="AX67" s="13" t="s">
        <v>149</v>
      </c>
      <c r="AY67" s="13" t="s">
        <v>149</v>
      </c>
      <c r="AZ67" s="15" t="s">
        <v>149</v>
      </c>
      <c r="BA67" s="14" t="s">
        <v>149</v>
      </c>
      <c r="BB67" s="13" t="s">
        <v>149</v>
      </c>
      <c r="BC67" s="13" t="s">
        <v>149</v>
      </c>
      <c r="BD67" s="13">
        <v>18</v>
      </c>
      <c r="BE67" s="13">
        <v>18</v>
      </c>
      <c r="BF67" s="13" t="s">
        <v>173</v>
      </c>
      <c r="BG67" s="13" t="s">
        <v>173</v>
      </c>
      <c r="BH67" s="13" t="s">
        <v>173</v>
      </c>
      <c r="BI67" s="13" t="s">
        <v>173</v>
      </c>
      <c r="BJ67" s="13">
        <v>18</v>
      </c>
      <c r="BK67" s="13">
        <v>18</v>
      </c>
      <c r="BL67" s="15" t="s">
        <v>175</v>
      </c>
      <c r="BM67" s="14">
        <v>18</v>
      </c>
      <c r="BN67" s="13" t="s">
        <v>169</v>
      </c>
      <c r="BO67" s="13" t="s">
        <v>169</v>
      </c>
      <c r="BP67" s="13" t="s">
        <v>169</v>
      </c>
      <c r="BQ67" s="13" t="s">
        <v>169</v>
      </c>
      <c r="BR67" s="13" t="s">
        <v>169</v>
      </c>
      <c r="BS67" s="13" t="s">
        <v>169</v>
      </c>
      <c r="BT67" s="13">
        <v>18</v>
      </c>
      <c r="BU67" s="13">
        <v>18</v>
      </c>
      <c r="BV67" s="13" t="s">
        <v>171</v>
      </c>
      <c r="BW67" s="13" t="s">
        <v>171</v>
      </c>
      <c r="BX67" s="15" t="s">
        <v>171</v>
      </c>
      <c r="BY67" s="14" t="s">
        <v>171</v>
      </c>
      <c r="BZ67" s="13">
        <v>18</v>
      </c>
      <c r="CA67" s="13">
        <v>18</v>
      </c>
      <c r="CB67" s="13" t="s">
        <v>171</v>
      </c>
      <c r="CC67" s="13" t="s">
        <v>171</v>
      </c>
      <c r="CD67" s="13" t="s">
        <v>171</v>
      </c>
      <c r="CE67" s="13" t="s">
        <v>171</v>
      </c>
      <c r="CF67" s="13">
        <v>18</v>
      </c>
      <c r="CG67" s="13">
        <v>18</v>
      </c>
      <c r="CH67" s="13" t="s">
        <v>171</v>
      </c>
      <c r="CI67" s="13" t="s">
        <v>171</v>
      </c>
      <c r="CJ67" s="15" t="s">
        <v>171</v>
      </c>
      <c r="CK67" s="14" t="s">
        <v>171</v>
      </c>
      <c r="CL67" s="13">
        <v>18</v>
      </c>
      <c r="CM67" s="13">
        <v>18</v>
      </c>
      <c r="CN67" s="13" t="s">
        <v>171</v>
      </c>
      <c r="CO67" s="13" t="s">
        <v>171</v>
      </c>
      <c r="CP67" s="13" t="s">
        <v>171</v>
      </c>
      <c r="CQ67" s="13" t="s">
        <v>171</v>
      </c>
      <c r="CR67" s="13">
        <v>18</v>
      </c>
      <c r="CS67" s="13">
        <v>18</v>
      </c>
      <c r="CT67" s="13">
        <v>18</v>
      </c>
      <c r="CU67" s="13">
        <v>18</v>
      </c>
      <c r="CV67" s="15">
        <v>18</v>
      </c>
      <c r="CW67" s="14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5"/>
      <c r="DI67" s="14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5"/>
    </row>
    <row r="68" spans="1:124" x14ac:dyDescent="0.25">
      <c r="A68" s="13"/>
      <c r="B68" s="13"/>
      <c r="C68" s="13"/>
      <c r="D68" s="16" t="s">
        <v>48</v>
      </c>
      <c r="E68" s="14">
        <v>18</v>
      </c>
      <c r="F68" s="13">
        <v>18</v>
      </c>
      <c r="G68" s="13" t="s">
        <v>171</v>
      </c>
      <c r="H68" s="13" t="s">
        <v>171</v>
      </c>
      <c r="I68" s="13" t="s">
        <v>171</v>
      </c>
      <c r="J68" s="13" t="s">
        <v>171</v>
      </c>
      <c r="K68" s="13">
        <v>18</v>
      </c>
      <c r="L68" s="13">
        <v>18</v>
      </c>
      <c r="M68" s="13" t="s">
        <v>173</v>
      </c>
      <c r="N68" s="13" t="s">
        <v>173</v>
      </c>
      <c r="O68" s="13" t="s">
        <v>173</v>
      </c>
      <c r="P68" s="15" t="s">
        <v>173</v>
      </c>
      <c r="Q68" s="14">
        <v>18</v>
      </c>
      <c r="R68" s="13">
        <v>18</v>
      </c>
      <c r="S68" s="13" t="s">
        <v>175</v>
      </c>
      <c r="T68" s="13" t="s">
        <v>175</v>
      </c>
      <c r="U68" s="13" t="s">
        <v>175</v>
      </c>
      <c r="V68" s="13" t="s">
        <v>175</v>
      </c>
      <c r="W68" s="13">
        <v>18</v>
      </c>
      <c r="X68" s="13">
        <v>18</v>
      </c>
      <c r="Y68" s="13">
        <v>18</v>
      </c>
      <c r="Z68" s="13">
        <v>18</v>
      </c>
      <c r="AA68" s="13">
        <v>18</v>
      </c>
      <c r="AB68" s="15">
        <v>18</v>
      </c>
      <c r="AC68" s="14">
        <v>18</v>
      </c>
      <c r="AD68" s="13">
        <v>18</v>
      </c>
      <c r="AE68" s="13">
        <v>18</v>
      </c>
      <c r="AF68" s="13">
        <v>18</v>
      </c>
      <c r="AG68" s="13">
        <v>18</v>
      </c>
      <c r="AH68" s="13">
        <v>0</v>
      </c>
      <c r="AI68" s="13">
        <v>0</v>
      </c>
      <c r="AJ68" s="13">
        <v>0</v>
      </c>
      <c r="AK68" s="13">
        <v>0</v>
      </c>
      <c r="AL68" s="13">
        <v>0</v>
      </c>
      <c r="AM68" s="13">
        <v>0</v>
      </c>
      <c r="AN68" s="15">
        <v>0</v>
      </c>
      <c r="AO68" s="14">
        <v>0</v>
      </c>
      <c r="AP68" s="13">
        <v>0</v>
      </c>
      <c r="AQ68" s="13">
        <v>0</v>
      </c>
      <c r="AR68" s="13">
        <v>0</v>
      </c>
      <c r="AS68" s="13">
        <v>0</v>
      </c>
      <c r="AT68" s="13">
        <v>0</v>
      </c>
      <c r="AU68" s="13">
        <v>0</v>
      </c>
      <c r="AV68" s="13">
        <v>0</v>
      </c>
      <c r="AW68" s="13">
        <v>0</v>
      </c>
      <c r="AX68" s="13">
        <v>0</v>
      </c>
      <c r="AY68" s="13" t="s">
        <v>166</v>
      </c>
      <c r="AZ68" s="15" t="s">
        <v>166</v>
      </c>
      <c r="BA68" s="14" t="s">
        <v>166</v>
      </c>
      <c r="BB68" s="13" t="s">
        <v>166</v>
      </c>
      <c r="BC68" s="13" t="s">
        <v>166</v>
      </c>
      <c r="BD68" s="13" t="s">
        <v>166</v>
      </c>
      <c r="BE68" s="13">
        <v>18</v>
      </c>
      <c r="BF68" s="13">
        <v>18</v>
      </c>
      <c r="BG68" s="13" t="s">
        <v>173</v>
      </c>
      <c r="BH68" s="13" t="s">
        <v>173</v>
      </c>
      <c r="BI68" s="13" t="s">
        <v>173</v>
      </c>
      <c r="BJ68" s="13" t="s">
        <v>173</v>
      </c>
      <c r="BK68" s="13">
        <v>18</v>
      </c>
      <c r="BL68" s="15">
        <v>18</v>
      </c>
      <c r="BM68" s="14">
        <v>0</v>
      </c>
      <c r="BN68" s="13">
        <v>0</v>
      </c>
      <c r="BO68" s="13">
        <v>0</v>
      </c>
      <c r="BP68" s="13">
        <v>0</v>
      </c>
      <c r="BQ68" s="13">
        <v>0</v>
      </c>
      <c r="BR68" s="13">
        <v>0</v>
      </c>
      <c r="BS68" s="13">
        <v>0</v>
      </c>
      <c r="BT68" s="13" t="s">
        <v>170</v>
      </c>
      <c r="BU68" s="13" t="s">
        <v>170</v>
      </c>
      <c r="BV68" s="13" t="s">
        <v>170</v>
      </c>
      <c r="BW68" s="13" t="s">
        <v>170</v>
      </c>
      <c r="BX68" s="15" t="s">
        <v>170</v>
      </c>
      <c r="BY68" s="14" t="s">
        <v>170</v>
      </c>
      <c r="BZ68" s="13">
        <v>18</v>
      </c>
      <c r="CA68" s="13">
        <v>18</v>
      </c>
      <c r="CB68" s="13" t="s">
        <v>171</v>
      </c>
      <c r="CC68" s="13" t="s">
        <v>171</v>
      </c>
      <c r="CD68" s="13" t="s">
        <v>171</v>
      </c>
      <c r="CE68" s="13" t="s">
        <v>171</v>
      </c>
      <c r="CF68" s="13">
        <v>18</v>
      </c>
      <c r="CG68" s="13">
        <v>18</v>
      </c>
      <c r="CH68" s="13" t="s">
        <v>171</v>
      </c>
      <c r="CI68" s="13" t="s">
        <v>171</v>
      </c>
      <c r="CJ68" s="15" t="s">
        <v>171</v>
      </c>
      <c r="CK68" s="14" t="s">
        <v>171</v>
      </c>
      <c r="CL68" s="13">
        <v>18</v>
      </c>
      <c r="CM68" s="13">
        <v>18</v>
      </c>
      <c r="CN68" s="13" t="s">
        <v>171</v>
      </c>
      <c r="CO68" s="13" t="s">
        <v>171</v>
      </c>
      <c r="CP68" s="13" t="s">
        <v>171</v>
      </c>
      <c r="CQ68" s="13" t="s">
        <v>171</v>
      </c>
      <c r="CR68" s="13">
        <v>18</v>
      </c>
      <c r="CS68" s="13">
        <v>18</v>
      </c>
      <c r="CT68" s="13">
        <v>18</v>
      </c>
      <c r="CU68" s="13">
        <v>18</v>
      </c>
      <c r="CV68" s="15">
        <v>18</v>
      </c>
      <c r="CW68" s="14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5"/>
      <c r="DI68" s="14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5"/>
    </row>
    <row r="69" spans="1:124" x14ac:dyDescent="0.25">
      <c r="A69" s="13"/>
      <c r="B69" s="13"/>
      <c r="C69" s="13"/>
      <c r="D69" s="16" t="s">
        <v>57</v>
      </c>
      <c r="E69" s="14">
        <v>18</v>
      </c>
      <c r="F69" s="13">
        <v>18</v>
      </c>
      <c r="G69" s="13" t="s">
        <v>171</v>
      </c>
      <c r="H69" s="13" t="s">
        <v>171</v>
      </c>
      <c r="I69" s="13" t="s">
        <v>171</v>
      </c>
      <c r="J69" s="13" t="s">
        <v>171</v>
      </c>
      <c r="K69" s="13">
        <v>18</v>
      </c>
      <c r="L69" s="13">
        <v>18</v>
      </c>
      <c r="M69" s="13" t="s">
        <v>173</v>
      </c>
      <c r="N69" s="13" t="s">
        <v>173</v>
      </c>
      <c r="O69" s="13" t="s">
        <v>173</v>
      </c>
      <c r="P69" s="15" t="s">
        <v>173</v>
      </c>
      <c r="Q69" s="14">
        <v>18</v>
      </c>
      <c r="R69" s="13">
        <v>18</v>
      </c>
      <c r="S69" s="13" t="s">
        <v>171</v>
      </c>
      <c r="T69" s="13" t="s">
        <v>171</v>
      </c>
      <c r="U69" s="13" t="s">
        <v>171</v>
      </c>
      <c r="V69" s="13" t="s">
        <v>171</v>
      </c>
      <c r="W69" s="13">
        <v>18</v>
      </c>
      <c r="X69" s="13">
        <v>18</v>
      </c>
      <c r="Y69" s="13" t="s">
        <v>171</v>
      </c>
      <c r="Z69" s="13" t="s">
        <v>171</v>
      </c>
      <c r="AA69" s="13" t="s">
        <v>171</v>
      </c>
      <c r="AB69" s="15" t="s">
        <v>171</v>
      </c>
      <c r="AC69" s="14">
        <v>18</v>
      </c>
      <c r="AD69" s="13">
        <v>18</v>
      </c>
      <c r="AE69" s="13" t="s">
        <v>172</v>
      </c>
      <c r="AF69" s="13" t="s">
        <v>172</v>
      </c>
      <c r="AG69" s="13" t="s">
        <v>172</v>
      </c>
      <c r="AH69" s="13" t="s">
        <v>172</v>
      </c>
      <c r="AI69" s="13">
        <v>18</v>
      </c>
      <c r="AJ69" s="13">
        <v>18</v>
      </c>
      <c r="AK69" s="13">
        <v>18</v>
      </c>
      <c r="AL69" s="13">
        <v>18</v>
      </c>
      <c r="AM69" s="13">
        <v>18</v>
      </c>
      <c r="AN69" s="15">
        <v>18</v>
      </c>
      <c r="AO69" s="14">
        <v>18</v>
      </c>
      <c r="AP69" s="13">
        <v>18</v>
      </c>
      <c r="AQ69" s="13">
        <v>0</v>
      </c>
      <c r="AR69" s="13">
        <v>0</v>
      </c>
      <c r="AS69" s="13">
        <v>0</v>
      </c>
      <c r="AT69" s="13">
        <v>0</v>
      </c>
      <c r="AU69" s="13">
        <v>0</v>
      </c>
      <c r="AV69" s="13">
        <v>0</v>
      </c>
      <c r="AW69" s="13">
        <v>0</v>
      </c>
      <c r="AX69" s="13">
        <v>0</v>
      </c>
      <c r="AY69" s="13">
        <v>0</v>
      </c>
      <c r="AZ69" s="15">
        <v>0</v>
      </c>
      <c r="BA69" s="14" t="s">
        <v>167</v>
      </c>
      <c r="BB69" s="13" t="s">
        <v>167</v>
      </c>
      <c r="BC69" s="13" t="s">
        <v>167</v>
      </c>
      <c r="BD69" s="13" t="s">
        <v>167</v>
      </c>
      <c r="BE69" s="13" t="s">
        <v>167</v>
      </c>
      <c r="BF69" s="13" t="s">
        <v>167</v>
      </c>
      <c r="BG69" s="13">
        <v>18</v>
      </c>
      <c r="BH69" s="13">
        <v>18</v>
      </c>
      <c r="BI69" s="13" t="s">
        <v>173</v>
      </c>
      <c r="BJ69" s="13" t="s">
        <v>173</v>
      </c>
      <c r="BK69" s="13">
        <v>18</v>
      </c>
      <c r="BL69" s="15">
        <v>18</v>
      </c>
      <c r="BM69" s="14">
        <v>18</v>
      </c>
      <c r="BN69" s="13" t="s">
        <v>171</v>
      </c>
      <c r="BO69" s="13" t="s">
        <v>171</v>
      </c>
      <c r="BP69" s="13" t="s">
        <v>171</v>
      </c>
      <c r="BQ69" s="13" t="s">
        <v>171</v>
      </c>
      <c r="BR69" s="13">
        <v>18</v>
      </c>
      <c r="BS69" s="13">
        <v>18</v>
      </c>
      <c r="BT69" s="13" t="s">
        <v>171</v>
      </c>
      <c r="BU69" s="13" t="s">
        <v>171</v>
      </c>
      <c r="BV69" s="13" t="s">
        <v>171</v>
      </c>
      <c r="BW69" s="13" t="s">
        <v>171</v>
      </c>
      <c r="BX69" s="15">
        <v>18</v>
      </c>
      <c r="BY69" s="14">
        <v>18</v>
      </c>
      <c r="BZ69" s="13" t="s">
        <v>171</v>
      </c>
      <c r="CA69" s="13" t="s">
        <v>171</v>
      </c>
      <c r="CB69" s="13" t="s">
        <v>171</v>
      </c>
      <c r="CC69" s="13" t="s">
        <v>171</v>
      </c>
      <c r="CD69" s="13">
        <v>18</v>
      </c>
      <c r="CE69" s="13">
        <v>18</v>
      </c>
      <c r="CF69" s="13" t="s">
        <v>171</v>
      </c>
      <c r="CG69" s="13" t="s">
        <v>171</v>
      </c>
      <c r="CH69" s="13" t="s">
        <v>171</v>
      </c>
      <c r="CI69" s="13" t="s">
        <v>171</v>
      </c>
      <c r="CJ69" s="15">
        <v>18</v>
      </c>
      <c r="CK69" s="14">
        <v>18</v>
      </c>
      <c r="CL69" s="13" t="s">
        <v>171</v>
      </c>
      <c r="CM69" s="13" t="s">
        <v>171</v>
      </c>
      <c r="CN69" s="13" t="s">
        <v>171</v>
      </c>
      <c r="CO69" s="13" t="s">
        <v>171</v>
      </c>
      <c r="CP69" s="13">
        <v>18</v>
      </c>
      <c r="CQ69" s="13">
        <v>18</v>
      </c>
      <c r="CR69" s="13">
        <v>18</v>
      </c>
      <c r="CS69" s="13">
        <v>18</v>
      </c>
      <c r="CT69" s="13">
        <v>18</v>
      </c>
      <c r="CU69" s="13">
        <v>18</v>
      </c>
      <c r="CV69" s="15">
        <v>18</v>
      </c>
      <c r="CW69" s="14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5"/>
      <c r="DI69" s="14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5"/>
    </row>
    <row r="70" spans="1:124" x14ac:dyDescent="0.25">
      <c r="A70" s="13"/>
      <c r="B70" s="13"/>
      <c r="C70" s="13"/>
      <c r="D70" s="16" t="s">
        <v>62</v>
      </c>
      <c r="E70" s="14">
        <v>18</v>
      </c>
      <c r="F70" s="13">
        <v>18</v>
      </c>
      <c r="G70" s="13" t="s">
        <v>173</v>
      </c>
      <c r="H70" s="13" t="s">
        <v>173</v>
      </c>
      <c r="I70" s="13" t="s">
        <v>173</v>
      </c>
      <c r="J70" s="13" t="s">
        <v>173</v>
      </c>
      <c r="K70" s="13">
        <v>18</v>
      </c>
      <c r="L70" s="13">
        <v>18</v>
      </c>
      <c r="M70" s="13" t="s">
        <v>171</v>
      </c>
      <c r="N70" s="13" t="s">
        <v>171</v>
      </c>
      <c r="O70" s="13" t="s">
        <v>171</v>
      </c>
      <c r="P70" s="15" t="s">
        <v>171</v>
      </c>
      <c r="Q70" s="14">
        <v>18</v>
      </c>
      <c r="R70" s="13">
        <v>18</v>
      </c>
      <c r="S70" s="13" t="s">
        <v>171</v>
      </c>
      <c r="T70" s="13" t="s">
        <v>171</v>
      </c>
      <c r="U70" s="13" t="s">
        <v>171</v>
      </c>
      <c r="V70" s="13" t="s">
        <v>171</v>
      </c>
      <c r="W70" s="13">
        <v>18</v>
      </c>
      <c r="X70" s="13">
        <v>18</v>
      </c>
      <c r="Y70" s="13" t="s">
        <v>172</v>
      </c>
      <c r="Z70" s="13" t="s">
        <v>172</v>
      </c>
      <c r="AA70" s="13" t="s">
        <v>172</v>
      </c>
      <c r="AB70" s="15" t="s">
        <v>172</v>
      </c>
      <c r="AC70" s="14">
        <v>18</v>
      </c>
      <c r="AD70" s="13">
        <v>18</v>
      </c>
      <c r="AE70" s="13" t="s">
        <v>171</v>
      </c>
      <c r="AF70" s="13" t="s">
        <v>171</v>
      </c>
      <c r="AG70" s="13" t="s">
        <v>171</v>
      </c>
      <c r="AH70" s="13" t="s">
        <v>171</v>
      </c>
      <c r="AI70" s="13">
        <v>18</v>
      </c>
      <c r="AJ70" s="13">
        <v>18</v>
      </c>
      <c r="AK70" s="13">
        <v>18</v>
      </c>
      <c r="AL70" s="13">
        <v>18</v>
      </c>
      <c r="AM70" s="13">
        <v>18</v>
      </c>
      <c r="AN70" s="15">
        <v>18</v>
      </c>
      <c r="AO70" s="14">
        <v>18</v>
      </c>
      <c r="AP70" s="13">
        <v>18</v>
      </c>
      <c r="AQ70" s="13">
        <v>0</v>
      </c>
      <c r="AR70" s="13">
        <v>0</v>
      </c>
      <c r="AS70" s="13">
        <v>0</v>
      </c>
      <c r="AT70" s="13">
        <v>0</v>
      </c>
      <c r="AU70" s="13">
        <v>0</v>
      </c>
      <c r="AV70" s="13">
        <v>0</v>
      </c>
      <c r="AW70" s="13">
        <v>0</v>
      </c>
      <c r="AX70" s="13">
        <v>0</v>
      </c>
      <c r="AY70" s="13">
        <v>0</v>
      </c>
      <c r="AZ70" s="15">
        <v>0</v>
      </c>
      <c r="BA70" s="14">
        <v>0</v>
      </c>
      <c r="BB70" s="13" t="s">
        <v>166</v>
      </c>
      <c r="BC70" s="13" t="s">
        <v>166</v>
      </c>
      <c r="BD70" s="13" t="s">
        <v>166</v>
      </c>
      <c r="BE70" s="13" t="s">
        <v>166</v>
      </c>
      <c r="BF70" s="13" t="s">
        <v>166</v>
      </c>
      <c r="BG70" s="13" t="s">
        <v>166</v>
      </c>
      <c r="BH70" s="13">
        <v>18</v>
      </c>
      <c r="BI70" s="13">
        <v>18</v>
      </c>
      <c r="BJ70" s="13" t="s">
        <v>175</v>
      </c>
      <c r="BK70" s="13" t="s">
        <v>175</v>
      </c>
      <c r="BL70" s="15" t="s">
        <v>175</v>
      </c>
      <c r="BM70" s="14">
        <v>18</v>
      </c>
      <c r="BN70" s="13">
        <v>18</v>
      </c>
      <c r="BO70" s="13">
        <v>18</v>
      </c>
      <c r="BP70" s="13">
        <v>18</v>
      </c>
      <c r="BQ70" s="13">
        <v>18</v>
      </c>
      <c r="BR70" s="13">
        <v>18</v>
      </c>
      <c r="BS70" s="13">
        <v>0</v>
      </c>
      <c r="BT70" s="13">
        <v>0</v>
      </c>
      <c r="BU70" s="13">
        <v>0</v>
      </c>
      <c r="BV70" s="13">
        <v>0</v>
      </c>
      <c r="BW70" s="13">
        <v>0</v>
      </c>
      <c r="BX70" s="15">
        <v>0</v>
      </c>
      <c r="BY70" s="14">
        <v>0</v>
      </c>
      <c r="BZ70" s="13">
        <v>0</v>
      </c>
      <c r="CA70" s="13">
        <v>0</v>
      </c>
      <c r="CB70" s="13">
        <v>0</v>
      </c>
      <c r="CC70" s="13">
        <v>0</v>
      </c>
      <c r="CD70" s="13">
        <v>0</v>
      </c>
      <c r="CE70" s="13">
        <v>0</v>
      </c>
      <c r="CF70" s="13">
        <v>0</v>
      </c>
      <c r="CG70" s="13">
        <v>0</v>
      </c>
      <c r="CH70" s="13">
        <v>0</v>
      </c>
      <c r="CI70" s="13">
        <v>0</v>
      </c>
      <c r="CJ70" s="15" t="s">
        <v>170</v>
      </c>
      <c r="CK70" s="14" t="s">
        <v>170</v>
      </c>
      <c r="CL70" s="13" t="s">
        <v>170</v>
      </c>
      <c r="CM70" s="13" t="s">
        <v>170</v>
      </c>
      <c r="CN70" s="13" t="s">
        <v>170</v>
      </c>
      <c r="CO70" s="13" t="s">
        <v>170</v>
      </c>
      <c r="CP70" s="13">
        <v>18</v>
      </c>
      <c r="CQ70" s="13">
        <v>18</v>
      </c>
      <c r="CR70" s="13">
        <v>18</v>
      </c>
      <c r="CS70" s="13">
        <v>18</v>
      </c>
      <c r="CT70" s="13">
        <v>18</v>
      </c>
      <c r="CU70" s="13">
        <v>18</v>
      </c>
      <c r="CV70" s="15">
        <v>18</v>
      </c>
      <c r="CW70" s="14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5"/>
      <c r="DI70" s="14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5"/>
    </row>
    <row r="71" spans="1:124" x14ac:dyDescent="0.25">
      <c r="A71" s="13"/>
      <c r="B71" s="13"/>
      <c r="C71" s="13"/>
      <c r="D71" s="16" t="s">
        <v>10</v>
      </c>
      <c r="E71" s="14" t="s">
        <v>175</v>
      </c>
      <c r="F71" s="13" t="s">
        <v>175</v>
      </c>
      <c r="G71" s="13" t="s">
        <v>175</v>
      </c>
      <c r="H71" s="13" t="s">
        <v>175</v>
      </c>
      <c r="I71" s="13">
        <v>18</v>
      </c>
      <c r="J71" s="13">
        <v>18</v>
      </c>
      <c r="K71" s="13" t="s">
        <v>173</v>
      </c>
      <c r="L71" s="13" t="s">
        <v>173</v>
      </c>
      <c r="M71" s="13" t="s">
        <v>173</v>
      </c>
      <c r="N71" s="13" t="s">
        <v>173</v>
      </c>
      <c r="O71" s="13">
        <v>18</v>
      </c>
      <c r="P71" s="15">
        <v>18</v>
      </c>
      <c r="Q71" s="14" t="s">
        <v>172</v>
      </c>
      <c r="R71" s="13" t="s">
        <v>172</v>
      </c>
      <c r="S71" s="13" t="s">
        <v>172</v>
      </c>
      <c r="T71" s="13" t="s">
        <v>172</v>
      </c>
      <c r="U71" s="13">
        <v>18</v>
      </c>
      <c r="V71" s="13">
        <v>18</v>
      </c>
      <c r="W71" s="13">
        <v>18</v>
      </c>
      <c r="X71" s="13">
        <v>18</v>
      </c>
      <c r="Y71" s="13">
        <v>18</v>
      </c>
      <c r="Z71" s="13">
        <v>18</v>
      </c>
      <c r="AA71" s="13">
        <v>18</v>
      </c>
      <c r="AB71" s="15">
        <v>0</v>
      </c>
      <c r="AC71" s="14">
        <v>0</v>
      </c>
      <c r="AD71" s="13">
        <v>0</v>
      </c>
      <c r="AE71" s="13">
        <v>0</v>
      </c>
      <c r="AF71" s="13">
        <v>0</v>
      </c>
      <c r="AG71" s="13">
        <v>0</v>
      </c>
      <c r="AH71" s="13">
        <v>0</v>
      </c>
      <c r="AI71" s="13">
        <v>0</v>
      </c>
      <c r="AJ71" s="13">
        <v>0</v>
      </c>
      <c r="AK71" s="13">
        <v>0</v>
      </c>
      <c r="AL71" s="13">
        <v>0</v>
      </c>
      <c r="AM71" s="13">
        <v>0</v>
      </c>
      <c r="AN71" s="15">
        <v>0</v>
      </c>
      <c r="AO71" s="14">
        <v>0</v>
      </c>
      <c r="AP71" s="13">
        <v>0</v>
      </c>
      <c r="AQ71" s="13">
        <v>0</v>
      </c>
      <c r="AR71" s="13">
        <v>0</v>
      </c>
      <c r="AS71" s="13">
        <v>0</v>
      </c>
      <c r="AT71" s="13">
        <v>0</v>
      </c>
      <c r="AU71" s="13">
        <v>0</v>
      </c>
      <c r="AV71" s="13">
        <v>0</v>
      </c>
      <c r="AW71" s="13">
        <v>0</v>
      </c>
      <c r="AX71" s="13">
        <v>0</v>
      </c>
      <c r="AY71" s="13">
        <v>0</v>
      </c>
      <c r="AZ71" s="15">
        <v>0</v>
      </c>
      <c r="BA71" s="14">
        <v>0</v>
      </c>
      <c r="BB71" s="13">
        <v>0</v>
      </c>
      <c r="BC71" s="13" t="s">
        <v>167</v>
      </c>
      <c r="BD71" s="13" t="s">
        <v>167</v>
      </c>
      <c r="BE71" s="13" t="s">
        <v>167</v>
      </c>
      <c r="BF71" s="13" t="s">
        <v>167</v>
      </c>
      <c r="BG71" s="13" t="s">
        <v>167</v>
      </c>
      <c r="BH71" s="13" t="s">
        <v>167</v>
      </c>
      <c r="BI71" s="13">
        <v>18</v>
      </c>
      <c r="BJ71" s="13">
        <v>18</v>
      </c>
      <c r="BK71" s="13" t="s">
        <v>173</v>
      </c>
      <c r="BL71" s="15" t="s">
        <v>173</v>
      </c>
      <c r="BM71" s="14">
        <v>18</v>
      </c>
      <c r="BN71" s="13" t="s">
        <v>169</v>
      </c>
      <c r="BO71" s="13" t="s">
        <v>169</v>
      </c>
      <c r="BP71" s="13" t="s">
        <v>169</v>
      </c>
      <c r="BQ71" s="13" t="s">
        <v>169</v>
      </c>
      <c r="BR71" s="13" t="s">
        <v>169</v>
      </c>
      <c r="BS71" s="13" t="s">
        <v>169</v>
      </c>
      <c r="BT71" s="13">
        <v>18</v>
      </c>
      <c r="BU71" s="13">
        <v>18</v>
      </c>
      <c r="BV71" s="13" t="s">
        <v>171</v>
      </c>
      <c r="BW71" s="13" t="s">
        <v>171</v>
      </c>
      <c r="BX71" s="15" t="s">
        <v>171</v>
      </c>
      <c r="BY71" s="14" t="s">
        <v>171</v>
      </c>
      <c r="BZ71" s="13">
        <v>18</v>
      </c>
      <c r="CA71" s="13">
        <v>18</v>
      </c>
      <c r="CB71" s="13" t="s">
        <v>171</v>
      </c>
      <c r="CC71" s="13" t="s">
        <v>171</v>
      </c>
      <c r="CD71" s="13" t="s">
        <v>171</v>
      </c>
      <c r="CE71" s="13" t="s">
        <v>171</v>
      </c>
      <c r="CF71" s="13">
        <v>18</v>
      </c>
      <c r="CG71" s="13">
        <v>18</v>
      </c>
      <c r="CH71" s="13" t="s">
        <v>171</v>
      </c>
      <c r="CI71" s="13" t="s">
        <v>171</v>
      </c>
      <c r="CJ71" s="15" t="s">
        <v>171</v>
      </c>
      <c r="CK71" s="14" t="s">
        <v>171</v>
      </c>
      <c r="CL71" s="13">
        <v>18</v>
      </c>
      <c r="CM71" s="13">
        <v>18</v>
      </c>
      <c r="CN71" s="13" t="s">
        <v>171</v>
      </c>
      <c r="CO71" s="13" t="s">
        <v>171</v>
      </c>
      <c r="CP71" s="13" t="s">
        <v>171</v>
      </c>
      <c r="CQ71" s="13" t="s">
        <v>171</v>
      </c>
      <c r="CR71" s="13">
        <v>18</v>
      </c>
      <c r="CS71" s="13">
        <v>18</v>
      </c>
      <c r="CT71" s="13">
        <v>18</v>
      </c>
      <c r="CU71" s="13">
        <v>18</v>
      </c>
      <c r="CV71" s="15">
        <v>18</v>
      </c>
      <c r="CW71" s="14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5"/>
      <c r="DI71" s="14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5"/>
    </row>
    <row r="72" spans="1:124" x14ac:dyDescent="0.25">
      <c r="A72" s="13"/>
      <c r="B72" s="13"/>
      <c r="C72" s="13"/>
      <c r="D72" s="16" t="s">
        <v>11</v>
      </c>
      <c r="E72" s="14">
        <v>18</v>
      </c>
      <c r="F72" s="13" t="s">
        <v>171</v>
      </c>
      <c r="G72" s="13" t="s">
        <v>171</v>
      </c>
      <c r="H72" s="13" t="s">
        <v>171</v>
      </c>
      <c r="I72" s="13" t="s">
        <v>171</v>
      </c>
      <c r="J72" s="13">
        <v>18</v>
      </c>
      <c r="K72" s="13">
        <v>18</v>
      </c>
      <c r="L72" s="13" t="s">
        <v>171</v>
      </c>
      <c r="M72" s="13" t="s">
        <v>171</v>
      </c>
      <c r="N72" s="13" t="s">
        <v>171</v>
      </c>
      <c r="O72" s="13" t="s">
        <v>171</v>
      </c>
      <c r="P72" s="15">
        <v>18</v>
      </c>
      <c r="Q72" s="14">
        <v>18</v>
      </c>
      <c r="R72" s="13" t="s">
        <v>171</v>
      </c>
      <c r="S72" s="13" t="s">
        <v>171</v>
      </c>
      <c r="T72" s="13" t="s">
        <v>171</v>
      </c>
      <c r="U72" s="13" t="s">
        <v>171</v>
      </c>
      <c r="V72" s="13">
        <v>18</v>
      </c>
      <c r="W72" s="13">
        <v>18</v>
      </c>
      <c r="X72" s="13" t="s">
        <v>171</v>
      </c>
      <c r="Y72" s="13" t="s">
        <v>171</v>
      </c>
      <c r="Z72" s="13" t="s">
        <v>171</v>
      </c>
      <c r="AA72" s="13" t="s">
        <v>171</v>
      </c>
      <c r="AB72" s="15">
        <v>18</v>
      </c>
      <c r="AC72" s="14">
        <v>18</v>
      </c>
      <c r="AD72" s="13" t="s">
        <v>171</v>
      </c>
      <c r="AE72" s="13" t="s">
        <v>171</v>
      </c>
      <c r="AF72" s="13" t="s">
        <v>171</v>
      </c>
      <c r="AG72" s="13" t="s">
        <v>171</v>
      </c>
      <c r="AH72" s="13">
        <v>18</v>
      </c>
      <c r="AI72" s="13">
        <v>18</v>
      </c>
      <c r="AJ72" s="13" t="s">
        <v>171</v>
      </c>
      <c r="AK72" s="13" t="s">
        <v>171</v>
      </c>
      <c r="AL72" s="13" t="s">
        <v>171</v>
      </c>
      <c r="AM72" s="13" t="s">
        <v>171</v>
      </c>
      <c r="AN72" s="15">
        <v>18</v>
      </c>
      <c r="AO72" s="14">
        <v>18</v>
      </c>
      <c r="AP72" s="13">
        <v>18</v>
      </c>
      <c r="AQ72" s="13">
        <v>18</v>
      </c>
      <c r="AR72" s="13">
        <v>18</v>
      </c>
      <c r="AS72" s="13">
        <v>18</v>
      </c>
      <c r="AT72" s="13">
        <v>18</v>
      </c>
      <c r="AU72" s="13">
        <v>18</v>
      </c>
      <c r="AV72" s="13">
        <v>18</v>
      </c>
      <c r="AW72" s="13">
        <v>0</v>
      </c>
      <c r="AX72" s="13">
        <v>0</v>
      </c>
      <c r="AY72" s="13">
        <v>0</v>
      </c>
      <c r="AZ72" s="15">
        <v>0</v>
      </c>
      <c r="BA72" s="14">
        <v>0</v>
      </c>
      <c r="BB72" s="13">
        <v>0</v>
      </c>
      <c r="BC72" s="13" t="s">
        <v>168</v>
      </c>
      <c r="BD72" s="13" t="s">
        <v>168</v>
      </c>
      <c r="BE72" s="13" t="s">
        <v>168</v>
      </c>
      <c r="BF72" s="13" t="s">
        <v>168</v>
      </c>
      <c r="BG72" s="13" t="s">
        <v>168</v>
      </c>
      <c r="BH72" s="13" t="s">
        <v>168</v>
      </c>
      <c r="BI72" s="13">
        <v>18</v>
      </c>
      <c r="BJ72" s="13">
        <v>18</v>
      </c>
      <c r="BK72" s="13" t="s">
        <v>171</v>
      </c>
      <c r="BL72" s="15" t="s">
        <v>171</v>
      </c>
      <c r="BM72" s="14" t="s">
        <v>171</v>
      </c>
      <c r="BN72" s="13" t="s">
        <v>171</v>
      </c>
      <c r="BO72" s="13" t="s">
        <v>171</v>
      </c>
      <c r="BP72" s="13" t="s">
        <v>171</v>
      </c>
      <c r="BQ72" s="13">
        <v>18</v>
      </c>
      <c r="BR72" s="13">
        <v>18</v>
      </c>
      <c r="BS72" s="13" t="s">
        <v>171</v>
      </c>
      <c r="BT72" s="13" t="s">
        <v>171</v>
      </c>
      <c r="BU72" s="13" t="s">
        <v>171</v>
      </c>
      <c r="BV72" s="13" t="s">
        <v>171</v>
      </c>
      <c r="BW72" s="13">
        <v>18</v>
      </c>
      <c r="BX72" s="15">
        <v>18</v>
      </c>
      <c r="BY72" s="14" t="s">
        <v>171</v>
      </c>
      <c r="BZ72" s="13" t="s">
        <v>171</v>
      </c>
      <c r="CA72" s="13" t="s">
        <v>171</v>
      </c>
      <c r="CB72" s="13" t="s">
        <v>171</v>
      </c>
      <c r="CC72" s="13">
        <v>18</v>
      </c>
      <c r="CD72" s="13">
        <v>18</v>
      </c>
      <c r="CE72" s="13" t="s">
        <v>171</v>
      </c>
      <c r="CF72" s="13" t="s">
        <v>171</v>
      </c>
      <c r="CG72" s="13" t="s">
        <v>171</v>
      </c>
      <c r="CH72" s="13" t="s">
        <v>171</v>
      </c>
      <c r="CI72" s="13">
        <v>18</v>
      </c>
      <c r="CJ72" s="15">
        <v>18</v>
      </c>
      <c r="CK72" s="14" t="s">
        <v>171</v>
      </c>
      <c r="CL72" s="13" t="s">
        <v>171</v>
      </c>
      <c r="CM72" s="13" t="s">
        <v>171</v>
      </c>
      <c r="CN72" s="13" t="s">
        <v>171</v>
      </c>
      <c r="CO72" s="13">
        <v>18</v>
      </c>
      <c r="CP72" s="13">
        <v>18</v>
      </c>
      <c r="CQ72" s="13" t="s">
        <v>171</v>
      </c>
      <c r="CR72" s="13" t="s">
        <v>171</v>
      </c>
      <c r="CS72" s="13" t="s">
        <v>171</v>
      </c>
      <c r="CT72" s="13" t="s">
        <v>171</v>
      </c>
      <c r="CU72" s="13">
        <v>18</v>
      </c>
      <c r="CV72" s="15">
        <v>18</v>
      </c>
      <c r="CW72" s="14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5"/>
      <c r="DI72" s="14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5"/>
    </row>
    <row r="73" spans="1:124" x14ac:dyDescent="0.25">
      <c r="A73" s="13"/>
      <c r="B73" s="13"/>
      <c r="C73" s="13"/>
      <c r="D73" s="16" t="s">
        <v>79</v>
      </c>
      <c r="E73" s="14">
        <v>18</v>
      </c>
      <c r="F73" s="13">
        <v>18</v>
      </c>
      <c r="G73" s="13" t="s">
        <v>173</v>
      </c>
      <c r="H73" s="13" t="s">
        <v>173</v>
      </c>
      <c r="I73" s="13" t="s">
        <v>173</v>
      </c>
      <c r="J73" s="13" t="s">
        <v>173</v>
      </c>
      <c r="K73" s="13">
        <v>18</v>
      </c>
      <c r="L73" s="13">
        <v>18</v>
      </c>
      <c r="M73" s="13" t="s">
        <v>173</v>
      </c>
      <c r="N73" s="13" t="s">
        <v>173</v>
      </c>
      <c r="O73" s="13" t="s">
        <v>173</v>
      </c>
      <c r="P73" s="15" t="s">
        <v>173</v>
      </c>
      <c r="Q73" s="14">
        <v>18</v>
      </c>
      <c r="R73" s="13">
        <v>18</v>
      </c>
      <c r="S73" s="13" t="s">
        <v>171</v>
      </c>
      <c r="T73" s="13" t="s">
        <v>171</v>
      </c>
      <c r="U73" s="13" t="s">
        <v>171</v>
      </c>
      <c r="V73" s="13" t="s">
        <v>171</v>
      </c>
      <c r="W73" s="13">
        <v>18</v>
      </c>
      <c r="X73" s="13">
        <v>18</v>
      </c>
      <c r="Y73" s="13">
        <v>18</v>
      </c>
      <c r="Z73" s="13">
        <v>18</v>
      </c>
      <c r="AA73" s="13">
        <v>18</v>
      </c>
      <c r="AB73" s="15">
        <v>18</v>
      </c>
      <c r="AC73" s="14">
        <v>18</v>
      </c>
      <c r="AD73" s="13">
        <v>18</v>
      </c>
      <c r="AE73" s="13">
        <v>18</v>
      </c>
      <c r="AF73" s="13">
        <v>18</v>
      </c>
      <c r="AG73" s="13">
        <v>18</v>
      </c>
      <c r="AH73" s="13">
        <v>0</v>
      </c>
      <c r="AI73" s="13">
        <v>0</v>
      </c>
      <c r="AJ73" s="13">
        <v>0</v>
      </c>
      <c r="AK73" s="13">
        <v>0</v>
      </c>
      <c r="AL73" s="13">
        <v>0</v>
      </c>
      <c r="AM73" s="13">
        <v>0</v>
      </c>
      <c r="AN73" s="15">
        <v>0</v>
      </c>
      <c r="AO73" s="14">
        <v>0</v>
      </c>
      <c r="AP73" s="13">
        <v>0</v>
      </c>
      <c r="AQ73" s="13">
        <v>0</v>
      </c>
      <c r="AR73" s="13">
        <v>0</v>
      </c>
      <c r="AS73" s="13">
        <v>0</v>
      </c>
      <c r="AT73" s="13">
        <v>0</v>
      </c>
      <c r="AU73" s="13">
        <v>0</v>
      </c>
      <c r="AV73" s="13">
        <v>0</v>
      </c>
      <c r="AW73" s="13">
        <v>0</v>
      </c>
      <c r="AX73" s="13">
        <v>0</v>
      </c>
      <c r="AY73" s="13">
        <v>0</v>
      </c>
      <c r="AZ73" s="15">
        <v>0</v>
      </c>
      <c r="BA73" s="14">
        <v>0</v>
      </c>
      <c r="BB73" s="13">
        <v>0</v>
      </c>
      <c r="BC73" s="13" t="s">
        <v>149</v>
      </c>
      <c r="BD73" s="13" t="s">
        <v>149</v>
      </c>
      <c r="BE73" s="13" t="s">
        <v>149</v>
      </c>
      <c r="BF73" s="13" t="s">
        <v>149</v>
      </c>
      <c r="BG73" s="13" t="s">
        <v>149</v>
      </c>
      <c r="BH73" s="13" t="s">
        <v>149</v>
      </c>
      <c r="BI73" s="13">
        <v>18</v>
      </c>
      <c r="BJ73" s="13">
        <v>18</v>
      </c>
      <c r="BK73" s="13" t="s">
        <v>173</v>
      </c>
      <c r="BL73" s="15" t="s">
        <v>173</v>
      </c>
      <c r="BM73" s="14" t="s">
        <v>169</v>
      </c>
      <c r="BN73" s="13" t="s">
        <v>169</v>
      </c>
      <c r="BO73" s="13" t="s">
        <v>169</v>
      </c>
      <c r="BP73" s="13" t="s">
        <v>169</v>
      </c>
      <c r="BQ73" s="13" t="s">
        <v>169</v>
      </c>
      <c r="BR73" s="13">
        <v>18</v>
      </c>
      <c r="BS73" s="13">
        <v>18</v>
      </c>
      <c r="BT73" s="13" t="s">
        <v>171</v>
      </c>
      <c r="BU73" s="13" t="s">
        <v>171</v>
      </c>
      <c r="BV73" s="13" t="s">
        <v>171</v>
      </c>
      <c r="BW73" s="13" t="s">
        <v>171</v>
      </c>
      <c r="BX73" s="15">
        <v>18</v>
      </c>
      <c r="BY73" s="14">
        <v>18</v>
      </c>
      <c r="BZ73" s="13" t="s">
        <v>171</v>
      </c>
      <c r="CA73" s="13" t="s">
        <v>171</v>
      </c>
      <c r="CB73" s="13" t="s">
        <v>171</v>
      </c>
      <c r="CC73" s="13" t="s">
        <v>171</v>
      </c>
      <c r="CD73" s="13">
        <v>18</v>
      </c>
      <c r="CE73" s="13">
        <v>18</v>
      </c>
      <c r="CF73" s="13" t="s">
        <v>171</v>
      </c>
      <c r="CG73" s="13" t="s">
        <v>171</v>
      </c>
      <c r="CH73" s="13" t="s">
        <v>171</v>
      </c>
      <c r="CI73" s="13" t="s">
        <v>171</v>
      </c>
      <c r="CJ73" s="15">
        <v>18</v>
      </c>
      <c r="CK73" s="14">
        <v>18</v>
      </c>
      <c r="CL73" s="13" t="s">
        <v>171</v>
      </c>
      <c r="CM73" s="13" t="s">
        <v>171</v>
      </c>
      <c r="CN73" s="13" t="s">
        <v>171</v>
      </c>
      <c r="CO73" s="13" t="s">
        <v>171</v>
      </c>
      <c r="CP73" s="13">
        <v>18</v>
      </c>
      <c r="CQ73" s="13">
        <v>18</v>
      </c>
      <c r="CR73" s="13">
        <v>18</v>
      </c>
      <c r="CS73" s="13">
        <v>18</v>
      </c>
      <c r="CT73" s="13">
        <v>18</v>
      </c>
      <c r="CU73" s="13">
        <v>18</v>
      </c>
      <c r="CV73" s="15">
        <v>18</v>
      </c>
      <c r="CW73" s="14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5"/>
      <c r="DI73" s="14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5"/>
    </row>
    <row r="74" spans="1:124" x14ac:dyDescent="0.25">
      <c r="A74" s="13"/>
      <c r="B74" s="13"/>
      <c r="C74" s="13"/>
      <c r="D74" s="16" t="s">
        <v>13</v>
      </c>
      <c r="E74" s="14">
        <v>18</v>
      </c>
      <c r="F74" s="13">
        <v>18</v>
      </c>
      <c r="G74" s="13" t="s">
        <v>171</v>
      </c>
      <c r="H74" s="13" t="s">
        <v>171</v>
      </c>
      <c r="I74" s="13" t="s">
        <v>171</v>
      </c>
      <c r="J74" s="13" t="s">
        <v>171</v>
      </c>
      <c r="K74" s="13">
        <v>18</v>
      </c>
      <c r="L74" s="13">
        <v>18</v>
      </c>
      <c r="M74" s="13" t="s">
        <v>171</v>
      </c>
      <c r="N74" s="13" t="s">
        <v>171</v>
      </c>
      <c r="O74" s="13" t="s">
        <v>171</v>
      </c>
      <c r="P74" s="15" t="s">
        <v>171</v>
      </c>
      <c r="Q74" s="14">
        <v>18</v>
      </c>
      <c r="R74" s="13">
        <v>18</v>
      </c>
      <c r="S74" s="13" t="s">
        <v>171</v>
      </c>
      <c r="T74" s="13" t="s">
        <v>171</v>
      </c>
      <c r="U74" s="13" t="s">
        <v>171</v>
      </c>
      <c r="V74" s="13" t="s">
        <v>171</v>
      </c>
      <c r="W74" s="13">
        <v>18</v>
      </c>
      <c r="X74" s="13">
        <v>18</v>
      </c>
      <c r="Y74" s="13" t="s">
        <v>171</v>
      </c>
      <c r="Z74" s="13" t="s">
        <v>171</v>
      </c>
      <c r="AA74" s="13" t="s">
        <v>171</v>
      </c>
      <c r="AB74" s="15" t="s">
        <v>171</v>
      </c>
      <c r="AC74" s="14">
        <v>18</v>
      </c>
      <c r="AD74" s="13">
        <v>18</v>
      </c>
      <c r="AE74" s="13" t="s">
        <v>171</v>
      </c>
      <c r="AF74" s="13" t="s">
        <v>171</v>
      </c>
      <c r="AG74" s="13" t="s">
        <v>171</v>
      </c>
      <c r="AH74" s="13" t="s">
        <v>171</v>
      </c>
      <c r="AI74" s="13">
        <v>18</v>
      </c>
      <c r="AJ74" s="13">
        <v>18</v>
      </c>
      <c r="AK74" s="13" t="s">
        <v>171</v>
      </c>
      <c r="AL74" s="13" t="s">
        <v>171</v>
      </c>
      <c r="AM74" s="13" t="s">
        <v>171</v>
      </c>
      <c r="AN74" s="15" t="s">
        <v>171</v>
      </c>
      <c r="AO74" s="14">
        <v>18</v>
      </c>
      <c r="AP74" s="13">
        <v>18</v>
      </c>
      <c r="AQ74" s="13" t="s">
        <v>171</v>
      </c>
      <c r="AR74" s="13" t="s">
        <v>171</v>
      </c>
      <c r="AS74" s="13" t="s">
        <v>171</v>
      </c>
      <c r="AT74" s="13" t="s">
        <v>171</v>
      </c>
      <c r="AU74" s="13">
        <v>18</v>
      </c>
      <c r="AV74" s="13">
        <v>18</v>
      </c>
      <c r="AW74" s="13" t="s">
        <v>171</v>
      </c>
      <c r="AX74" s="13" t="s">
        <v>171</v>
      </c>
      <c r="AY74" s="13" t="s">
        <v>171</v>
      </c>
      <c r="AZ74" s="15" t="s">
        <v>171</v>
      </c>
      <c r="BA74" s="14">
        <v>18</v>
      </c>
      <c r="BB74" s="13">
        <v>18</v>
      </c>
      <c r="BC74" s="13">
        <v>18</v>
      </c>
      <c r="BD74" s="13" t="s">
        <v>149</v>
      </c>
      <c r="BE74" s="13" t="s">
        <v>149</v>
      </c>
      <c r="BF74" s="13" t="s">
        <v>149</v>
      </c>
      <c r="BG74" s="13" t="s">
        <v>149</v>
      </c>
      <c r="BH74" s="13" t="s">
        <v>149</v>
      </c>
      <c r="BI74" s="13" t="s">
        <v>149</v>
      </c>
      <c r="BJ74" s="13">
        <v>18</v>
      </c>
      <c r="BK74" s="13">
        <v>18</v>
      </c>
      <c r="BL74" s="15" t="s">
        <v>171</v>
      </c>
      <c r="BM74" s="14">
        <v>18</v>
      </c>
      <c r="BN74" s="13" t="s">
        <v>171</v>
      </c>
      <c r="BO74" s="13" t="s">
        <v>171</v>
      </c>
      <c r="BP74" s="13" t="s">
        <v>171</v>
      </c>
      <c r="BQ74" s="13" t="s">
        <v>171</v>
      </c>
      <c r="BR74" s="13">
        <v>18</v>
      </c>
      <c r="BS74" s="13">
        <v>18</v>
      </c>
      <c r="BT74" s="13" t="s">
        <v>171</v>
      </c>
      <c r="BU74" s="13" t="s">
        <v>171</v>
      </c>
      <c r="BV74" s="13" t="s">
        <v>171</v>
      </c>
      <c r="BW74" s="13" t="s">
        <v>171</v>
      </c>
      <c r="BX74" s="15">
        <v>18</v>
      </c>
      <c r="BY74" s="14">
        <v>18</v>
      </c>
      <c r="BZ74" s="13" t="s">
        <v>171</v>
      </c>
      <c r="CA74" s="13" t="s">
        <v>171</v>
      </c>
      <c r="CB74" s="13" t="s">
        <v>171</v>
      </c>
      <c r="CC74" s="13" t="s">
        <v>171</v>
      </c>
      <c r="CD74" s="13">
        <v>18</v>
      </c>
      <c r="CE74" s="13">
        <v>18</v>
      </c>
      <c r="CF74" s="13" t="s">
        <v>171</v>
      </c>
      <c r="CG74" s="13" t="s">
        <v>171</v>
      </c>
      <c r="CH74" s="13" t="s">
        <v>171</v>
      </c>
      <c r="CI74" s="13" t="s">
        <v>171</v>
      </c>
      <c r="CJ74" s="15">
        <v>18</v>
      </c>
      <c r="CK74" s="14">
        <v>18</v>
      </c>
      <c r="CL74" s="13" t="s">
        <v>171</v>
      </c>
      <c r="CM74" s="13" t="s">
        <v>171</v>
      </c>
      <c r="CN74" s="13" t="s">
        <v>171</v>
      </c>
      <c r="CO74" s="13" t="s">
        <v>171</v>
      </c>
      <c r="CP74" s="13">
        <v>18</v>
      </c>
      <c r="CQ74" s="13">
        <v>18</v>
      </c>
      <c r="CR74" s="13">
        <v>18</v>
      </c>
      <c r="CS74" s="13">
        <v>18</v>
      </c>
      <c r="CT74" s="13">
        <v>18</v>
      </c>
      <c r="CU74" s="13">
        <v>18</v>
      </c>
      <c r="CV74" s="15">
        <v>18</v>
      </c>
      <c r="CW74" s="14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5"/>
      <c r="DI74" s="14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5"/>
    </row>
    <row r="75" spans="1:124" x14ac:dyDescent="0.25">
      <c r="A75" s="13"/>
      <c r="B75" s="13"/>
      <c r="C75" s="13"/>
      <c r="D75" s="16" t="s">
        <v>55</v>
      </c>
      <c r="E75" s="14">
        <v>18</v>
      </c>
      <c r="F75" s="13">
        <v>18</v>
      </c>
      <c r="G75" s="13" t="s">
        <v>171</v>
      </c>
      <c r="H75" s="13" t="s">
        <v>171</v>
      </c>
      <c r="I75" s="13" t="s">
        <v>171</v>
      </c>
      <c r="J75" s="13" t="s">
        <v>171</v>
      </c>
      <c r="K75" s="13">
        <v>18</v>
      </c>
      <c r="L75" s="13">
        <v>18</v>
      </c>
      <c r="M75" s="13" t="s">
        <v>171</v>
      </c>
      <c r="N75" s="13" t="s">
        <v>171</v>
      </c>
      <c r="O75" s="13" t="s">
        <v>171</v>
      </c>
      <c r="P75" s="15" t="s">
        <v>171</v>
      </c>
      <c r="Q75" s="14">
        <v>18</v>
      </c>
      <c r="R75" s="13">
        <v>18</v>
      </c>
      <c r="S75" s="13" t="s">
        <v>171</v>
      </c>
      <c r="T75" s="13" t="s">
        <v>171</v>
      </c>
      <c r="U75" s="13" t="s">
        <v>171</v>
      </c>
      <c r="V75" s="13" t="s">
        <v>171</v>
      </c>
      <c r="W75" s="13">
        <v>18</v>
      </c>
      <c r="X75" s="13">
        <v>18</v>
      </c>
      <c r="Y75" s="13" t="s">
        <v>175</v>
      </c>
      <c r="Z75" s="13" t="s">
        <v>175</v>
      </c>
      <c r="AA75" s="13" t="s">
        <v>175</v>
      </c>
      <c r="AB75" s="15" t="s">
        <v>175</v>
      </c>
      <c r="AC75" s="14">
        <v>18</v>
      </c>
      <c r="AD75" s="13">
        <v>18</v>
      </c>
      <c r="AE75" s="13" t="s">
        <v>172</v>
      </c>
      <c r="AF75" s="13" t="s">
        <v>172</v>
      </c>
      <c r="AG75" s="13" t="s">
        <v>172</v>
      </c>
      <c r="AH75" s="13" t="s">
        <v>172</v>
      </c>
      <c r="AI75" s="13">
        <v>18</v>
      </c>
      <c r="AJ75" s="13">
        <v>18</v>
      </c>
      <c r="AK75" s="13">
        <v>18</v>
      </c>
      <c r="AL75" s="13">
        <v>18</v>
      </c>
      <c r="AM75" s="13">
        <v>18</v>
      </c>
      <c r="AN75" s="15">
        <v>18</v>
      </c>
      <c r="AO75" s="14">
        <v>18</v>
      </c>
      <c r="AP75" s="13">
        <v>18</v>
      </c>
      <c r="AQ75" s="13">
        <v>0</v>
      </c>
      <c r="AR75" s="13">
        <v>0</v>
      </c>
      <c r="AS75" s="13">
        <v>0</v>
      </c>
      <c r="AT75" s="13">
        <v>0</v>
      </c>
      <c r="AU75" s="13">
        <v>0</v>
      </c>
      <c r="AV75" s="13">
        <v>0</v>
      </c>
      <c r="AW75" s="13">
        <v>0</v>
      </c>
      <c r="AX75" s="13">
        <v>0</v>
      </c>
      <c r="AY75" s="13">
        <v>0</v>
      </c>
      <c r="AZ75" s="15">
        <v>0</v>
      </c>
      <c r="BA75" s="14">
        <v>0</v>
      </c>
      <c r="BB75" s="13">
        <v>0</v>
      </c>
      <c r="BC75" s="13">
        <v>0</v>
      </c>
      <c r="BD75" s="13" t="s">
        <v>166</v>
      </c>
      <c r="BE75" s="13" t="s">
        <v>166</v>
      </c>
      <c r="BF75" s="13" t="s">
        <v>166</v>
      </c>
      <c r="BG75" s="13" t="s">
        <v>166</v>
      </c>
      <c r="BH75" s="13" t="s">
        <v>166</v>
      </c>
      <c r="BI75" s="13" t="s">
        <v>166</v>
      </c>
      <c r="BJ75" s="13">
        <v>18</v>
      </c>
      <c r="BK75" s="13">
        <v>18</v>
      </c>
      <c r="BL75" s="15" t="s">
        <v>173</v>
      </c>
      <c r="BM75" s="14">
        <v>18</v>
      </c>
      <c r="BN75" s="13">
        <v>18</v>
      </c>
      <c r="BO75" s="13" t="s">
        <v>171</v>
      </c>
      <c r="BP75" s="13" t="s">
        <v>171</v>
      </c>
      <c r="BQ75" s="13" t="s">
        <v>171</v>
      </c>
      <c r="BR75" s="13" t="s">
        <v>171</v>
      </c>
      <c r="BS75" s="13">
        <v>18</v>
      </c>
      <c r="BT75" s="13">
        <v>18</v>
      </c>
      <c r="BU75" s="13" t="s">
        <v>171</v>
      </c>
      <c r="BV75" s="13" t="s">
        <v>171</v>
      </c>
      <c r="BW75" s="13" t="s">
        <v>171</v>
      </c>
      <c r="BX75" s="15" t="s">
        <v>171</v>
      </c>
      <c r="BY75" s="14">
        <v>18</v>
      </c>
      <c r="BZ75" s="13">
        <v>18</v>
      </c>
      <c r="CA75" s="13" t="s">
        <v>171</v>
      </c>
      <c r="CB75" s="13" t="s">
        <v>171</v>
      </c>
      <c r="CC75" s="13" t="s">
        <v>171</v>
      </c>
      <c r="CD75" s="13" t="s">
        <v>171</v>
      </c>
      <c r="CE75" s="13">
        <v>18</v>
      </c>
      <c r="CF75" s="13">
        <v>18</v>
      </c>
      <c r="CG75" s="13" t="s">
        <v>171</v>
      </c>
      <c r="CH75" s="13" t="s">
        <v>171</v>
      </c>
      <c r="CI75" s="13" t="s">
        <v>171</v>
      </c>
      <c r="CJ75" s="15" t="s">
        <v>171</v>
      </c>
      <c r="CK75" s="14">
        <v>18</v>
      </c>
      <c r="CL75" s="13">
        <v>18</v>
      </c>
      <c r="CM75" s="13">
        <v>18</v>
      </c>
      <c r="CN75" s="13">
        <v>18</v>
      </c>
      <c r="CO75" s="13">
        <v>18</v>
      </c>
      <c r="CP75" s="13">
        <v>18</v>
      </c>
      <c r="CQ75" s="13">
        <v>0</v>
      </c>
      <c r="CR75" s="13">
        <v>18</v>
      </c>
      <c r="CS75" s="13">
        <v>18</v>
      </c>
      <c r="CT75" s="13">
        <v>18</v>
      </c>
      <c r="CU75" s="13">
        <v>18</v>
      </c>
      <c r="CV75" s="15">
        <v>18</v>
      </c>
      <c r="CW75" s="14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5"/>
      <c r="DI75" s="14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5"/>
    </row>
    <row r="76" spans="1:124" x14ac:dyDescent="0.25">
      <c r="A76" s="13"/>
      <c r="B76" s="13"/>
      <c r="C76" s="13"/>
      <c r="D76" s="16" t="s">
        <v>47</v>
      </c>
      <c r="E76" s="14">
        <v>18</v>
      </c>
      <c r="F76" s="13">
        <v>18</v>
      </c>
      <c r="G76" s="13" t="s">
        <v>171</v>
      </c>
      <c r="H76" s="13" t="s">
        <v>171</v>
      </c>
      <c r="I76" s="13" t="s">
        <v>171</v>
      </c>
      <c r="J76" s="13" t="s">
        <v>171</v>
      </c>
      <c r="K76" s="13">
        <v>18</v>
      </c>
      <c r="L76" s="13">
        <v>18</v>
      </c>
      <c r="M76" s="13" t="s">
        <v>171</v>
      </c>
      <c r="N76" s="13" t="s">
        <v>171</v>
      </c>
      <c r="O76" s="13" t="s">
        <v>171</v>
      </c>
      <c r="P76" s="15" t="s">
        <v>171</v>
      </c>
      <c r="Q76" s="14">
        <v>18</v>
      </c>
      <c r="R76" s="13">
        <v>18</v>
      </c>
      <c r="S76" s="13" t="s">
        <v>173</v>
      </c>
      <c r="T76" s="13" t="s">
        <v>173</v>
      </c>
      <c r="U76" s="13" t="s">
        <v>173</v>
      </c>
      <c r="V76" s="13" t="s">
        <v>173</v>
      </c>
      <c r="W76" s="13">
        <v>18</v>
      </c>
      <c r="X76" s="13">
        <v>18</v>
      </c>
      <c r="Y76" s="13">
        <v>18</v>
      </c>
      <c r="Z76" s="13">
        <v>18</v>
      </c>
      <c r="AA76" s="13">
        <v>18</v>
      </c>
      <c r="AB76" s="15">
        <v>18</v>
      </c>
      <c r="AC76" s="14">
        <v>18</v>
      </c>
      <c r="AD76" s="13">
        <v>18</v>
      </c>
      <c r="AE76" s="13">
        <v>18</v>
      </c>
      <c r="AF76" s="13">
        <v>0</v>
      </c>
      <c r="AG76" s="13">
        <v>0</v>
      </c>
      <c r="AH76" s="13" t="s">
        <v>167</v>
      </c>
      <c r="AI76" s="13">
        <v>18</v>
      </c>
      <c r="AJ76" s="13">
        <v>18</v>
      </c>
      <c r="AK76" s="13" t="s">
        <v>175</v>
      </c>
      <c r="AL76" s="13" t="s">
        <v>175</v>
      </c>
      <c r="AM76" s="13" t="s">
        <v>175</v>
      </c>
      <c r="AN76" s="15" t="s">
        <v>175</v>
      </c>
      <c r="AO76" s="14">
        <v>18</v>
      </c>
      <c r="AP76" s="13">
        <v>18</v>
      </c>
      <c r="AQ76" s="13" t="s">
        <v>173</v>
      </c>
      <c r="AR76" s="13" t="s">
        <v>173</v>
      </c>
      <c r="AS76" s="13" t="s">
        <v>173</v>
      </c>
      <c r="AT76" s="13" t="s">
        <v>173</v>
      </c>
      <c r="AU76" s="13">
        <v>18</v>
      </c>
      <c r="AV76" s="13">
        <v>18</v>
      </c>
      <c r="AW76" s="13" t="s">
        <v>171</v>
      </c>
      <c r="AX76" s="13" t="s">
        <v>171</v>
      </c>
      <c r="AY76" s="13" t="s">
        <v>171</v>
      </c>
      <c r="AZ76" s="15" t="s">
        <v>171</v>
      </c>
      <c r="BA76" s="14">
        <v>18</v>
      </c>
      <c r="BB76" s="13">
        <v>18</v>
      </c>
      <c r="BC76" s="13">
        <v>18</v>
      </c>
      <c r="BD76" s="13">
        <v>18</v>
      </c>
      <c r="BE76" s="13">
        <v>18</v>
      </c>
      <c r="BF76" s="13">
        <v>18</v>
      </c>
      <c r="BG76" s="13">
        <v>18</v>
      </c>
      <c r="BH76" s="13">
        <v>18</v>
      </c>
      <c r="BI76" s="13">
        <v>18</v>
      </c>
      <c r="BJ76" s="13">
        <v>18</v>
      </c>
      <c r="BK76" s="13">
        <v>18</v>
      </c>
      <c r="BL76" s="15">
        <v>0</v>
      </c>
      <c r="BM76" s="14">
        <v>18</v>
      </c>
      <c r="BN76" s="13">
        <v>18</v>
      </c>
      <c r="BO76" s="13" t="s">
        <v>171</v>
      </c>
      <c r="BP76" s="13" t="s">
        <v>171</v>
      </c>
      <c r="BQ76" s="13" t="s">
        <v>171</v>
      </c>
      <c r="BR76" s="13" t="s">
        <v>171</v>
      </c>
      <c r="BS76" s="13">
        <v>18</v>
      </c>
      <c r="BT76" s="13">
        <v>18</v>
      </c>
      <c r="BU76" s="13" t="s">
        <v>171</v>
      </c>
      <c r="BV76" s="13" t="s">
        <v>171</v>
      </c>
      <c r="BW76" s="13" t="s">
        <v>171</v>
      </c>
      <c r="BX76" s="15" t="s">
        <v>171</v>
      </c>
      <c r="BY76" s="14">
        <v>18</v>
      </c>
      <c r="BZ76" s="13">
        <v>18</v>
      </c>
      <c r="CA76" s="13" t="s">
        <v>171</v>
      </c>
      <c r="CB76" s="13" t="s">
        <v>171</v>
      </c>
      <c r="CC76" s="13" t="s">
        <v>171</v>
      </c>
      <c r="CD76" s="13" t="s">
        <v>171</v>
      </c>
      <c r="CE76" s="13">
        <v>18</v>
      </c>
      <c r="CF76" s="13">
        <v>18</v>
      </c>
      <c r="CG76" s="13" t="s">
        <v>171</v>
      </c>
      <c r="CH76" s="13" t="s">
        <v>171</v>
      </c>
      <c r="CI76" s="13" t="s">
        <v>171</v>
      </c>
      <c r="CJ76" s="15" t="s">
        <v>171</v>
      </c>
      <c r="CK76" s="14">
        <v>18</v>
      </c>
      <c r="CL76" s="13">
        <v>18</v>
      </c>
      <c r="CM76" s="13" t="s">
        <v>171</v>
      </c>
      <c r="CN76" s="13" t="s">
        <v>171</v>
      </c>
      <c r="CO76" s="13" t="s">
        <v>171</v>
      </c>
      <c r="CP76" s="13" t="s">
        <v>171</v>
      </c>
      <c r="CQ76" s="13">
        <v>18</v>
      </c>
      <c r="CR76" s="13">
        <v>18</v>
      </c>
      <c r="CS76" s="13">
        <v>18</v>
      </c>
      <c r="CT76" s="13">
        <v>18</v>
      </c>
      <c r="CU76" s="13">
        <v>18</v>
      </c>
      <c r="CV76" s="15">
        <v>18</v>
      </c>
      <c r="CW76" s="14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5"/>
      <c r="DI76" s="14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5"/>
    </row>
    <row r="77" spans="1:124" x14ac:dyDescent="0.25">
      <c r="A77" s="13"/>
      <c r="B77" s="13"/>
      <c r="C77" s="13"/>
      <c r="D77" s="16" t="s">
        <v>80</v>
      </c>
      <c r="E77" s="14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5"/>
      <c r="Q77" s="14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5"/>
      <c r="AC77" s="14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5"/>
      <c r="AO77" s="14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5"/>
      <c r="BA77" s="14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5"/>
      <c r="BM77" s="14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5"/>
      <c r="BY77" s="14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5"/>
      <c r="CK77" s="14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5"/>
      <c r="CW77" s="14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5"/>
      <c r="DI77" s="14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5"/>
    </row>
    <row r="78" spans="1:124" x14ac:dyDescent="0.25">
      <c r="A78" s="13"/>
      <c r="B78" s="13"/>
      <c r="C78" s="13"/>
      <c r="D78" s="16" t="s">
        <v>81</v>
      </c>
      <c r="E78" s="1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5"/>
      <c r="Q78" s="14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5"/>
      <c r="AC78" s="14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5"/>
      <c r="AO78" s="14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5"/>
      <c r="BA78" s="14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5"/>
      <c r="BM78" s="14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5"/>
      <c r="BY78" s="14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5"/>
      <c r="CK78" s="14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5"/>
      <c r="CW78" s="14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5"/>
      <c r="DI78" s="14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5"/>
    </row>
    <row r="79" spans="1:124" x14ac:dyDescent="0.25">
      <c r="A79" s="13"/>
      <c r="B79" s="13"/>
      <c r="C79" s="13"/>
      <c r="D79" s="16" t="s">
        <v>82</v>
      </c>
      <c r="E79" s="1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5"/>
      <c r="Q79" s="14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5"/>
      <c r="AC79" s="14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5"/>
      <c r="AO79" s="14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5"/>
      <c r="BA79" s="14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5"/>
      <c r="BM79" s="14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5"/>
      <c r="BY79" s="14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5"/>
      <c r="CK79" s="14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5"/>
      <c r="CW79" s="14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5"/>
      <c r="DI79" s="14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5"/>
    </row>
    <row r="80" spans="1:124" x14ac:dyDescent="0.25">
      <c r="A80" s="13"/>
      <c r="B80" s="13"/>
      <c r="C80" s="13"/>
      <c r="D80" s="16" t="s">
        <v>83</v>
      </c>
      <c r="E80" s="1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5"/>
      <c r="Q80" s="14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5"/>
      <c r="AC80" s="14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5"/>
      <c r="AO80" s="14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5"/>
      <c r="BA80" s="14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5"/>
      <c r="BM80" s="14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5"/>
      <c r="BY80" s="14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5"/>
      <c r="CK80" s="14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5"/>
      <c r="CW80" s="14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5"/>
      <c r="DI80" s="14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5"/>
    </row>
    <row r="81" spans="1:124" x14ac:dyDescent="0.25">
      <c r="A81" s="13"/>
      <c r="B81" s="13"/>
      <c r="C81" s="13"/>
      <c r="D81" s="16" t="s">
        <v>84</v>
      </c>
      <c r="E81" s="1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5"/>
      <c r="Q81" s="14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5"/>
      <c r="AC81" s="14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5"/>
      <c r="AO81" s="14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5"/>
      <c r="BA81" s="14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5"/>
      <c r="BM81" s="14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5"/>
      <c r="BY81" s="14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5"/>
      <c r="CK81" s="14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5"/>
      <c r="CW81" s="14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5"/>
      <c r="DI81" s="14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5"/>
    </row>
    <row r="82" spans="1:124" x14ac:dyDescent="0.25">
      <c r="A82" s="13"/>
      <c r="B82" s="13"/>
      <c r="C82" s="13"/>
      <c r="D82" s="16" t="s">
        <v>85</v>
      </c>
      <c r="E82" s="1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5"/>
      <c r="Q82" s="14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5"/>
      <c r="AC82" s="14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5"/>
      <c r="AO82" s="14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5"/>
      <c r="BA82" s="14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5"/>
      <c r="BM82" s="14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5"/>
      <c r="BY82" s="14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5"/>
      <c r="CK82" s="14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5"/>
      <c r="CW82" s="14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5"/>
      <c r="DI82" s="14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5"/>
    </row>
    <row r="83" spans="1:124" x14ac:dyDescent="0.25">
      <c r="A83" s="13"/>
      <c r="B83" s="13"/>
      <c r="C83" s="13"/>
      <c r="D83" s="16" t="s">
        <v>86</v>
      </c>
      <c r="E83" s="14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5"/>
      <c r="Q83" s="14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5"/>
      <c r="AC83" s="14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5"/>
      <c r="AO83" s="14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5"/>
      <c r="BA83" s="14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5"/>
      <c r="BM83" s="14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5"/>
      <c r="BY83" s="14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5"/>
      <c r="CK83" s="14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5"/>
      <c r="CW83" s="14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5"/>
      <c r="DI83" s="14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5"/>
    </row>
    <row r="84" spans="1:124" x14ac:dyDescent="0.25">
      <c r="A84" s="13"/>
      <c r="B84" s="13"/>
      <c r="C84" s="13"/>
      <c r="D84" s="16" t="s">
        <v>87</v>
      </c>
      <c r="E84" s="14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5"/>
      <c r="Q84" s="14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5"/>
      <c r="AC84" s="14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5"/>
      <c r="AO84" s="14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5"/>
      <c r="BA84" s="14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5"/>
      <c r="BM84" s="14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5"/>
      <c r="BY84" s="14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5"/>
      <c r="CK84" s="14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5"/>
      <c r="CW84" s="14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5"/>
      <c r="DI84" s="14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5"/>
    </row>
    <row r="85" spans="1:124" x14ac:dyDescent="0.25">
      <c r="A85" s="13"/>
      <c r="B85" s="13"/>
      <c r="C85" s="13"/>
      <c r="D85" s="16" t="s">
        <v>88</v>
      </c>
      <c r="E85" s="14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5"/>
      <c r="Q85" s="14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5"/>
      <c r="AC85" s="14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5"/>
      <c r="AO85" s="14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5"/>
      <c r="BA85" s="14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5"/>
      <c r="BM85" s="14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5"/>
      <c r="BY85" s="14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5"/>
      <c r="CK85" s="14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5"/>
      <c r="CW85" s="14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5"/>
      <c r="DI85" s="14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5"/>
    </row>
    <row r="86" spans="1:124" x14ac:dyDescent="0.25">
      <c r="A86" s="13"/>
      <c r="B86" s="13"/>
      <c r="C86" s="13"/>
      <c r="D86" s="16" t="s">
        <v>89</v>
      </c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5"/>
      <c r="Q86" s="14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5"/>
      <c r="AC86" s="14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5"/>
      <c r="AO86" s="14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5"/>
      <c r="BA86" s="14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5"/>
      <c r="BM86" s="14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5"/>
      <c r="BY86" s="14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5"/>
      <c r="CK86" s="14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5"/>
      <c r="CW86" s="14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5"/>
      <c r="DI86" s="14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5"/>
    </row>
    <row r="87" spans="1:124" x14ac:dyDescent="0.25">
      <c r="A87" s="13"/>
      <c r="B87" s="13"/>
      <c r="C87" s="13"/>
      <c r="D87" s="16" t="s">
        <v>90</v>
      </c>
      <c r="E87" s="14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5"/>
      <c r="Q87" s="14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5"/>
      <c r="AC87" s="14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5"/>
      <c r="AO87" s="14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5"/>
      <c r="BA87" s="14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5"/>
      <c r="BM87" s="14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5"/>
      <c r="BY87" s="14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5"/>
      <c r="CK87" s="14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5"/>
      <c r="CW87" s="14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5"/>
      <c r="DI87" s="14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5"/>
    </row>
    <row r="88" spans="1:124" x14ac:dyDescent="0.25">
      <c r="A88" s="13"/>
      <c r="B88" s="13"/>
      <c r="C88" s="13"/>
      <c r="D88" s="16" t="s">
        <v>91</v>
      </c>
      <c r="E88" s="14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5"/>
      <c r="Q88" s="14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5"/>
      <c r="AC88" s="14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5"/>
      <c r="AO88" s="14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5"/>
      <c r="BA88" s="14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5"/>
      <c r="BM88" s="14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5"/>
      <c r="BY88" s="14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5"/>
      <c r="CK88" s="14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5"/>
      <c r="CW88" s="14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5"/>
      <c r="DI88" s="14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5"/>
    </row>
    <row r="89" spans="1:124" x14ac:dyDescent="0.25">
      <c r="A89" s="13"/>
      <c r="B89" s="13"/>
      <c r="C89" s="13"/>
      <c r="D89" s="16" t="s">
        <v>92</v>
      </c>
      <c r="E89" s="14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5"/>
      <c r="Q89" s="14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5"/>
      <c r="AC89" s="14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5"/>
      <c r="AO89" s="14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5"/>
      <c r="BA89" s="14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5"/>
      <c r="BM89" s="14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5"/>
      <c r="BY89" s="14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5"/>
      <c r="CK89" s="14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5"/>
      <c r="CW89" s="14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5"/>
      <c r="DI89" s="14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5"/>
    </row>
    <row r="90" spans="1:124" x14ac:dyDescent="0.25">
      <c r="A90" s="13"/>
      <c r="B90" s="13"/>
      <c r="C90" s="13"/>
      <c r="D90" s="16" t="s">
        <v>93</v>
      </c>
      <c r="E90" s="14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5"/>
      <c r="Q90" s="14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5"/>
      <c r="AC90" s="14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5"/>
      <c r="AO90" s="14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5"/>
      <c r="BA90" s="14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5"/>
      <c r="BM90" s="14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5"/>
      <c r="BY90" s="14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5"/>
      <c r="CK90" s="14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5"/>
      <c r="CW90" s="14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5"/>
      <c r="DI90" s="14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5"/>
    </row>
    <row r="91" spans="1:124" x14ac:dyDescent="0.25">
      <c r="A91" s="13"/>
      <c r="B91" s="13"/>
      <c r="C91" s="13"/>
      <c r="D91" s="16" t="s">
        <v>94</v>
      </c>
      <c r="E91" s="14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5"/>
      <c r="Q91" s="14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5"/>
      <c r="AC91" s="14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5"/>
      <c r="AO91" s="14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5"/>
      <c r="BA91" s="14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5"/>
      <c r="BM91" s="14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5"/>
      <c r="BY91" s="14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5"/>
      <c r="CK91" s="14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5"/>
      <c r="CW91" s="14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5"/>
      <c r="DI91" s="14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5"/>
    </row>
    <row r="92" spans="1:124" x14ac:dyDescent="0.25">
      <c r="A92" s="13"/>
      <c r="B92" s="13"/>
      <c r="C92" s="13"/>
      <c r="D92" s="16" t="s">
        <v>95</v>
      </c>
      <c r="E92" s="14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5"/>
      <c r="Q92" s="14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5"/>
      <c r="AC92" s="14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5"/>
      <c r="AO92" s="14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5"/>
      <c r="BA92" s="14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5"/>
      <c r="BM92" s="14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5"/>
      <c r="BY92" s="14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5"/>
      <c r="CK92" s="14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5"/>
      <c r="CW92" s="14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5"/>
      <c r="DI92" s="14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5"/>
    </row>
    <row r="93" spans="1:124" x14ac:dyDescent="0.25">
      <c r="A93" s="13"/>
      <c r="B93" s="13"/>
      <c r="C93" s="13"/>
      <c r="D93" s="16" t="s">
        <v>96</v>
      </c>
      <c r="E93" s="14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5"/>
      <c r="Q93" s="14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5"/>
      <c r="AC93" s="14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5"/>
      <c r="AO93" s="14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5"/>
      <c r="BA93" s="14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5"/>
      <c r="BM93" s="14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5"/>
      <c r="BY93" s="14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5"/>
      <c r="CK93" s="14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5"/>
      <c r="CW93" s="14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5"/>
      <c r="DI93" s="14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5"/>
    </row>
    <row r="94" spans="1:124" x14ac:dyDescent="0.25">
      <c r="A94" s="13"/>
      <c r="B94" s="13"/>
      <c r="C94" s="13"/>
      <c r="D94" s="16" t="s">
        <v>97</v>
      </c>
      <c r="E94" s="14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5"/>
      <c r="Q94" s="14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5"/>
      <c r="AC94" s="14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5"/>
      <c r="AO94" s="14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5"/>
      <c r="BA94" s="14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5"/>
      <c r="BM94" s="14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5"/>
      <c r="BY94" s="14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5"/>
      <c r="CK94" s="14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5"/>
      <c r="CW94" s="14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5"/>
      <c r="DI94" s="14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5"/>
    </row>
    <row r="95" spans="1:124" x14ac:dyDescent="0.25">
      <c r="A95" s="13"/>
      <c r="B95" s="13"/>
      <c r="C95" s="13"/>
      <c r="D95" s="16" t="s">
        <v>98</v>
      </c>
      <c r="E95" s="14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5"/>
      <c r="Q95" s="14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5"/>
      <c r="AC95" s="14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5"/>
      <c r="AO95" s="14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5"/>
      <c r="BA95" s="14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5"/>
      <c r="BM95" s="14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5"/>
      <c r="BY95" s="14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5"/>
      <c r="CK95" s="14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5"/>
      <c r="CW95" s="14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5"/>
      <c r="DI95" s="14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5"/>
    </row>
    <row r="96" spans="1:124" x14ac:dyDescent="0.25">
      <c r="A96" s="13"/>
      <c r="B96" s="13"/>
      <c r="C96" s="13"/>
      <c r="D96" s="16" t="s">
        <v>99</v>
      </c>
      <c r="E96" s="14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5"/>
      <c r="Q96" s="14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5"/>
      <c r="AC96" s="14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5"/>
      <c r="AO96" s="14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5"/>
      <c r="BA96" s="14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5"/>
      <c r="BM96" s="14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5"/>
      <c r="BY96" s="14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5"/>
      <c r="CK96" s="14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5"/>
      <c r="CW96" s="14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5"/>
      <c r="DI96" s="14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5"/>
    </row>
    <row r="97" spans="1:124" x14ac:dyDescent="0.25">
      <c r="A97" s="13"/>
      <c r="B97" s="13"/>
      <c r="C97" s="13"/>
      <c r="D97" s="16" t="s">
        <v>100</v>
      </c>
      <c r="E97" s="14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5"/>
      <c r="Q97" s="14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5"/>
      <c r="AC97" s="14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5"/>
      <c r="AO97" s="14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5"/>
      <c r="BA97" s="14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5"/>
      <c r="BM97" s="14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5"/>
      <c r="BY97" s="14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5"/>
      <c r="CK97" s="14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5"/>
      <c r="CW97" s="14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5"/>
      <c r="DI97" s="14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5"/>
    </row>
    <row r="98" spans="1:124" x14ac:dyDescent="0.25">
      <c r="A98" s="13"/>
      <c r="B98" s="13"/>
      <c r="C98" s="13"/>
      <c r="D98" s="16" t="s">
        <v>101</v>
      </c>
      <c r="E98" s="14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5"/>
      <c r="Q98" s="14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5"/>
      <c r="AC98" s="14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5"/>
      <c r="AO98" s="14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5"/>
      <c r="BA98" s="14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5"/>
      <c r="BM98" s="14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5"/>
      <c r="BY98" s="14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5"/>
      <c r="CK98" s="14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5"/>
      <c r="CW98" s="14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5"/>
      <c r="DI98" s="14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5"/>
    </row>
    <row r="99" spans="1:124" x14ac:dyDescent="0.25">
      <c r="A99" s="13"/>
      <c r="B99" s="13"/>
      <c r="C99" s="13"/>
      <c r="D99" s="16" t="s">
        <v>102</v>
      </c>
      <c r="E99" s="14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5"/>
      <c r="Q99" s="14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5"/>
      <c r="AC99" s="14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5"/>
      <c r="AO99" s="14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5"/>
      <c r="BA99" s="14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5"/>
      <c r="BM99" s="14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5"/>
      <c r="BY99" s="14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5"/>
      <c r="CK99" s="14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5"/>
      <c r="CW99" s="14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5"/>
      <c r="DI99" s="14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5"/>
    </row>
    <row r="100" spans="1:124" x14ac:dyDescent="0.25">
      <c r="A100" s="13"/>
      <c r="B100" s="13"/>
      <c r="C100" s="13"/>
      <c r="D100" s="16" t="s">
        <v>103</v>
      </c>
      <c r="E100" s="14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5"/>
      <c r="Q100" s="14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5"/>
      <c r="AC100" s="14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5"/>
      <c r="AO100" s="14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5"/>
      <c r="BA100" s="14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5"/>
      <c r="BM100" s="14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5"/>
      <c r="BY100" s="14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5"/>
      <c r="CK100" s="14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5"/>
      <c r="CW100" s="14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5"/>
      <c r="DI100" s="14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5"/>
    </row>
    <row r="101" spans="1:124" x14ac:dyDescent="0.25">
      <c r="A101" s="13"/>
      <c r="B101" s="13"/>
      <c r="C101" s="13"/>
      <c r="D101" s="16" t="s">
        <v>104</v>
      </c>
      <c r="E101" s="14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5"/>
      <c r="Q101" s="14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5"/>
      <c r="AC101" s="14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5"/>
      <c r="AO101" s="14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5"/>
      <c r="BA101" s="14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5"/>
      <c r="BM101" s="14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5"/>
      <c r="BY101" s="14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5"/>
      <c r="CK101" s="14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5"/>
      <c r="CW101" s="14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5"/>
      <c r="DI101" s="14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5"/>
    </row>
    <row r="102" spans="1:124" x14ac:dyDescent="0.25">
      <c r="A102" s="13"/>
      <c r="B102" s="13"/>
      <c r="C102" s="13"/>
      <c r="D102" s="16" t="s">
        <v>105</v>
      </c>
      <c r="E102" s="14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5"/>
      <c r="Q102" s="14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5"/>
      <c r="AC102" s="14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5"/>
      <c r="AO102" s="14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5"/>
      <c r="BA102" s="14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5"/>
      <c r="BM102" s="14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5"/>
      <c r="BY102" s="14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5"/>
      <c r="CK102" s="14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5"/>
      <c r="CW102" s="14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5"/>
      <c r="DI102" s="14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5"/>
    </row>
    <row r="103" spans="1:124" x14ac:dyDescent="0.25">
      <c r="A103" s="13"/>
      <c r="B103" s="13"/>
      <c r="C103" s="13"/>
      <c r="D103" s="16" t="s">
        <v>106</v>
      </c>
      <c r="E103" s="14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5"/>
      <c r="Q103" s="14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5"/>
      <c r="AC103" s="14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5"/>
      <c r="AO103" s="14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5"/>
      <c r="BA103" s="14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5"/>
      <c r="BM103" s="14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5"/>
      <c r="BY103" s="14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5"/>
      <c r="CK103" s="14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5"/>
      <c r="CW103" s="14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5"/>
      <c r="DI103" s="14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5"/>
    </row>
    <row r="104" spans="1:124" x14ac:dyDescent="0.25">
      <c r="A104" s="13"/>
      <c r="B104" s="13"/>
      <c r="C104" s="13"/>
      <c r="D104" s="16" t="s">
        <v>107</v>
      </c>
      <c r="E104" s="14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5"/>
      <c r="Q104" s="14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5"/>
      <c r="AC104" s="14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5"/>
      <c r="AO104" s="14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5"/>
      <c r="BA104" s="14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5"/>
      <c r="BM104" s="14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5"/>
      <c r="BY104" s="14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5"/>
      <c r="CK104" s="14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5"/>
      <c r="CW104" s="14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5"/>
      <c r="DI104" s="14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5"/>
    </row>
    <row r="105" spans="1:124" x14ac:dyDescent="0.25">
      <c r="A105" s="13"/>
      <c r="B105" s="13"/>
      <c r="C105" s="13"/>
      <c r="D105" s="16" t="s">
        <v>108</v>
      </c>
      <c r="E105" s="14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5"/>
      <c r="Q105" s="14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5"/>
      <c r="AC105" s="14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5"/>
      <c r="AO105" s="14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5"/>
      <c r="BA105" s="14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5"/>
      <c r="BM105" s="14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5"/>
      <c r="BY105" s="14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5"/>
      <c r="CK105" s="14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5"/>
      <c r="CW105" s="14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5"/>
      <c r="DI105" s="14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5"/>
    </row>
    <row r="106" spans="1:124" x14ac:dyDescent="0.25">
      <c r="A106" s="13"/>
      <c r="B106" s="13"/>
      <c r="C106" s="13"/>
      <c r="D106" s="16" t="s">
        <v>109</v>
      </c>
      <c r="E106" s="14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5"/>
      <c r="Q106" s="14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5"/>
      <c r="AC106" s="14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5"/>
      <c r="AO106" s="14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5"/>
      <c r="BA106" s="14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5"/>
      <c r="BM106" s="14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5"/>
      <c r="BY106" s="14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5"/>
      <c r="CK106" s="14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5"/>
      <c r="CW106" s="14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5"/>
      <c r="DI106" s="14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5"/>
    </row>
    <row r="107" spans="1:124" x14ac:dyDescent="0.25">
      <c r="A107" s="13"/>
      <c r="B107" s="13"/>
      <c r="C107" s="13"/>
      <c r="D107" s="16" t="s">
        <v>110</v>
      </c>
      <c r="E107" s="14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5"/>
      <c r="Q107" s="14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5"/>
      <c r="AC107" s="14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5"/>
      <c r="AO107" s="14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5"/>
      <c r="BA107" s="14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5"/>
      <c r="BM107" s="14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5"/>
      <c r="BY107" s="14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5"/>
      <c r="CK107" s="14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5"/>
      <c r="CW107" s="14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5"/>
      <c r="DI107" s="14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5"/>
    </row>
    <row r="108" spans="1:124" x14ac:dyDescent="0.25">
      <c r="A108" s="13"/>
      <c r="B108" s="13"/>
      <c r="C108" s="13"/>
      <c r="D108" s="16" t="s">
        <v>111</v>
      </c>
      <c r="E108" s="14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5"/>
      <c r="Q108" s="14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5"/>
      <c r="AC108" s="14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5"/>
      <c r="AO108" s="14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5"/>
      <c r="BA108" s="14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5"/>
      <c r="BM108" s="14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5"/>
      <c r="BY108" s="14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5"/>
      <c r="CK108" s="14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5"/>
      <c r="CW108" s="14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5"/>
      <c r="DI108" s="14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5"/>
    </row>
    <row r="109" spans="1:124" x14ac:dyDescent="0.25">
      <c r="A109" s="13"/>
      <c r="B109" s="13"/>
      <c r="C109" s="13"/>
      <c r="D109" s="16" t="s">
        <v>112</v>
      </c>
      <c r="E109" s="14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5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5"/>
      <c r="AC109" s="14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5"/>
      <c r="AO109" s="14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5"/>
      <c r="BA109" s="14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5"/>
      <c r="BM109" s="14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5"/>
      <c r="BY109" s="14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5"/>
      <c r="CK109" s="14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5"/>
      <c r="CW109" s="14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5"/>
      <c r="DI109" s="14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5"/>
    </row>
    <row r="110" spans="1:124" x14ac:dyDescent="0.25">
      <c r="A110" s="13"/>
      <c r="B110" s="13"/>
      <c r="C110" s="13"/>
      <c r="D110" s="16" t="s">
        <v>113</v>
      </c>
      <c r="E110" s="14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5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5"/>
      <c r="AC110" s="14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5"/>
      <c r="AO110" s="14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5"/>
      <c r="BA110" s="14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5"/>
      <c r="BM110" s="14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5"/>
      <c r="BY110" s="14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5"/>
      <c r="CK110" s="14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5"/>
      <c r="CW110" s="14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5"/>
      <c r="DI110" s="14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5"/>
    </row>
    <row r="111" spans="1:124" x14ac:dyDescent="0.25">
      <c r="A111" s="13"/>
      <c r="B111" s="13"/>
      <c r="C111" s="13"/>
      <c r="D111" s="16" t="s">
        <v>114</v>
      </c>
      <c r="E111" s="14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5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5"/>
      <c r="AC111" s="14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5"/>
      <c r="AO111" s="14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5"/>
      <c r="BA111" s="14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5"/>
      <c r="BM111" s="14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5"/>
      <c r="BY111" s="14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5"/>
      <c r="CK111" s="14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5"/>
      <c r="CW111" s="14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5"/>
      <c r="DI111" s="14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5"/>
    </row>
    <row r="112" spans="1:124" x14ac:dyDescent="0.25">
      <c r="A112" s="13"/>
      <c r="B112" s="13"/>
      <c r="C112" s="13"/>
      <c r="D112" s="16" t="s">
        <v>115</v>
      </c>
      <c r="E112" s="14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5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5"/>
      <c r="AC112" s="14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5"/>
      <c r="AO112" s="14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5"/>
      <c r="BA112" s="14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5"/>
      <c r="BM112" s="14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5"/>
      <c r="BY112" s="14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5"/>
      <c r="CK112" s="14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5"/>
      <c r="CW112" s="14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5"/>
      <c r="DI112" s="14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5"/>
    </row>
    <row r="113" spans="1:124" x14ac:dyDescent="0.25">
      <c r="A113" s="13"/>
      <c r="B113" s="13"/>
      <c r="C113" s="13"/>
      <c r="D113" s="16" t="s">
        <v>116</v>
      </c>
      <c r="E113" s="14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5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5"/>
      <c r="AC113" s="14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5"/>
      <c r="AO113" s="14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5"/>
      <c r="BA113" s="14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5"/>
      <c r="BM113" s="14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5"/>
      <c r="BY113" s="14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5"/>
      <c r="CK113" s="14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5"/>
      <c r="CW113" s="14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5"/>
      <c r="DI113" s="14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5"/>
    </row>
    <row r="114" spans="1:124" x14ac:dyDescent="0.25">
      <c r="A114" s="13"/>
      <c r="B114" s="13"/>
      <c r="C114" s="13"/>
      <c r="D114" s="16" t="s">
        <v>117</v>
      </c>
      <c r="E114" s="14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5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5"/>
      <c r="AC114" s="14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5"/>
      <c r="AO114" s="14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5"/>
      <c r="BA114" s="14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5"/>
      <c r="BM114" s="14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5"/>
      <c r="BY114" s="14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5"/>
      <c r="CK114" s="14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5"/>
      <c r="CW114" s="14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5"/>
      <c r="DI114" s="14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5"/>
    </row>
    <row r="115" spans="1:124" x14ac:dyDescent="0.25">
      <c r="A115" s="13"/>
      <c r="B115" s="13"/>
      <c r="C115" s="13"/>
      <c r="D115" s="16" t="s">
        <v>118</v>
      </c>
      <c r="E115" s="14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5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5"/>
      <c r="AC115" s="14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5"/>
      <c r="AO115" s="14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5"/>
      <c r="BA115" s="14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5"/>
      <c r="BM115" s="14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5"/>
      <c r="BY115" s="14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5"/>
      <c r="CK115" s="14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5"/>
      <c r="CW115" s="14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5"/>
      <c r="DI115" s="14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5"/>
    </row>
    <row r="116" spans="1:124" x14ac:dyDescent="0.25">
      <c r="A116" s="13"/>
      <c r="B116" s="13"/>
      <c r="C116" s="13"/>
      <c r="D116" s="16" t="s">
        <v>119</v>
      </c>
      <c r="E116" s="14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5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5"/>
      <c r="AC116" s="14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5"/>
      <c r="AO116" s="14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5"/>
      <c r="BA116" s="14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5"/>
      <c r="BM116" s="14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5"/>
      <c r="BY116" s="14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5"/>
      <c r="CK116" s="14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5"/>
      <c r="CW116" s="14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5"/>
      <c r="DI116" s="14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5"/>
    </row>
    <row r="117" spans="1:124" x14ac:dyDescent="0.25">
      <c r="A117" s="13"/>
      <c r="B117" s="13"/>
      <c r="C117" s="13"/>
      <c r="D117" s="16" t="s">
        <v>120</v>
      </c>
      <c r="E117" s="14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5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5"/>
      <c r="AC117" s="14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5"/>
      <c r="AO117" s="14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5"/>
      <c r="BA117" s="14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5"/>
      <c r="BM117" s="14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5"/>
      <c r="BY117" s="14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5"/>
      <c r="CK117" s="14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5"/>
      <c r="CW117" s="14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5"/>
      <c r="DI117" s="14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5"/>
    </row>
    <row r="118" spans="1:124" x14ac:dyDescent="0.25">
      <c r="A118" s="13"/>
      <c r="B118" s="13"/>
      <c r="C118" s="13"/>
      <c r="D118" s="16" t="s">
        <v>121</v>
      </c>
      <c r="E118" s="14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5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5"/>
      <c r="AC118" s="14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5"/>
      <c r="AO118" s="14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5"/>
      <c r="BA118" s="14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5"/>
      <c r="BM118" s="14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5"/>
      <c r="BY118" s="14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5"/>
      <c r="CK118" s="14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5"/>
      <c r="CW118" s="14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5"/>
      <c r="DI118" s="14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5"/>
    </row>
    <row r="119" spans="1:124" x14ac:dyDescent="0.25">
      <c r="A119" s="13"/>
      <c r="B119" s="13"/>
      <c r="C119" s="13"/>
      <c r="D119" s="16" t="s">
        <v>122</v>
      </c>
      <c r="E119" s="14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5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5"/>
      <c r="AC119" s="14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5"/>
      <c r="AO119" s="14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5"/>
      <c r="BA119" s="14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5"/>
      <c r="BM119" s="14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5"/>
      <c r="BY119" s="14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5"/>
      <c r="CK119" s="14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5"/>
      <c r="CW119" s="14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5"/>
      <c r="DI119" s="14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5"/>
    </row>
    <row r="120" spans="1:124" x14ac:dyDescent="0.25">
      <c r="A120" s="13"/>
      <c r="B120" s="13"/>
      <c r="C120" s="13"/>
      <c r="D120" s="16" t="s">
        <v>123</v>
      </c>
      <c r="E120" s="14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5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5"/>
      <c r="AC120" s="14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5"/>
      <c r="AO120" s="14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5"/>
      <c r="BA120" s="14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5"/>
      <c r="BM120" s="14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5"/>
      <c r="BY120" s="14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5"/>
      <c r="CK120" s="14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5"/>
      <c r="CW120" s="14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5"/>
      <c r="DI120" s="14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5"/>
    </row>
    <row r="121" spans="1:124" x14ac:dyDescent="0.25">
      <c r="A121" s="13"/>
      <c r="B121" s="13"/>
      <c r="C121" s="13"/>
      <c r="D121" s="16" t="s">
        <v>124</v>
      </c>
      <c r="E121" s="1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5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5"/>
      <c r="AC121" s="14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5"/>
      <c r="AO121" s="14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5"/>
      <c r="BA121" s="14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5"/>
      <c r="BM121" s="14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5"/>
      <c r="BY121" s="14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5"/>
      <c r="CK121" s="14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5"/>
      <c r="CW121" s="14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5"/>
      <c r="DI121" s="14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5"/>
    </row>
    <row r="122" spans="1:124" x14ac:dyDescent="0.25">
      <c r="A122" s="13"/>
      <c r="B122" s="13"/>
      <c r="C122" s="13"/>
      <c r="D122" s="16" t="s">
        <v>125</v>
      </c>
      <c r="E122" s="14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5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5"/>
      <c r="AC122" s="14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5"/>
      <c r="AO122" s="14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5"/>
      <c r="BA122" s="14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5"/>
      <c r="BM122" s="14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5"/>
      <c r="BY122" s="14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5"/>
      <c r="CK122" s="14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5"/>
      <c r="CW122" s="14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5"/>
      <c r="DI122" s="14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5"/>
    </row>
    <row r="123" spans="1:124" x14ac:dyDescent="0.25">
      <c r="A123" s="13"/>
      <c r="B123" s="13"/>
      <c r="C123" s="13"/>
      <c r="D123" s="16" t="s">
        <v>126</v>
      </c>
      <c r="E123" s="14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5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5"/>
      <c r="AC123" s="14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5"/>
      <c r="AO123" s="14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5"/>
      <c r="BA123" s="14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5"/>
      <c r="BM123" s="14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5"/>
      <c r="BY123" s="14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5"/>
      <c r="CK123" s="14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5"/>
      <c r="CW123" s="14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5"/>
      <c r="DI123" s="14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5"/>
    </row>
    <row r="124" spans="1:124" x14ac:dyDescent="0.25">
      <c r="A124" s="13"/>
      <c r="B124" s="13"/>
      <c r="C124" s="13"/>
      <c r="D124" s="16" t="s">
        <v>127</v>
      </c>
      <c r="E124" s="14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5"/>
      <c r="Q124" s="14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5"/>
      <c r="AC124" s="14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5"/>
      <c r="AO124" s="14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5"/>
      <c r="BA124" s="14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5"/>
      <c r="BM124" s="14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5"/>
      <c r="BY124" s="14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5"/>
      <c r="CK124" s="14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5"/>
      <c r="CW124" s="14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5"/>
      <c r="DI124" s="14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5"/>
    </row>
    <row r="125" spans="1:124" x14ac:dyDescent="0.25">
      <c r="A125" s="13"/>
      <c r="B125" s="13"/>
      <c r="C125" s="13"/>
      <c r="D125" s="16" t="s">
        <v>128</v>
      </c>
      <c r="E125" s="14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5"/>
      <c r="Q125" s="14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5"/>
      <c r="AC125" s="14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5"/>
      <c r="AO125" s="14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5"/>
      <c r="BA125" s="14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5"/>
      <c r="BM125" s="14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5"/>
      <c r="BY125" s="14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5"/>
      <c r="CK125" s="14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5"/>
      <c r="CW125" s="14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5"/>
      <c r="DI125" s="14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5"/>
    </row>
    <row r="126" spans="1:124" x14ac:dyDescent="0.25">
      <c r="A126" s="13"/>
      <c r="B126" s="13"/>
      <c r="C126" s="13"/>
      <c r="D126" s="16" t="s">
        <v>129</v>
      </c>
      <c r="E126" s="14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5"/>
      <c r="Q126" s="14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5"/>
      <c r="AC126" s="14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5"/>
      <c r="AO126" s="14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5"/>
      <c r="BA126" s="14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5"/>
      <c r="BM126" s="14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5"/>
      <c r="BY126" s="14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5"/>
      <c r="CK126" s="14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5"/>
      <c r="CW126" s="14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5"/>
      <c r="DI126" s="14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5"/>
    </row>
    <row r="127" spans="1:124" x14ac:dyDescent="0.25">
      <c r="A127" s="13"/>
      <c r="B127" s="13"/>
      <c r="C127" s="13"/>
      <c r="D127" s="16" t="s">
        <v>130</v>
      </c>
      <c r="E127" s="14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5"/>
      <c r="Q127" s="14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5"/>
      <c r="AC127" s="14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5"/>
      <c r="AO127" s="14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5"/>
      <c r="BA127" s="14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5"/>
      <c r="BM127" s="14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5"/>
      <c r="BY127" s="14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5"/>
      <c r="CK127" s="14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5"/>
      <c r="CW127" s="14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5"/>
      <c r="DI127" s="14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5"/>
    </row>
    <row r="128" spans="1:124" x14ac:dyDescent="0.25">
      <c r="A128" s="13"/>
      <c r="B128" s="13"/>
      <c r="C128" s="13"/>
      <c r="D128" s="16" t="s">
        <v>131</v>
      </c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5"/>
      <c r="Q128" s="14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5"/>
      <c r="AC128" s="14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5"/>
      <c r="AO128" s="14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5"/>
      <c r="BA128" s="14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5"/>
      <c r="BM128" s="14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5"/>
      <c r="BY128" s="14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5"/>
      <c r="CK128" s="14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5"/>
      <c r="CW128" s="14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5"/>
      <c r="DI128" s="14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5"/>
    </row>
    <row r="129" spans="1:124" x14ac:dyDescent="0.25">
      <c r="A129" s="13"/>
      <c r="B129" s="13"/>
      <c r="C129" s="13"/>
      <c r="D129" s="16" t="s">
        <v>132</v>
      </c>
      <c r="E129" s="14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5"/>
      <c r="Q129" s="14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5"/>
      <c r="AC129" s="14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5"/>
      <c r="AO129" s="14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5"/>
      <c r="BA129" s="14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5"/>
      <c r="BM129" s="14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5"/>
      <c r="BY129" s="14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5"/>
      <c r="CK129" s="14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5"/>
      <c r="CW129" s="14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5"/>
      <c r="DI129" s="14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5"/>
    </row>
  </sheetData>
  <mergeCells count="10">
    <mergeCell ref="E1:P1"/>
    <mergeCell ref="Q1:AB1"/>
    <mergeCell ref="AC1:AN1"/>
    <mergeCell ref="AO1:AZ1"/>
    <mergeCell ref="BA1:BL1"/>
    <mergeCell ref="BM1:BX1"/>
    <mergeCell ref="BY1:CJ1"/>
    <mergeCell ref="CK1:CV1"/>
    <mergeCell ref="CW1:DH1"/>
    <mergeCell ref="DI1:DT1"/>
  </mergeCells>
  <conditionalFormatting sqref="E3:DT129">
    <cfRule type="beginsWith" dxfId="24" priority="1" operator="beginsWith" text="S">
      <formula>LEFT(E3,LEN("S"))="S"</formula>
    </cfRule>
    <cfRule type="cellIs" dxfId="23" priority="2" operator="equal">
      <formula>"x"</formula>
    </cfRule>
    <cfRule type="beginsWith" dxfId="22" priority="3" operator="beginsWith" text="V">
      <formula>LEFT(E3,LEN("V"))="V"</formula>
    </cfRule>
    <cfRule type="cellIs" dxfId="21" priority="10" operator="greaterThan">
      <formula>25</formula>
    </cfRule>
  </conditionalFormatting>
  <conditionalFormatting sqref="A3:DT129">
    <cfRule type="expression" dxfId="20" priority="11">
      <formula>LEFT(INDIRECT(ADDRESS(ROW(),4,1,1)),1)="C"</formula>
    </cfRule>
    <cfRule type="expression" dxfId="19" priority="12">
      <formula>LEFT(INDIRECT(ADDRESS(ROW(),4,1,1)),1)="N"</formula>
    </cfRule>
    <cfRule type="expression" dxfId="18" priority="13">
      <formula>LEFT(INDIRECT(ADDRESS(ROW(),4,1,1)),1)="5"</formula>
    </cfRule>
    <cfRule type="expression" dxfId="17" priority="16">
      <formula>LEFT(INDIRECT(ADDRESS(ROW(),4,1,1)),1)="B"</formula>
    </cfRule>
    <cfRule type="expression" dxfId="16" priority="18">
      <formula>LEFT(INDIRECT(ADDRESS(ROW(),4,1,1)),1)="D"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DX3"/>
  <sheetViews>
    <sheetView zoomScale="55" zoomScaleNormal="55" workbookViewId="0">
      <pane xSplit="4" ySplit="3" topLeftCell="E4" activePane="bottomRight" state="frozen"/>
      <selection pane="topRight" activeCell="E1" sqref="E1"/>
      <selection pane="bottomLeft" activeCell="A3" sqref="A3"/>
      <selection pane="bottomRight" activeCell="BA2" sqref="BA2:BL2"/>
    </sheetView>
  </sheetViews>
  <sheetFormatPr baseColWidth="10" defaultColWidth="9.140625" defaultRowHeight="15" x14ac:dyDescent="0.25"/>
  <cols>
    <col min="1" max="1" width="6.5703125" bestFit="1" customWidth="1"/>
    <col min="2" max="2" width="9" bestFit="1" customWidth="1"/>
    <col min="3" max="3" width="13.85546875" bestFit="1" customWidth="1"/>
    <col min="4" max="4" width="4.5703125" bestFit="1" customWidth="1"/>
    <col min="5" max="5" width="6.140625" bestFit="1" customWidth="1"/>
    <col min="6" max="6" width="6.5703125" bestFit="1" customWidth="1"/>
    <col min="7" max="7" width="6.85546875" bestFit="1" customWidth="1"/>
    <col min="8" max="8" width="6.5703125" bestFit="1" customWidth="1"/>
    <col min="9" max="9" width="7.140625" bestFit="1" customWidth="1"/>
    <col min="10" max="10" width="6.140625" bestFit="1" customWidth="1"/>
    <col min="11" max="11" width="5.5703125" bestFit="1" customWidth="1"/>
    <col min="12" max="12" width="6.85546875" bestFit="1" customWidth="1"/>
    <col min="13" max="13" width="6.5703125" bestFit="1" customWidth="1"/>
    <col min="14" max="14" width="6.42578125" bestFit="1" customWidth="1"/>
    <col min="15" max="15" width="6.85546875" bestFit="1" customWidth="1"/>
    <col min="16" max="16" width="6.5703125" bestFit="1" customWidth="1"/>
    <col min="17" max="17" width="6.140625" bestFit="1" customWidth="1"/>
    <col min="18" max="18" width="6.5703125" bestFit="1" customWidth="1"/>
    <col min="19" max="19" width="6.85546875" bestFit="1" customWidth="1"/>
    <col min="20" max="20" width="6.5703125" bestFit="1" customWidth="1"/>
    <col min="21" max="21" width="7.140625" bestFit="1" customWidth="1"/>
    <col min="22" max="22" width="6.140625" bestFit="1" customWidth="1"/>
    <col min="23" max="23" width="5.5703125" bestFit="1" customWidth="1"/>
    <col min="24" max="24" width="6.85546875" bestFit="1" customWidth="1"/>
    <col min="25" max="25" width="6.5703125" bestFit="1" customWidth="1"/>
    <col min="26" max="26" width="6.42578125" bestFit="1" customWidth="1"/>
    <col min="27" max="27" width="6.85546875" bestFit="1" customWidth="1"/>
    <col min="28" max="28" width="6.5703125" bestFit="1" customWidth="1"/>
    <col min="29" max="29" width="6.140625" bestFit="1" customWidth="1"/>
    <col min="30" max="30" width="6.5703125" bestFit="1" customWidth="1"/>
    <col min="31" max="31" width="6.85546875" bestFit="1" customWidth="1"/>
    <col min="32" max="32" width="6.5703125" bestFit="1" customWidth="1"/>
    <col min="33" max="33" width="7.140625" bestFit="1" customWidth="1"/>
    <col min="34" max="34" width="6.140625" bestFit="1" customWidth="1"/>
    <col min="35" max="35" width="5.5703125" bestFit="1" customWidth="1"/>
    <col min="36" max="36" width="6.85546875" bestFit="1" customWidth="1"/>
    <col min="37" max="37" width="6.5703125" bestFit="1" customWidth="1"/>
    <col min="38" max="38" width="6.42578125" bestFit="1" customWidth="1"/>
    <col min="39" max="39" width="6.85546875" bestFit="1" customWidth="1"/>
    <col min="40" max="40" width="6.5703125" bestFit="1" customWidth="1"/>
    <col min="41" max="41" width="6.140625" bestFit="1" customWidth="1"/>
    <col min="42" max="42" width="6.5703125" bestFit="1" customWidth="1"/>
    <col min="43" max="43" width="6.85546875" bestFit="1" customWidth="1"/>
    <col min="44" max="44" width="6.5703125" bestFit="1" customWidth="1"/>
    <col min="45" max="45" width="7.140625" bestFit="1" customWidth="1"/>
    <col min="46" max="46" width="6.140625" bestFit="1" customWidth="1"/>
    <col min="47" max="47" width="5.5703125" bestFit="1" customWidth="1"/>
    <col min="48" max="48" width="6.85546875" bestFit="1" customWidth="1"/>
    <col min="49" max="49" width="6.5703125" bestFit="1" customWidth="1"/>
    <col min="50" max="50" width="6.42578125" bestFit="1" customWidth="1"/>
    <col min="51" max="51" width="6.85546875" bestFit="1" customWidth="1"/>
    <col min="52" max="52" width="6.5703125" bestFit="1" customWidth="1"/>
    <col min="53" max="53" width="6.140625" bestFit="1" customWidth="1"/>
    <col min="54" max="54" width="6.5703125" bestFit="1" customWidth="1"/>
    <col min="55" max="55" width="6.85546875" bestFit="1" customWidth="1"/>
    <col min="56" max="56" width="6.5703125" bestFit="1" customWidth="1"/>
    <col min="57" max="57" width="7.140625" bestFit="1" customWidth="1"/>
    <col min="58" max="58" width="6.140625" bestFit="1" customWidth="1"/>
    <col min="59" max="59" width="5.5703125" bestFit="1" customWidth="1"/>
    <col min="60" max="60" width="6.85546875" bestFit="1" customWidth="1"/>
    <col min="61" max="61" width="6.5703125" bestFit="1" customWidth="1"/>
    <col min="62" max="62" width="6.42578125" bestFit="1" customWidth="1"/>
    <col min="63" max="63" width="6.85546875" bestFit="1" customWidth="1"/>
    <col min="64" max="64" width="6.5703125" bestFit="1" customWidth="1"/>
    <col min="65" max="65" width="6.140625" bestFit="1" customWidth="1"/>
    <col min="66" max="66" width="6.5703125" bestFit="1" customWidth="1"/>
    <col min="67" max="67" width="6.85546875" bestFit="1" customWidth="1"/>
    <col min="68" max="68" width="6.5703125" bestFit="1" customWidth="1"/>
    <col min="69" max="69" width="7.140625" bestFit="1" customWidth="1"/>
    <col min="70" max="70" width="6.140625" bestFit="1" customWidth="1"/>
    <col min="71" max="71" width="5.5703125" bestFit="1" customWidth="1"/>
    <col min="72" max="72" width="6.85546875" bestFit="1" customWidth="1"/>
    <col min="73" max="73" width="6.5703125" bestFit="1" customWidth="1"/>
    <col min="74" max="74" width="6.42578125" bestFit="1" customWidth="1"/>
    <col min="75" max="75" width="6.85546875" bestFit="1" customWidth="1"/>
    <col min="76" max="76" width="6.5703125" bestFit="1" customWidth="1"/>
    <col min="77" max="77" width="6.140625" bestFit="1" customWidth="1"/>
    <col min="78" max="78" width="6.5703125" bestFit="1" customWidth="1"/>
    <col min="79" max="79" width="6.85546875" bestFit="1" customWidth="1"/>
    <col min="80" max="80" width="6.5703125" bestFit="1" customWidth="1"/>
    <col min="81" max="81" width="7.140625" bestFit="1" customWidth="1"/>
    <col min="82" max="82" width="6.140625" bestFit="1" customWidth="1"/>
    <col min="83" max="83" width="5.5703125" bestFit="1" customWidth="1"/>
    <col min="84" max="84" width="6.85546875" bestFit="1" customWidth="1"/>
    <col min="85" max="85" width="6.5703125" bestFit="1" customWidth="1"/>
    <col min="86" max="86" width="6.42578125" bestFit="1" customWidth="1"/>
    <col min="87" max="87" width="6.85546875" bestFit="1" customWidth="1"/>
    <col min="88" max="88" width="6.5703125" bestFit="1" customWidth="1"/>
    <col min="89" max="89" width="6.140625" bestFit="1" customWidth="1"/>
    <col min="90" max="90" width="6.5703125" bestFit="1" customWidth="1"/>
    <col min="91" max="91" width="6.85546875" bestFit="1" customWidth="1"/>
    <col min="92" max="92" width="6.5703125" bestFit="1" customWidth="1"/>
    <col min="93" max="93" width="7.140625" bestFit="1" customWidth="1"/>
    <col min="94" max="94" width="6.140625" bestFit="1" customWidth="1"/>
    <col min="95" max="95" width="5.5703125" bestFit="1" customWidth="1"/>
    <col min="96" max="96" width="6.85546875" bestFit="1" customWidth="1"/>
    <col min="97" max="97" width="6.5703125" bestFit="1" customWidth="1"/>
    <col min="98" max="98" width="6.42578125" bestFit="1" customWidth="1"/>
    <col min="99" max="99" width="6.85546875" bestFit="1" customWidth="1"/>
    <col min="100" max="100" width="6.5703125" bestFit="1" customWidth="1"/>
    <col min="101" max="101" width="6.140625" bestFit="1" customWidth="1"/>
    <col min="102" max="102" width="6.5703125" bestFit="1" customWidth="1"/>
    <col min="103" max="103" width="6.85546875" bestFit="1" customWidth="1"/>
    <col min="104" max="104" width="6.5703125" bestFit="1" customWidth="1"/>
    <col min="105" max="105" width="7.140625" bestFit="1" customWidth="1"/>
    <col min="106" max="106" width="6.140625" bestFit="1" customWidth="1"/>
    <col min="107" max="107" width="5.5703125" bestFit="1" customWidth="1"/>
    <col min="108" max="108" width="6.85546875" bestFit="1" customWidth="1"/>
    <col min="109" max="109" width="6.5703125" bestFit="1" customWidth="1"/>
    <col min="110" max="110" width="6.42578125" bestFit="1" customWidth="1"/>
    <col min="111" max="111" width="6.85546875" bestFit="1" customWidth="1"/>
    <col min="112" max="112" width="6.5703125" bestFit="1" customWidth="1"/>
    <col min="113" max="113" width="6.140625" bestFit="1" customWidth="1"/>
    <col min="114" max="114" width="6.5703125" bestFit="1" customWidth="1"/>
    <col min="115" max="115" width="6.85546875" bestFit="1" customWidth="1"/>
    <col min="116" max="116" width="6.5703125" bestFit="1" customWidth="1"/>
    <col min="117" max="117" width="7.140625" bestFit="1" customWidth="1"/>
    <col min="118" max="118" width="6.140625" bestFit="1" customWidth="1"/>
    <col min="119" max="119" width="5.5703125" bestFit="1" customWidth="1"/>
    <col min="120" max="120" width="6.85546875" bestFit="1" customWidth="1"/>
    <col min="121" max="121" width="6.5703125" bestFit="1" customWidth="1"/>
    <col min="122" max="122" width="6.42578125" bestFit="1" customWidth="1"/>
    <col min="123" max="123" width="6.85546875" bestFit="1" customWidth="1"/>
    <col min="124" max="124" width="6.5703125" bestFit="1" customWidth="1"/>
  </cols>
  <sheetData>
    <row r="1" spans="1:1480" ht="15.75" hidden="1" thickBot="1" x14ac:dyDescent="0.3"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  <c r="AE1">
        <v>28</v>
      </c>
      <c r="AF1">
        <v>29</v>
      </c>
      <c r="AG1">
        <v>30</v>
      </c>
      <c r="AH1">
        <v>31</v>
      </c>
      <c r="AI1">
        <v>32</v>
      </c>
      <c r="AJ1">
        <v>33</v>
      </c>
      <c r="AK1">
        <v>34</v>
      </c>
      <c r="AL1">
        <v>35</v>
      </c>
      <c r="AM1">
        <v>36</v>
      </c>
      <c r="AN1">
        <v>37</v>
      </c>
      <c r="AO1">
        <v>38</v>
      </c>
      <c r="AP1">
        <v>39</v>
      </c>
      <c r="AQ1">
        <v>40</v>
      </c>
      <c r="AR1">
        <v>41</v>
      </c>
      <c r="AS1">
        <v>42</v>
      </c>
      <c r="AT1">
        <v>43</v>
      </c>
      <c r="AU1">
        <v>44</v>
      </c>
      <c r="AV1">
        <v>45</v>
      </c>
      <c r="AW1">
        <v>46</v>
      </c>
      <c r="AX1">
        <v>47</v>
      </c>
      <c r="AY1">
        <v>48</v>
      </c>
      <c r="AZ1">
        <v>49</v>
      </c>
      <c r="BA1">
        <v>50</v>
      </c>
      <c r="BB1">
        <v>51</v>
      </c>
      <c r="BC1">
        <v>52</v>
      </c>
      <c r="BD1">
        <v>53</v>
      </c>
      <c r="BE1">
        <v>54</v>
      </c>
      <c r="BF1">
        <v>55</v>
      </c>
      <c r="BG1">
        <v>56</v>
      </c>
      <c r="BH1">
        <v>57</v>
      </c>
      <c r="BI1">
        <v>58</v>
      </c>
      <c r="BJ1">
        <v>59</v>
      </c>
      <c r="BK1">
        <v>60</v>
      </c>
      <c r="BL1">
        <v>61</v>
      </c>
      <c r="BM1">
        <v>62</v>
      </c>
      <c r="BN1">
        <v>63</v>
      </c>
      <c r="BO1">
        <v>64</v>
      </c>
      <c r="BP1">
        <v>65</v>
      </c>
      <c r="BQ1">
        <v>66</v>
      </c>
      <c r="BR1">
        <v>67</v>
      </c>
      <c r="BS1">
        <v>68</v>
      </c>
      <c r="BT1">
        <v>69</v>
      </c>
      <c r="BU1">
        <v>70</v>
      </c>
      <c r="BV1">
        <v>71</v>
      </c>
      <c r="BW1">
        <v>72</v>
      </c>
      <c r="BX1">
        <v>73</v>
      </c>
      <c r="BY1">
        <v>74</v>
      </c>
      <c r="BZ1">
        <v>75</v>
      </c>
      <c r="CA1">
        <v>76</v>
      </c>
      <c r="CB1">
        <v>77</v>
      </c>
      <c r="CC1">
        <v>78</v>
      </c>
      <c r="CD1">
        <v>79</v>
      </c>
      <c r="CE1">
        <v>80</v>
      </c>
      <c r="CF1">
        <v>81</v>
      </c>
      <c r="CG1">
        <v>82</v>
      </c>
      <c r="CH1">
        <v>83</v>
      </c>
      <c r="CI1">
        <v>84</v>
      </c>
      <c r="CJ1">
        <v>85</v>
      </c>
      <c r="CK1">
        <v>86</v>
      </c>
      <c r="CL1">
        <v>87</v>
      </c>
      <c r="CM1">
        <v>88</v>
      </c>
      <c r="CN1">
        <v>89</v>
      </c>
      <c r="CO1">
        <v>90</v>
      </c>
      <c r="CP1">
        <v>91</v>
      </c>
      <c r="CQ1">
        <v>92</v>
      </c>
      <c r="CR1">
        <v>93</v>
      </c>
      <c r="CS1">
        <v>94</v>
      </c>
      <c r="CT1">
        <v>95</v>
      </c>
      <c r="CU1">
        <v>96</v>
      </c>
      <c r="CV1">
        <v>97</v>
      </c>
      <c r="CW1">
        <v>98</v>
      </c>
      <c r="CX1">
        <v>99</v>
      </c>
      <c r="CY1">
        <v>100</v>
      </c>
      <c r="CZ1">
        <v>101</v>
      </c>
      <c r="DA1">
        <v>102</v>
      </c>
      <c r="DB1">
        <v>103</v>
      </c>
      <c r="DC1">
        <v>104</v>
      </c>
      <c r="DD1">
        <v>105</v>
      </c>
      <c r="DE1">
        <v>106</v>
      </c>
      <c r="DF1">
        <v>107</v>
      </c>
      <c r="DG1">
        <v>108</v>
      </c>
      <c r="DH1">
        <v>109</v>
      </c>
      <c r="DI1">
        <v>110</v>
      </c>
      <c r="DJ1">
        <v>111</v>
      </c>
      <c r="DK1">
        <v>112</v>
      </c>
      <c r="DL1">
        <v>113</v>
      </c>
      <c r="DM1">
        <v>114</v>
      </c>
      <c r="DN1">
        <v>115</v>
      </c>
      <c r="DO1">
        <v>116</v>
      </c>
      <c r="DP1">
        <v>117</v>
      </c>
      <c r="DQ1">
        <v>118</v>
      </c>
      <c r="DR1">
        <v>119</v>
      </c>
      <c r="DS1">
        <v>120</v>
      </c>
      <c r="DT1">
        <v>121</v>
      </c>
    </row>
    <row r="2" spans="1:1480" ht="20.25" x14ac:dyDescent="0.25">
      <c r="A2" s="11"/>
      <c r="B2" s="11"/>
      <c r="C2" s="11"/>
      <c r="D2" s="11"/>
      <c r="E2" s="24">
        <f>YEAR(DATE(2018,1,1))</f>
        <v>2018</v>
      </c>
      <c r="F2" s="25"/>
      <c r="G2" s="25"/>
      <c r="H2" s="25"/>
      <c r="I2" s="25"/>
      <c r="J2" s="25"/>
      <c r="K2" s="25"/>
      <c r="L2" s="25"/>
      <c r="M2" s="25"/>
      <c r="N2" s="25"/>
      <c r="O2" s="25"/>
      <c r="P2" s="26"/>
      <c r="Q2" s="24">
        <f>YEAR(DATE(2018,13,1))</f>
        <v>2019</v>
      </c>
      <c r="R2" s="25"/>
      <c r="S2" s="25"/>
      <c r="T2" s="25"/>
      <c r="U2" s="25"/>
      <c r="V2" s="25"/>
      <c r="W2" s="25"/>
      <c r="X2" s="25"/>
      <c r="Y2" s="25"/>
      <c r="Z2" s="25"/>
      <c r="AA2" s="25"/>
      <c r="AB2" s="26"/>
      <c r="AC2" s="24">
        <f>YEAR(DATE(2018,25,1))</f>
        <v>2020</v>
      </c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6"/>
      <c r="AO2" s="24">
        <f>YEAR(DATE(2018,37,1))</f>
        <v>2021</v>
      </c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6"/>
      <c r="BA2" s="24">
        <f>YEAR(DATE(2018,49,1))</f>
        <v>2022</v>
      </c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6"/>
      <c r="BM2" s="24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6"/>
      <c r="BY2" s="24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6"/>
      <c r="CK2" s="24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6"/>
      <c r="CW2" s="24"/>
      <c r="CX2" s="25"/>
      <c r="CY2" s="25"/>
      <c r="CZ2" s="25"/>
      <c r="DA2" s="25"/>
      <c r="DB2" s="25"/>
      <c r="DC2" s="25"/>
      <c r="DD2" s="25"/>
      <c r="DE2" s="25"/>
      <c r="DF2" s="25"/>
      <c r="DG2" s="25"/>
      <c r="DH2" s="26"/>
      <c r="DI2" s="24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6"/>
    </row>
    <row r="3" spans="1:1480" x14ac:dyDescent="0.25">
      <c r="A3" s="7" t="s">
        <v>141</v>
      </c>
      <c r="B3" s="7" t="s">
        <v>142</v>
      </c>
      <c r="C3" s="7" t="s">
        <v>143</v>
      </c>
      <c r="D3" s="7" t="s">
        <v>144</v>
      </c>
      <c r="E3" s="8">
        <f>DATE(2018,1,1)</f>
        <v>43101</v>
      </c>
      <c r="F3" s="9">
        <f>DATE(2018,2,1)</f>
        <v>43132</v>
      </c>
      <c r="G3" s="9">
        <f>DATE(2018,3,1)</f>
        <v>43160</v>
      </c>
      <c r="H3" s="9">
        <f>DATE(2018,4,1)</f>
        <v>43191</v>
      </c>
      <c r="I3" s="9">
        <f>DATE(2018,5,1)</f>
        <v>43221</v>
      </c>
      <c r="J3" s="9">
        <f>DATE(2018,6,1)</f>
        <v>43252</v>
      </c>
      <c r="K3" s="9">
        <f>DATE(2018,7,1)</f>
        <v>43282</v>
      </c>
      <c r="L3" s="9">
        <f>DATE(2018,8,1)</f>
        <v>43313</v>
      </c>
      <c r="M3" s="9">
        <f>DATE(2018,9,1)</f>
        <v>43344</v>
      </c>
      <c r="N3" s="9">
        <f>DATE(2018,10,1)</f>
        <v>43374</v>
      </c>
      <c r="O3" s="9">
        <f>DATE(2018,11,1)</f>
        <v>43405</v>
      </c>
      <c r="P3" s="10">
        <f>DATE(2018,12,1)</f>
        <v>43435</v>
      </c>
      <c r="Q3" s="8">
        <f>DATE(2018,13,1)</f>
        <v>43466</v>
      </c>
      <c r="R3" s="9">
        <f>DATE(2018,14,1)</f>
        <v>43497</v>
      </c>
      <c r="S3" s="9">
        <f>DATE(2018,15,1)</f>
        <v>43525</v>
      </c>
      <c r="T3" s="9">
        <f>DATE(2018,16,1)</f>
        <v>43556</v>
      </c>
      <c r="U3" s="9">
        <f>DATE(2018,17,1)</f>
        <v>43586</v>
      </c>
      <c r="V3" s="9">
        <f>DATE(2018,18,1)</f>
        <v>43617</v>
      </c>
      <c r="W3" s="9">
        <f>DATE(2018,19,1)</f>
        <v>43647</v>
      </c>
      <c r="X3" s="9">
        <f>DATE(2018,20,1)</f>
        <v>43678</v>
      </c>
      <c r="Y3" s="9">
        <f>DATE(2018,21,1)</f>
        <v>43709</v>
      </c>
      <c r="Z3" s="9">
        <f>DATE(2018,22,1)</f>
        <v>43739</v>
      </c>
      <c r="AA3" s="9">
        <f>DATE(2018,23,1)</f>
        <v>43770</v>
      </c>
      <c r="AB3" s="10">
        <f>DATE(2018,24,1)</f>
        <v>43800</v>
      </c>
      <c r="AC3" s="8">
        <f>DATE(2018,25,1)</f>
        <v>43831</v>
      </c>
      <c r="AD3" s="9">
        <f>DATE(2018,26,1)</f>
        <v>43862</v>
      </c>
      <c r="AE3" s="9">
        <f>DATE(2018,27,1)</f>
        <v>43891</v>
      </c>
      <c r="AF3" s="9">
        <f>DATE(2018,28,1)</f>
        <v>43922</v>
      </c>
      <c r="AG3" s="9">
        <f>DATE(2018,29,1)</f>
        <v>43952</v>
      </c>
      <c r="AH3" s="9">
        <f>DATE(2018,30,1)</f>
        <v>43983</v>
      </c>
      <c r="AI3" s="9">
        <f>DATE(2018,31,1)</f>
        <v>44013</v>
      </c>
      <c r="AJ3" s="9">
        <f>DATE(2018,32,1)</f>
        <v>44044</v>
      </c>
      <c r="AK3" s="9">
        <f>DATE(2018,33,1)</f>
        <v>44075</v>
      </c>
      <c r="AL3" s="9">
        <f>DATE(2018,34,1)</f>
        <v>44105</v>
      </c>
      <c r="AM3" s="9">
        <f>DATE(2018,35,1)</f>
        <v>44136</v>
      </c>
      <c r="AN3" s="10">
        <f>DATE(2018,36,1)</f>
        <v>44166</v>
      </c>
      <c r="AO3" s="8">
        <f>DATE(2018,37,1)</f>
        <v>44197</v>
      </c>
      <c r="AP3" s="9">
        <f>DATE(2018,38,1)</f>
        <v>44228</v>
      </c>
      <c r="AQ3" s="9">
        <f>DATE(2018,39,1)</f>
        <v>44256</v>
      </c>
      <c r="AR3" s="9">
        <f>DATE(2018,40,1)</f>
        <v>44287</v>
      </c>
      <c r="AS3" s="9">
        <f>DATE(2018,41,1)</f>
        <v>44317</v>
      </c>
      <c r="AT3" s="9">
        <f>DATE(2018,42,1)</f>
        <v>44348</v>
      </c>
      <c r="AU3" s="9">
        <f>DATE(2018,43,1)</f>
        <v>44378</v>
      </c>
      <c r="AV3" s="9">
        <f>DATE(2018,44,1)</f>
        <v>44409</v>
      </c>
      <c r="AW3" s="9">
        <f>DATE(2018,45,1)</f>
        <v>44440</v>
      </c>
      <c r="AX3" s="9">
        <f>DATE(2018,46,1)</f>
        <v>44470</v>
      </c>
      <c r="AY3" s="9">
        <f>DATE(2018,47,1)</f>
        <v>44501</v>
      </c>
      <c r="AZ3" s="10">
        <f>DATE(2018,48,1)</f>
        <v>44531</v>
      </c>
      <c r="BA3" s="8">
        <f>DATE(2018,49,1)</f>
        <v>44562</v>
      </c>
      <c r="BB3" s="9">
        <f>DATE(2018,50,1)</f>
        <v>44593</v>
      </c>
      <c r="BC3" s="9">
        <f>DATE(2018,51,1)</f>
        <v>44621</v>
      </c>
      <c r="BD3" s="9">
        <f>DATE(2018,52,1)</f>
        <v>44652</v>
      </c>
      <c r="BE3" s="9">
        <f>DATE(2018,53,1)</f>
        <v>44682</v>
      </c>
      <c r="BF3" s="9">
        <f>DATE(2018,54,1)</f>
        <v>44713</v>
      </c>
      <c r="BG3" s="9">
        <f>DATE(2018,55,1)</f>
        <v>44743</v>
      </c>
      <c r="BH3" s="9">
        <f>DATE(2018,56,1)</f>
        <v>44774</v>
      </c>
      <c r="BI3" s="9">
        <f>DATE(2018,57,1)</f>
        <v>44805</v>
      </c>
      <c r="BJ3" s="9">
        <f>DATE(2018,58,1)</f>
        <v>44835</v>
      </c>
      <c r="BK3" s="9">
        <f>DATE(2018,59,1)</f>
        <v>44866</v>
      </c>
      <c r="BL3" s="10">
        <f>DATE(2018,60,1)</f>
        <v>44896</v>
      </c>
      <c r="BM3" s="8"/>
      <c r="BN3" s="9"/>
      <c r="BO3" s="9"/>
      <c r="BP3" s="9"/>
      <c r="BQ3" s="9"/>
      <c r="BR3" s="9"/>
      <c r="BS3" s="9"/>
      <c r="BT3" s="9"/>
      <c r="BU3" s="9"/>
      <c r="BV3" s="9"/>
      <c r="BW3" s="9"/>
      <c r="BX3" s="10"/>
      <c r="BY3" s="8"/>
      <c r="BZ3" s="9"/>
      <c r="CA3" s="9"/>
      <c r="CB3" s="9"/>
      <c r="CC3" s="9"/>
      <c r="CD3" s="9"/>
      <c r="CE3" s="9"/>
      <c r="CF3" s="9"/>
      <c r="CG3" s="9"/>
      <c r="CH3" s="9"/>
      <c r="CI3" s="9"/>
      <c r="CJ3" s="10"/>
      <c r="CK3" s="8"/>
      <c r="CL3" s="9"/>
      <c r="CM3" s="9"/>
      <c r="CN3" s="9"/>
      <c r="CO3" s="9"/>
      <c r="CP3" s="9"/>
      <c r="CQ3" s="9"/>
      <c r="CR3" s="9"/>
      <c r="CS3" s="9"/>
      <c r="CT3" s="9"/>
      <c r="CU3" s="9"/>
      <c r="CV3" s="10"/>
      <c r="CW3" s="8"/>
      <c r="CX3" s="9"/>
      <c r="CY3" s="9"/>
      <c r="CZ3" s="9"/>
      <c r="DA3" s="9"/>
      <c r="DB3" s="9"/>
      <c r="DC3" s="9"/>
      <c r="DD3" s="9"/>
      <c r="DE3" s="9"/>
      <c r="DF3" s="9"/>
      <c r="DG3" s="9"/>
      <c r="DH3" s="10"/>
      <c r="DI3" s="8"/>
      <c r="DJ3" s="9"/>
      <c r="DK3" s="9"/>
      <c r="DL3" s="9"/>
      <c r="DM3" s="9"/>
      <c r="DN3" s="9"/>
      <c r="DO3" s="9"/>
      <c r="DP3" s="9"/>
      <c r="DQ3" s="9"/>
      <c r="DR3" s="9"/>
      <c r="DS3" s="9"/>
      <c r="DT3" s="10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  <c r="LR3" s="21"/>
      <c r="LS3" s="21"/>
      <c r="LT3" s="21"/>
      <c r="LU3" s="21"/>
      <c r="LV3" s="21"/>
      <c r="LW3" s="21"/>
      <c r="LX3" s="21"/>
      <c r="LY3" s="21"/>
      <c r="LZ3" s="21"/>
      <c r="MA3" s="21"/>
      <c r="MB3" s="21"/>
      <c r="MC3" s="21"/>
      <c r="MD3" s="21"/>
      <c r="ME3" s="21"/>
      <c r="MF3" s="21"/>
      <c r="MG3" s="21"/>
      <c r="MH3" s="21"/>
      <c r="MI3" s="21"/>
      <c r="MJ3" s="21"/>
      <c r="MK3" s="21"/>
      <c r="ML3" s="21"/>
      <c r="MM3" s="21"/>
      <c r="MN3" s="21"/>
      <c r="MO3" s="21"/>
      <c r="MP3" s="21"/>
      <c r="MQ3" s="21"/>
      <c r="MR3" s="21"/>
      <c r="MS3" s="21"/>
      <c r="MT3" s="21"/>
      <c r="MU3" s="21"/>
      <c r="MV3" s="21"/>
      <c r="MW3" s="21"/>
      <c r="MX3" s="21"/>
      <c r="MY3" s="21"/>
      <c r="MZ3" s="21"/>
      <c r="NA3" s="21"/>
      <c r="NB3" s="21"/>
      <c r="NC3" s="21"/>
      <c r="ND3" s="21"/>
      <c r="NE3" s="21"/>
      <c r="NF3" s="21"/>
      <c r="NG3" s="21"/>
      <c r="NH3" s="21"/>
      <c r="NI3" s="21"/>
      <c r="NJ3" s="21"/>
      <c r="NK3" s="21"/>
      <c r="NL3" s="21"/>
      <c r="NM3" s="21"/>
      <c r="NN3" s="21"/>
      <c r="NO3" s="21"/>
      <c r="NP3" s="21"/>
      <c r="NQ3" s="21"/>
      <c r="NR3" s="21"/>
      <c r="NS3" s="21"/>
      <c r="NT3" s="21"/>
      <c r="NU3" s="21"/>
      <c r="NV3" s="21"/>
      <c r="NW3" s="21"/>
      <c r="NX3" s="21"/>
      <c r="NY3" s="21"/>
      <c r="NZ3" s="21"/>
      <c r="OA3" s="21"/>
      <c r="OB3" s="21"/>
      <c r="OC3" s="21"/>
      <c r="OD3" s="21"/>
      <c r="OE3" s="21"/>
      <c r="OF3" s="21"/>
      <c r="OG3" s="21"/>
      <c r="OH3" s="21"/>
      <c r="OI3" s="21"/>
      <c r="OJ3" s="21"/>
      <c r="OK3" s="21"/>
      <c r="OL3" s="21"/>
      <c r="OM3" s="21"/>
      <c r="ON3" s="21"/>
      <c r="OO3" s="21"/>
      <c r="OP3" s="21"/>
      <c r="OQ3" s="21"/>
      <c r="OR3" s="21"/>
      <c r="OS3" s="21"/>
      <c r="OT3" s="21"/>
      <c r="OU3" s="21"/>
      <c r="OV3" s="21"/>
      <c r="OW3" s="21"/>
      <c r="OX3" s="21"/>
      <c r="OY3" s="21"/>
      <c r="OZ3" s="21"/>
      <c r="PA3" s="21"/>
      <c r="PB3" s="21"/>
      <c r="PC3" s="21"/>
      <c r="PD3" s="21"/>
      <c r="PE3" s="21"/>
      <c r="PF3" s="21"/>
      <c r="PG3" s="21"/>
      <c r="PH3" s="21"/>
      <c r="PI3" s="21"/>
      <c r="PJ3" s="21"/>
      <c r="PK3" s="21"/>
      <c r="PL3" s="21"/>
      <c r="PM3" s="21"/>
      <c r="PN3" s="21"/>
      <c r="PO3" s="21"/>
      <c r="PP3" s="21"/>
      <c r="PQ3" s="21"/>
      <c r="PR3" s="21"/>
      <c r="PS3" s="21"/>
      <c r="PT3" s="21"/>
      <c r="PU3" s="21"/>
      <c r="PV3" s="21"/>
      <c r="PW3" s="21"/>
      <c r="PX3" s="21"/>
      <c r="PY3" s="21"/>
      <c r="PZ3" s="21"/>
      <c r="QA3" s="21"/>
      <c r="QB3" s="21"/>
      <c r="QC3" s="21"/>
      <c r="QD3" s="21"/>
      <c r="QE3" s="21"/>
      <c r="QF3" s="21"/>
      <c r="QG3" s="21"/>
      <c r="QH3" s="21"/>
      <c r="QI3" s="21"/>
      <c r="QJ3" s="21"/>
      <c r="QK3" s="21"/>
      <c r="QL3" s="21"/>
      <c r="QM3" s="21"/>
      <c r="QN3" s="21"/>
      <c r="QO3" s="21"/>
      <c r="QP3" s="21"/>
      <c r="QQ3" s="21"/>
      <c r="QR3" s="21"/>
      <c r="QS3" s="21"/>
      <c r="QT3" s="21"/>
      <c r="QU3" s="21"/>
      <c r="QV3" s="21"/>
      <c r="QW3" s="21"/>
      <c r="QX3" s="21"/>
      <c r="QY3" s="21"/>
      <c r="QZ3" s="21"/>
      <c r="RA3" s="21"/>
      <c r="RB3" s="21"/>
      <c r="RC3" s="21"/>
      <c r="RD3" s="21"/>
      <c r="RE3" s="21"/>
      <c r="RF3" s="21"/>
      <c r="RG3" s="21"/>
      <c r="RH3" s="21"/>
      <c r="RI3" s="21"/>
      <c r="RJ3" s="21"/>
      <c r="RK3" s="21"/>
      <c r="RL3" s="21"/>
      <c r="RM3" s="21"/>
      <c r="RN3" s="21"/>
      <c r="RO3" s="21"/>
      <c r="RP3" s="21"/>
      <c r="RQ3" s="21"/>
      <c r="RR3" s="21"/>
      <c r="RS3" s="21"/>
      <c r="RT3" s="21"/>
      <c r="RU3" s="21"/>
      <c r="RV3" s="21"/>
      <c r="RW3" s="21"/>
      <c r="RX3" s="21"/>
      <c r="RY3" s="21"/>
      <c r="RZ3" s="21"/>
      <c r="SA3" s="21"/>
      <c r="SB3" s="21"/>
      <c r="SC3" s="21"/>
      <c r="SD3" s="21"/>
      <c r="SE3" s="21"/>
      <c r="SF3" s="21"/>
      <c r="SG3" s="21"/>
      <c r="SH3" s="21"/>
      <c r="SI3" s="21"/>
      <c r="SJ3" s="21"/>
      <c r="SK3" s="21"/>
      <c r="SL3" s="21"/>
      <c r="SM3" s="21"/>
      <c r="SN3" s="21"/>
      <c r="SO3" s="21"/>
      <c r="SP3" s="21"/>
      <c r="SQ3" s="21"/>
      <c r="SR3" s="21"/>
      <c r="SS3" s="21"/>
      <c r="ST3" s="21"/>
      <c r="SU3" s="21"/>
      <c r="SV3" s="21"/>
      <c r="SW3" s="21"/>
      <c r="SX3" s="21"/>
      <c r="SY3" s="21"/>
      <c r="SZ3" s="21"/>
      <c r="TA3" s="21"/>
      <c r="TB3" s="21"/>
      <c r="TC3" s="21"/>
      <c r="TD3" s="21"/>
      <c r="TE3" s="21"/>
      <c r="TF3" s="21"/>
      <c r="TG3" s="21"/>
      <c r="TH3" s="21"/>
      <c r="TI3" s="21"/>
      <c r="TJ3" s="21"/>
      <c r="TK3" s="21"/>
      <c r="TL3" s="21"/>
      <c r="TM3" s="21"/>
      <c r="TN3" s="21"/>
      <c r="TO3" s="21"/>
      <c r="TP3" s="21"/>
      <c r="TQ3" s="21"/>
      <c r="TR3" s="21"/>
      <c r="TS3" s="21"/>
      <c r="TT3" s="21"/>
      <c r="TU3" s="21"/>
      <c r="TV3" s="21"/>
      <c r="TW3" s="21"/>
      <c r="TX3" s="21"/>
      <c r="TY3" s="21"/>
      <c r="TZ3" s="21"/>
      <c r="UA3" s="21"/>
      <c r="UB3" s="21"/>
      <c r="UC3" s="21"/>
      <c r="UD3" s="21"/>
      <c r="UE3" s="21"/>
      <c r="UF3" s="21"/>
      <c r="UG3" s="21"/>
      <c r="UH3" s="21"/>
      <c r="UI3" s="21"/>
      <c r="UJ3" s="21"/>
      <c r="UK3" s="21"/>
      <c r="UL3" s="21"/>
      <c r="UM3" s="21"/>
      <c r="UN3" s="21"/>
      <c r="UO3" s="21"/>
      <c r="UP3" s="21"/>
      <c r="UQ3" s="21"/>
      <c r="UR3" s="21"/>
      <c r="US3" s="21"/>
      <c r="UT3" s="21"/>
      <c r="UU3" s="21"/>
      <c r="UV3" s="21"/>
      <c r="UW3" s="21"/>
      <c r="UX3" s="21"/>
      <c r="UY3" s="21"/>
      <c r="UZ3" s="21"/>
      <c r="VA3" s="21"/>
      <c r="VB3" s="21"/>
      <c r="VC3" s="21"/>
      <c r="VD3" s="21"/>
      <c r="VE3" s="21"/>
      <c r="VF3" s="21"/>
      <c r="VG3" s="21"/>
      <c r="VH3" s="21"/>
      <c r="VI3" s="21"/>
      <c r="VJ3" s="21"/>
      <c r="VK3" s="21"/>
      <c r="VL3" s="21"/>
      <c r="VM3" s="21"/>
      <c r="VN3" s="21"/>
      <c r="VO3" s="21"/>
      <c r="VP3" s="21"/>
      <c r="VQ3" s="21"/>
      <c r="VR3" s="21"/>
      <c r="VS3" s="21"/>
      <c r="VT3" s="21"/>
      <c r="VU3" s="21"/>
      <c r="VV3" s="21"/>
      <c r="VW3" s="21"/>
      <c r="VX3" s="21"/>
      <c r="VY3" s="21"/>
      <c r="VZ3" s="21"/>
      <c r="WA3" s="21"/>
      <c r="WB3" s="21"/>
      <c r="WC3" s="21"/>
      <c r="WD3" s="21"/>
      <c r="WE3" s="21"/>
      <c r="WF3" s="21"/>
      <c r="WG3" s="21"/>
      <c r="WH3" s="21"/>
      <c r="WI3" s="21"/>
      <c r="WJ3" s="21"/>
      <c r="WK3" s="21"/>
      <c r="WL3" s="21"/>
      <c r="WM3" s="21"/>
      <c r="WN3" s="21"/>
      <c r="WO3" s="21"/>
      <c r="WP3" s="21"/>
      <c r="WQ3" s="21"/>
      <c r="WR3" s="21"/>
      <c r="WS3" s="21"/>
      <c r="WT3" s="21"/>
      <c r="WU3" s="21"/>
      <c r="WV3" s="21"/>
      <c r="WW3" s="21"/>
      <c r="WX3" s="21"/>
      <c r="WY3" s="21"/>
      <c r="WZ3" s="21"/>
      <c r="XA3" s="21"/>
      <c r="XB3" s="21"/>
      <c r="XC3" s="21"/>
      <c r="XD3" s="21"/>
      <c r="XE3" s="21"/>
      <c r="XF3" s="21"/>
      <c r="XG3" s="21"/>
      <c r="XH3" s="21"/>
      <c r="XI3" s="21"/>
      <c r="XJ3" s="21"/>
      <c r="XK3" s="21"/>
      <c r="XL3" s="21"/>
      <c r="XM3" s="21"/>
      <c r="XN3" s="21"/>
      <c r="XO3" s="21"/>
      <c r="XP3" s="21"/>
      <c r="XQ3" s="21"/>
      <c r="XR3" s="21"/>
      <c r="XS3" s="21"/>
      <c r="XT3" s="21"/>
      <c r="XU3" s="21"/>
      <c r="XV3" s="21"/>
      <c r="XW3" s="21"/>
      <c r="XX3" s="21"/>
      <c r="XY3" s="21"/>
      <c r="XZ3" s="21"/>
      <c r="YA3" s="21"/>
      <c r="YB3" s="21"/>
      <c r="YC3" s="21"/>
      <c r="YD3" s="21"/>
      <c r="YE3" s="21"/>
      <c r="YF3" s="21"/>
      <c r="YG3" s="21"/>
      <c r="YH3" s="21"/>
      <c r="YI3" s="21"/>
      <c r="YJ3" s="21"/>
      <c r="YK3" s="21"/>
      <c r="YL3" s="21"/>
      <c r="YM3" s="21"/>
      <c r="YN3" s="21"/>
      <c r="YO3" s="21"/>
      <c r="YP3" s="21"/>
      <c r="YQ3" s="21"/>
      <c r="YR3" s="21"/>
      <c r="YS3" s="21"/>
      <c r="YT3" s="21"/>
      <c r="YU3" s="21"/>
      <c r="YV3" s="21"/>
      <c r="YW3" s="21"/>
      <c r="YX3" s="21"/>
      <c r="YY3" s="21"/>
      <c r="YZ3" s="21"/>
      <c r="ZA3" s="21"/>
      <c r="ZB3" s="21"/>
      <c r="ZC3" s="21"/>
      <c r="ZD3" s="21"/>
      <c r="ZE3" s="21"/>
      <c r="ZF3" s="21"/>
      <c r="ZG3" s="21"/>
      <c r="ZH3" s="21"/>
      <c r="ZI3" s="21"/>
      <c r="ZJ3" s="21"/>
      <c r="ZK3" s="21"/>
      <c r="ZL3" s="21"/>
      <c r="ZM3" s="21"/>
      <c r="ZN3" s="21"/>
      <c r="ZO3" s="21"/>
      <c r="ZP3" s="21"/>
      <c r="ZQ3" s="21"/>
      <c r="ZR3" s="21"/>
      <c r="ZS3" s="21"/>
      <c r="ZT3" s="21"/>
      <c r="ZU3" s="21"/>
      <c r="ZV3" s="21"/>
      <c r="ZW3" s="21"/>
      <c r="ZX3" s="21"/>
      <c r="ZY3" s="21"/>
      <c r="ZZ3" s="21"/>
      <c r="AAA3" s="21"/>
      <c r="AAB3" s="21"/>
      <c r="AAC3" s="21"/>
      <c r="AAD3" s="21"/>
      <c r="AAE3" s="21"/>
      <c r="AAF3" s="21"/>
      <c r="AAG3" s="21"/>
      <c r="AAH3" s="21"/>
      <c r="AAI3" s="21"/>
      <c r="AAJ3" s="21"/>
      <c r="AAK3" s="21"/>
      <c r="AAL3" s="21"/>
      <c r="AAM3" s="21"/>
      <c r="AAN3" s="21"/>
      <c r="AAO3" s="21"/>
      <c r="AAP3" s="21"/>
      <c r="AAQ3" s="21"/>
      <c r="AAR3" s="21"/>
      <c r="AAS3" s="21"/>
      <c r="AAT3" s="21"/>
      <c r="AAU3" s="21"/>
      <c r="AAV3" s="21"/>
      <c r="AAW3" s="21"/>
      <c r="AAX3" s="21"/>
      <c r="AAY3" s="21"/>
      <c r="AAZ3" s="21"/>
      <c r="ABA3" s="21"/>
      <c r="ABB3" s="21"/>
      <c r="ABC3" s="21"/>
      <c r="ABD3" s="21"/>
      <c r="ABE3" s="21"/>
      <c r="ABF3" s="21"/>
      <c r="ABG3" s="21"/>
      <c r="ABH3" s="21"/>
      <c r="ABI3" s="21"/>
      <c r="ABJ3" s="21"/>
      <c r="ABK3" s="21"/>
      <c r="ABL3" s="21"/>
      <c r="ABM3" s="21"/>
      <c r="ABN3" s="21"/>
      <c r="ABO3" s="21"/>
      <c r="ABP3" s="21"/>
      <c r="ABQ3" s="21"/>
      <c r="ABR3" s="21"/>
      <c r="ABS3" s="21"/>
      <c r="ABT3" s="21"/>
      <c r="ABU3" s="21"/>
      <c r="ABV3" s="21"/>
      <c r="ABW3" s="21"/>
      <c r="ABX3" s="21"/>
      <c r="ABY3" s="21"/>
      <c r="ABZ3" s="21"/>
      <c r="ACA3" s="21"/>
      <c r="ACB3" s="21"/>
      <c r="ACC3" s="21"/>
      <c r="ACD3" s="21"/>
      <c r="ACE3" s="21"/>
      <c r="ACF3" s="21"/>
      <c r="ACG3" s="21"/>
      <c r="ACH3" s="21"/>
      <c r="ACI3" s="21"/>
      <c r="ACJ3" s="21"/>
      <c r="ACK3" s="21"/>
      <c r="ACL3" s="21"/>
      <c r="ACM3" s="21"/>
      <c r="ACN3" s="21"/>
      <c r="ACO3" s="21"/>
      <c r="ACP3" s="21"/>
      <c r="ACQ3" s="21"/>
      <c r="ACR3" s="21"/>
      <c r="ACS3" s="21"/>
      <c r="ACT3" s="21"/>
      <c r="ACU3" s="21"/>
      <c r="ACV3" s="21"/>
      <c r="ACW3" s="21"/>
      <c r="ACX3" s="21"/>
      <c r="ACY3" s="21"/>
      <c r="ACZ3" s="21"/>
      <c r="ADA3" s="21"/>
      <c r="ADB3" s="21"/>
      <c r="ADC3" s="21"/>
      <c r="ADD3" s="21"/>
      <c r="ADE3" s="21"/>
      <c r="ADF3" s="21"/>
      <c r="ADG3" s="21"/>
      <c r="ADH3" s="21"/>
      <c r="ADI3" s="21"/>
      <c r="ADJ3" s="21"/>
      <c r="ADK3" s="21"/>
      <c r="ADL3" s="21"/>
      <c r="ADM3" s="21"/>
      <c r="ADN3" s="21"/>
      <c r="ADO3" s="21"/>
      <c r="ADP3" s="21"/>
      <c r="ADQ3" s="21"/>
      <c r="ADR3" s="21"/>
      <c r="ADS3" s="21"/>
      <c r="ADT3" s="21"/>
      <c r="ADU3" s="21"/>
      <c r="ADV3" s="21"/>
      <c r="ADW3" s="21"/>
      <c r="ADX3" s="21"/>
      <c r="ADY3" s="21"/>
      <c r="ADZ3" s="21"/>
      <c r="AEA3" s="21"/>
      <c r="AEB3" s="21"/>
      <c r="AEC3" s="21"/>
      <c r="AED3" s="21"/>
      <c r="AEE3" s="21"/>
      <c r="AEF3" s="21"/>
      <c r="AEG3" s="21"/>
      <c r="AEH3" s="21"/>
      <c r="AEI3" s="21"/>
      <c r="AEJ3" s="21"/>
      <c r="AEK3" s="21"/>
      <c r="AEL3" s="21"/>
      <c r="AEM3" s="21"/>
      <c r="AEN3" s="21"/>
      <c r="AEO3" s="21"/>
      <c r="AEP3" s="21"/>
      <c r="AEQ3" s="21"/>
      <c r="AER3" s="21"/>
      <c r="AES3" s="21"/>
      <c r="AET3" s="21"/>
      <c r="AEU3" s="21"/>
      <c r="AEV3" s="21"/>
      <c r="AEW3" s="21"/>
      <c r="AEX3" s="21"/>
      <c r="AEY3" s="21"/>
      <c r="AEZ3" s="21"/>
      <c r="AFA3" s="21"/>
      <c r="AFB3" s="21"/>
      <c r="AFC3" s="21"/>
      <c r="AFD3" s="21"/>
      <c r="AFE3" s="21"/>
      <c r="AFF3" s="21"/>
      <c r="AFG3" s="21"/>
      <c r="AFH3" s="21"/>
      <c r="AFI3" s="21"/>
      <c r="AFJ3" s="21"/>
      <c r="AFK3" s="21"/>
      <c r="AFL3" s="21"/>
      <c r="AFM3" s="21"/>
      <c r="AFN3" s="21"/>
      <c r="AFO3" s="21"/>
      <c r="AFP3" s="21"/>
      <c r="AFQ3" s="21"/>
      <c r="AFR3" s="21"/>
      <c r="AFS3" s="21"/>
      <c r="AFT3" s="21"/>
      <c r="AFU3" s="21"/>
      <c r="AFV3" s="21"/>
      <c r="AFW3" s="21"/>
      <c r="AFX3" s="21"/>
      <c r="AFY3" s="21"/>
      <c r="AFZ3" s="21"/>
      <c r="AGA3" s="21"/>
      <c r="AGB3" s="21"/>
      <c r="AGC3" s="21"/>
      <c r="AGD3" s="21"/>
      <c r="AGE3" s="21"/>
      <c r="AGF3" s="21"/>
      <c r="AGG3" s="21"/>
      <c r="AGH3" s="21"/>
      <c r="AGI3" s="21"/>
      <c r="AGJ3" s="21"/>
      <c r="AGK3" s="21"/>
      <c r="AGL3" s="21"/>
      <c r="AGM3" s="21"/>
      <c r="AGN3" s="21"/>
      <c r="AGO3" s="21"/>
      <c r="AGP3" s="21"/>
      <c r="AGQ3" s="21"/>
      <c r="AGR3" s="21"/>
      <c r="AGS3" s="21"/>
      <c r="AGT3" s="21"/>
      <c r="AGU3" s="21"/>
      <c r="AGV3" s="21"/>
      <c r="AGW3" s="21"/>
      <c r="AGX3" s="21"/>
      <c r="AGY3" s="21"/>
      <c r="AGZ3" s="21"/>
      <c r="AHA3" s="21"/>
      <c r="AHB3" s="21"/>
      <c r="AHC3" s="21"/>
      <c r="AHD3" s="21"/>
      <c r="AHE3" s="21"/>
      <c r="AHF3" s="21"/>
      <c r="AHG3" s="21"/>
      <c r="AHH3" s="21"/>
      <c r="AHI3" s="21"/>
      <c r="AHJ3" s="21"/>
      <c r="AHK3" s="21"/>
      <c r="AHL3" s="21"/>
      <c r="AHM3" s="21"/>
      <c r="AHN3" s="21"/>
      <c r="AHO3" s="21"/>
      <c r="AHP3" s="21"/>
      <c r="AHQ3" s="21"/>
      <c r="AHR3" s="21"/>
      <c r="AHS3" s="21"/>
      <c r="AHT3" s="21"/>
      <c r="AHU3" s="21"/>
      <c r="AHV3" s="21"/>
      <c r="AHW3" s="21"/>
      <c r="AHX3" s="21"/>
      <c r="AHY3" s="21"/>
      <c r="AHZ3" s="21"/>
      <c r="AIA3" s="21"/>
      <c r="AIB3" s="21"/>
      <c r="AIC3" s="21"/>
      <c r="AID3" s="21"/>
      <c r="AIE3" s="21"/>
      <c r="AIF3" s="21"/>
      <c r="AIG3" s="21"/>
      <c r="AIH3" s="21"/>
      <c r="AII3" s="21"/>
      <c r="AIJ3" s="21"/>
      <c r="AIK3" s="21"/>
      <c r="AIL3" s="21"/>
      <c r="AIM3" s="21"/>
      <c r="AIN3" s="21"/>
      <c r="AIO3" s="21"/>
      <c r="AIP3" s="21"/>
      <c r="AIQ3" s="21"/>
      <c r="AIR3" s="21"/>
      <c r="AIS3" s="21"/>
      <c r="AIT3" s="21"/>
      <c r="AIU3" s="21"/>
      <c r="AIV3" s="21"/>
      <c r="AIW3" s="21"/>
      <c r="AIX3" s="21"/>
      <c r="AIY3" s="21"/>
      <c r="AIZ3" s="21"/>
      <c r="AJA3" s="21"/>
      <c r="AJB3" s="21"/>
      <c r="AJC3" s="21"/>
      <c r="AJD3" s="21"/>
      <c r="AJE3" s="21"/>
      <c r="AJF3" s="21"/>
      <c r="AJG3" s="21"/>
      <c r="AJH3" s="21"/>
      <c r="AJI3" s="21"/>
      <c r="AJJ3" s="21"/>
      <c r="AJK3" s="21"/>
      <c r="AJL3" s="21"/>
      <c r="AJM3" s="21"/>
      <c r="AJN3" s="21"/>
      <c r="AJO3" s="21"/>
      <c r="AJP3" s="21"/>
      <c r="AJQ3" s="21"/>
      <c r="AJR3" s="21"/>
      <c r="AJS3" s="21"/>
      <c r="AJT3" s="21"/>
      <c r="AJU3" s="21"/>
      <c r="AJV3" s="21"/>
      <c r="AJW3" s="21"/>
      <c r="AJX3" s="21"/>
      <c r="AJY3" s="21"/>
      <c r="AJZ3" s="21"/>
      <c r="AKA3" s="21"/>
      <c r="AKB3" s="21"/>
      <c r="AKC3" s="21"/>
      <c r="AKD3" s="21"/>
      <c r="AKE3" s="21"/>
      <c r="AKF3" s="21"/>
      <c r="AKG3" s="21"/>
      <c r="AKH3" s="21"/>
      <c r="AKI3" s="21"/>
      <c r="AKJ3" s="21"/>
      <c r="AKK3" s="21"/>
      <c r="AKL3" s="21"/>
      <c r="AKM3" s="21"/>
      <c r="AKN3" s="21"/>
      <c r="AKO3" s="21"/>
      <c r="AKP3" s="21"/>
      <c r="AKQ3" s="21"/>
      <c r="AKR3" s="21"/>
      <c r="AKS3" s="21"/>
      <c r="AKT3" s="21"/>
      <c r="AKU3" s="21"/>
      <c r="AKV3" s="21"/>
      <c r="AKW3" s="21"/>
      <c r="AKX3" s="21"/>
      <c r="AKY3" s="21"/>
      <c r="AKZ3" s="21"/>
      <c r="ALA3" s="21"/>
      <c r="ALB3" s="21"/>
      <c r="ALC3" s="21"/>
      <c r="ALD3" s="21"/>
      <c r="ALE3" s="21"/>
      <c r="ALF3" s="21"/>
      <c r="ALG3" s="21"/>
      <c r="ALH3" s="21"/>
      <c r="ALI3" s="21"/>
      <c r="ALJ3" s="21"/>
      <c r="ALK3" s="21"/>
      <c r="ALL3" s="21"/>
      <c r="ALM3" s="21"/>
      <c r="ALN3" s="21"/>
      <c r="ALO3" s="21"/>
      <c r="ALP3" s="21"/>
      <c r="ALQ3" s="21"/>
      <c r="ALR3" s="21"/>
      <c r="ALS3" s="21"/>
      <c r="ALT3" s="21"/>
      <c r="ALU3" s="21"/>
      <c r="ALV3" s="21"/>
      <c r="ALW3" s="21"/>
      <c r="ALX3" s="21"/>
      <c r="ALY3" s="21"/>
      <c r="ALZ3" s="21"/>
      <c r="AMA3" s="21"/>
      <c r="AMB3" s="21"/>
      <c r="AMC3" s="21"/>
      <c r="AMD3" s="21"/>
      <c r="AME3" s="21"/>
      <c r="AMF3" s="21"/>
      <c r="AMG3" s="21"/>
      <c r="AMH3" s="21"/>
      <c r="AMI3" s="21"/>
      <c r="AMJ3" s="21"/>
      <c r="AMK3" s="21"/>
      <c r="AML3" s="21"/>
      <c r="AMM3" s="21"/>
      <c r="AMN3" s="21"/>
      <c r="AMO3" s="21"/>
      <c r="AMP3" s="21"/>
      <c r="AMQ3" s="21"/>
      <c r="AMR3" s="21"/>
      <c r="AMS3" s="21"/>
      <c r="AMT3" s="21"/>
      <c r="AMU3" s="21"/>
      <c r="AMV3" s="21"/>
      <c r="AMW3" s="21"/>
      <c r="AMX3" s="21"/>
      <c r="AMY3" s="21"/>
      <c r="AMZ3" s="21"/>
      <c r="ANA3" s="21"/>
      <c r="ANB3" s="21"/>
      <c r="ANC3" s="21"/>
      <c r="AND3" s="21"/>
      <c r="ANE3" s="21"/>
      <c r="ANF3" s="21"/>
      <c r="ANG3" s="21"/>
      <c r="ANH3" s="21"/>
      <c r="ANI3" s="21"/>
      <c r="ANJ3" s="21"/>
      <c r="ANK3" s="21"/>
      <c r="ANL3" s="21"/>
      <c r="ANM3" s="21"/>
      <c r="ANN3" s="21"/>
      <c r="ANO3" s="21"/>
      <c r="ANP3" s="21"/>
      <c r="ANQ3" s="21"/>
      <c r="ANR3" s="21"/>
      <c r="ANS3" s="21"/>
      <c r="ANT3" s="21"/>
      <c r="ANU3" s="21"/>
      <c r="ANV3" s="21"/>
      <c r="ANW3" s="21"/>
      <c r="ANX3" s="21"/>
      <c r="ANY3" s="21"/>
      <c r="ANZ3" s="21"/>
      <c r="AOA3" s="21"/>
      <c r="AOB3" s="21"/>
      <c r="AOC3" s="21"/>
      <c r="AOD3" s="21"/>
      <c r="AOE3" s="21"/>
      <c r="AOF3" s="21"/>
      <c r="AOG3" s="21"/>
      <c r="AOH3" s="21"/>
      <c r="AOI3" s="21"/>
      <c r="AOJ3" s="21"/>
      <c r="AOK3" s="21"/>
      <c r="AOL3" s="21"/>
      <c r="AOM3" s="21"/>
      <c r="AON3" s="21"/>
      <c r="AOO3" s="21"/>
      <c r="AOP3" s="21"/>
      <c r="AOQ3" s="21"/>
      <c r="AOR3" s="21"/>
      <c r="AOS3" s="21"/>
      <c r="AOT3" s="21"/>
      <c r="AOU3" s="21"/>
      <c r="AOV3" s="21"/>
      <c r="AOW3" s="21"/>
      <c r="AOX3" s="21"/>
      <c r="AOY3" s="21"/>
      <c r="AOZ3" s="21"/>
      <c r="APA3" s="21"/>
      <c r="APB3" s="21"/>
      <c r="APC3" s="21"/>
      <c r="APD3" s="21"/>
      <c r="APE3" s="21"/>
      <c r="APF3" s="21"/>
      <c r="APG3" s="21"/>
      <c r="APH3" s="21"/>
      <c r="API3" s="21"/>
      <c r="APJ3" s="21"/>
      <c r="APK3" s="21"/>
      <c r="APL3" s="21"/>
      <c r="APM3" s="21"/>
      <c r="APN3" s="21"/>
      <c r="APO3" s="21"/>
      <c r="APP3" s="21"/>
      <c r="APQ3" s="21"/>
      <c r="APR3" s="21"/>
      <c r="APS3" s="21"/>
      <c r="APT3" s="21"/>
      <c r="APU3" s="21"/>
      <c r="APV3" s="21"/>
      <c r="APW3" s="21"/>
      <c r="APX3" s="21"/>
      <c r="APY3" s="21"/>
      <c r="APZ3" s="21"/>
      <c r="AQA3" s="21"/>
      <c r="AQB3" s="21"/>
      <c r="AQC3" s="21"/>
      <c r="AQD3" s="21"/>
      <c r="AQE3" s="21"/>
      <c r="AQF3" s="21"/>
      <c r="AQG3" s="21"/>
      <c r="AQH3" s="21"/>
      <c r="AQI3" s="21"/>
      <c r="AQJ3" s="21"/>
      <c r="AQK3" s="21"/>
      <c r="AQL3" s="21"/>
      <c r="AQM3" s="21"/>
      <c r="AQN3" s="21"/>
      <c r="AQO3" s="21"/>
      <c r="AQP3" s="21"/>
      <c r="AQQ3" s="21"/>
      <c r="AQR3" s="21"/>
      <c r="AQS3" s="21"/>
      <c r="AQT3" s="21"/>
      <c r="AQU3" s="21"/>
      <c r="AQV3" s="21"/>
      <c r="AQW3" s="21"/>
      <c r="AQX3" s="21"/>
      <c r="AQY3" s="21"/>
      <c r="AQZ3" s="21"/>
      <c r="ARA3" s="21"/>
      <c r="ARB3" s="21"/>
      <c r="ARC3" s="21"/>
      <c r="ARD3" s="21"/>
      <c r="ARE3" s="21"/>
      <c r="ARF3" s="21"/>
      <c r="ARG3" s="21"/>
      <c r="ARH3" s="21"/>
      <c r="ARI3" s="21"/>
      <c r="ARJ3" s="21"/>
      <c r="ARK3" s="21"/>
      <c r="ARL3" s="21"/>
      <c r="ARM3" s="21"/>
      <c r="ARN3" s="21"/>
      <c r="ARO3" s="21"/>
      <c r="ARP3" s="21"/>
      <c r="ARQ3" s="21"/>
      <c r="ARR3" s="21"/>
      <c r="ARS3" s="21"/>
      <c r="ART3" s="21"/>
      <c r="ARU3" s="21"/>
      <c r="ARV3" s="21"/>
      <c r="ARW3" s="21"/>
      <c r="ARX3" s="21"/>
      <c r="ARY3" s="21"/>
      <c r="ARZ3" s="21"/>
      <c r="ASA3" s="21"/>
      <c r="ASB3" s="21"/>
      <c r="ASC3" s="21"/>
      <c r="ASD3" s="21"/>
      <c r="ASE3" s="21"/>
      <c r="ASF3" s="21"/>
      <c r="ASG3" s="21"/>
      <c r="ASH3" s="21"/>
      <c r="ASI3" s="21"/>
      <c r="ASJ3" s="21"/>
      <c r="ASK3" s="21"/>
      <c r="ASL3" s="21"/>
      <c r="ASM3" s="21"/>
      <c r="ASN3" s="21"/>
      <c r="ASO3" s="21"/>
      <c r="ASP3" s="21"/>
      <c r="ASQ3" s="21"/>
      <c r="ASR3" s="21"/>
      <c r="ASS3" s="21"/>
      <c r="AST3" s="21"/>
      <c r="ASU3" s="21"/>
      <c r="ASV3" s="21"/>
      <c r="ASW3" s="21"/>
      <c r="ASX3" s="21"/>
      <c r="ASY3" s="21"/>
      <c r="ASZ3" s="21"/>
      <c r="ATA3" s="21"/>
      <c r="ATB3" s="21"/>
      <c r="ATC3" s="21"/>
      <c r="ATD3" s="21"/>
      <c r="ATE3" s="21"/>
      <c r="ATF3" s="21"/>
      <c r="ATG3" s="21"/>
      <c r="ATH3" s="21"/>
      <c r="ATI3" s="21"/>
      <c r="ATJ3" s="21"/>
      <c r="ATK3" s="21"/>
      <c r="ATL3" s="21"/>
      <c r="ATM3" s="21"/>
      <c r="ATN3" s="21"/>
      <c r="ATO3" s="21"/>
      <c r="ATP3" s="21"/>
      <c r="ATQ3" s="21"/>
      <c r="ATR3" s="21"/>
      <c r="ATS3" s="21"/>
      <c r="ATT3" s="21"/>
      <c r="ATU3" s="21"/>
      <c r="ATV3" s="21"/>
      <c r="ATW3" s="21"/>
      <c r="ATX3" s="21"/>
      <c r="ATY3" s="21"/>
      <c r="ATZ3" s="21"/>
      <c r="AUA3" s="21"/>
      <c r="AUB3" s="21"/>
      <c r="AUC3" s="21"/>
      <c r="AUD3" s="21"/>
      <c r="AUE3" s="21"/>
      <c r="AUF3" s="21"/>
      <c r="AUG3" s="21"/>
      <c r="AUH3" s="21"/>
      <c r="AUI3" s="21"/>
      <c r="AUJ3" s="21"/>
      <c r="AUK3" s="21"/>
      <c r="AUL3" s="21"/>
      <c r="AUM3" s="21"/>
      <c r="AUN3" s="21"/>
      <c r="AUO3" s="21"/>
      <c r="AUP3" s="21"/>
      <c r="AUQ3" s="21"/>
      <c r="AUR3" s="21"/>
      <c r="AUS3" s="21"/>
      <c r="AUT3" s="21"/>
      <c r="AUU3" s="21"/>
      <c r="AUV3" s="21"/>
      <c r="AUW3" s="21"/>
      <c r="AUX3" s="21"/>
      <c r="AUY3" s="21"/>
      <c r="AUZ3" s="21"/>
      <c r="AVA3" s="21"/>
      <c r="AVB3" s="21"/>
      <c r="AVC3" s="21"/>
      <c r="AVD3" s="21"/>
      <c r="AVE3" s="21"/>
      <c r="AVF3" s="21"/>
      <c r="AVG3" s="21"/>
      <c r="AVH3" s="21"/>
      <c r="AVI3" s="21"/>
      <c r="AVJ3" s="21"/>
      <c r="AVK3" s="21"/>
      <c r="AVL3" s="21"/>
      <c r="AVM3" s="21"/>
      <c r="AVN3" s="21"/>
      <c r="AVO3" s="21"/>
      <c r="AVP3" s="21"/>
      <c r="AVQ3" s="21"/>
      <c r="AVR3" s="21"/>
      <c r="AVS3" s="21"/>
      <c r="AVT3" s="21"/>
      <c r="AVU3" s="21"/>
      <c r="AVV3" s="21"/>
      <c r="AVW3" s="21"/>
      <c r="AVX3" s="21"/>
      <c r="AVY3" s="21"/>
      <c r="AVZ3" s="21"/>
      <c r="AWA3" s="21"/>
      <c r="AWB3" s="21"/>
      <c r="AWC3" s="21"/>
      <c r="AWD3" s="21"/>
      <c r="AWE3" s="21"/>
      <c r="AWF3" s="21"/>
      <c r="AWG3" s="21"/>
      <c r="AWH3" s="21"/>
      <c r="AWI3" s="21"/>
      <c r="AWJ3" s="21"/>
      <c r="AWK3" s="21"/>
      <c r="AWL3" s="21"/>
      <c r="AWM3" s="21"/>
      <c r="AWN3" s="21"/>
      <c r="AWO3" s="21"/>
      <c r="AWP3" s="21"/>
      <c r="AWQ3" s="21"/>
      <c r="AWR3" s="21"/>
      <c r="AWS3" s="21"/>
      <c r="AWT3" s="21"/>
      <c r="AWU3" s="21"/>
      <c r="AWV3" s="21"/>
      <c r="AWW3" s="21"/>
      <c r="AWX3" s="21"/>
      <c r="AWY3" s="21"/>
      <c r="AWZ3" s="21"/>
      <c r="AXA3" s="21"/>
      <c r="AXB3" s="21"/>
      <c r="AXC3" s="21"/>
      <c r="AXD3" s="21"/>
      <c r="AXE3" s="21"/>
      <c r="AXF3" s="21"/>
      <c r="AXG3" s="21"/>
      <c r="AXH3" s="21"/>
      <c r="AXI3" s="21"/>
      <c r="AXJ3" s="21"/>
      <c r="AXK3" s="21"/>
      <c r="AXL3" s="21"/>
      <c r="AXM3" s="21"/>
      <c r="AXN3" s="21"/>
      <c r="AXO3" s="21"/>
      <c r="AXP3" s="21"/>
      <c r="AXQ3" s="21"/>
      <c r="AXR3" s="21"/>
      <c r="AXS3" s="21"/>
      <c r="AXT3" s="21"/>
      <c r="AXU3" s="21"/>
      <c r="AXV3" s="21"/>
      <c r="AXW3" s="21"/>
      <c r="AXX3" s="21"/>
      <c r="AXY3" s="21"/>
      <c r="AXZ3" s="21"/>
      <c r="AYA3" s="21"/>
      <c r="AYB3" s="21"/>
      <c r="AYC3" s="21"/>
      <c r="AYD3" s="21"/>
      <c r="AYE3" s="21"/>
      <c r="AYF3" s="21"/>
      <c r="AYG3" s="21"/>
      <c r="AYH3" s="21"/>
      <c r="AYI3" s="21"/>
      <c r="AYJ3" s="21"/>
      <c r="AYK3" s="21"/>
      <c r="AYL3" s="21"/>
      <c r="AYM3" s="21"/>
      <c r="AYN3" s="21"/>
      <c r="AYO3" s="21"/>
      <c r="AYP3" s="21"/>
      <c r="AYQ3" s="21"/>
      <c r="AYR3" s="21"/>
      <c r="AYS3" s="21"/>
      <c r="AYT3" s="21"/>
      <c r="AYU3" s="21"/>
      <c r="AYV3" s="21"/>
      <c r="AYW3" s="21"/>
      <c r="AYX3" s="21"/>
      <c r="AYY3" s="21"/>
      <c r="AYZ3" s="21"/>
      <c r="AZA3" s="21"/>
      <c r="AZB3" s="21"/>
      <c r="AZC3" s="21"/>
      <c r="AZD3" s="21"/>
      <c r="AZE3" s="21"/>
      <c r="AZF3" s="21"/>
      <c r="AZG3" s="21"/>
      <c r="AZH3" s="21"/>
      <c r="AZI3" s="21"/>
      <c r="AZJ3" s="21"/>
      <c r="AZK3" s="21"/>
      <c r="AZL3" s="21"/>
      <c r="AZM3" s="21"/>
      <c r="AZN3" s="21"/>
      <c r="AZO3" s="21"/>
      <c r="AZP3" s="21"/>
      <c r="AZQ3" s="21"/>
      <c r="AZR3" s="21"/>
      <c r="AZS3" s="21"/>
      <c r="AZT3" s="21"/>
      <c r="AZU3" s="21"/>
      <c r="AZV3" s="21"/>
      <c r="AZW3" s="21"/>
      <c r="AZX3" s="21"/>
      <c r="AZY3" s="21"/>
      <c r="AZZ3" s="21"/>
      <c r="BAA3" s="21"/>
      <c r="BAB3" s="21"/>
      <c r="BAC3" s="21"/>
      <c r="BAD3" s="21"/>
      <c r="BAE3" s="21"/>
      <c r="BAF3" s="21"/>
      <c r="BAG3" s="21"/>
      <c r="BAH3" s="21"/>
      <c r="BAI3" s="21"/>
      <c r="BAJ3" s="21"/>
      <c r="BAK3" s="21"/>
      <c r="BAL3" s="21"/>
      <c r="BAM3" s="21"/>
      <c r="BAN3" s="21"/>
      <c r="BAO3" s="21"/>
      <c r="BAP3" s="21"/>
      <c r="BAQ3" s="21"/>
      <c r="BAR3" s="21"/>
      <c r="BAS3" s="21"/>
      <c r="BAT3" s="21"/>
      <c r="BAU3" s="21"/>
      <c r="BAV3" s="21"/>
      <c r="BAW3" s="21"/>
      <c r="BAX3" s="21"/>
      <c r="BAY3" s="21"/>
      <c r="BAZ3" s="21"/>
      <c r="BBA3" s="21"/>
      <c r="BBB3" s="21"/>
      <c r="BBC3" s="21"/>
      <c r="BBD3" s="21"/>
      <c r="BBE3" s="21"/>
      <c r="BBF3" s="21"/>
      <c r="BBG3" s="21"/>
      <c r="BBH3" s="21"/>
      <c r="BBI3" s="21"/>
      <c r="BBJ3" s="21"/>
      <c r="BBK3" s="21"/>
      <c r="BBL3" s="21"/>
      <c r="BBM3" s="21"/>
      <c r="BBN3" s="21"/>
      <c r="BBO3" s="21"/>
      <c r="BBP3" s="21"/>
      <c r="BBQ3" s="21"/>
      <c r="BBR3" s="21"/>
      <c r="BBS3" s="21"/>
      <c r="BBT3" s="21"/>
      <c r="BBU3" s="21"/>
      <c r="BBV3" s="21"/>
      <c r="BBW3" s="21"/>
      <c r="BBX3" s="21"/>
      <c r="BBY3" s="21"/>
      <c r="BBZ3" s="21"/>
      <c r="BCA3" s="21"/>
      <c r="BCB3" s="21"/>
      <c r="BCC3" s="21"/>
      <c r="BCD3" s="21"/>
      <c r="BCE3" s="21"/>
      <c r="BCF3" s="21"/>
      <c r="BCG3" s="21"/>
      <c r="BCH3" s="21"/>
      <c r="BCI3" s="21"/>
      <c r="BCJ3" s="21"/>
      <c r="BCK3" s="21"/>
      <c r="BCL3" s="21"/>
      <c r="BCM3" s="21"/>
      <c r="BCN3" s="21"/>
      <c r="BCO3" s="21"/>
      <c r="BCP3" s="21"/>
      <c r="BCQ3" s="21"/>
      <c r="BCR3" s="21"/>
      <c r="BCS3" s="21"/>
      <c r="BCT3" s="21"/>
      <c r="BCU3" s="21"/>
      <c r="BCV3" s="21"/>
      <c r="BCW3" s="21"/>
      <c r="BCX3" s="21"/>
      <c r="BCY3" s="21"/>
      <c r="BCZ3" s="21"/>
      <c r="BDA3" s="21"/>
      <c r="BDB3" s="21"/>
      <c r="BDC3" s="21"/>
      <c r="BDD3" s="21"/>
      <c r="BDE3" s="21"/>
      <c r="BDF3" s="21"/>
      <c r="BDG3" s="21"/>
      <c r="BDH3" s="21"/>
      <c r="BDI3" s="21"/>
      <c r="BDJ3" s="21"/>
      <c r="BDK3" s="21"/>
      <c r="BDL3" s="21"/>
      <c r="BDM3" s="21"/>
      <c r="BDN3" s="21"/>
      <c r="BDO3" s="21"/>
      <c r="BDP3" s="21"/>
      <c r="BDQ3" s="21"/>
      <c r="BDR3" s="21"/>
      <c r="BDS3" s="21"/>
      <c r="BDT3" s="21"/>
      <c r="BDU3" s="21"/>
      <c r="BDV3" s="21"/>
      <c r="BDW3" s="21"/>
      <c r="BDX3" s="21"/>
    </row>
  </sheetData>
  <mergeCells count="10">
    <mergeCell ref="BY2:CJ2"/>
    <mergeCell ref="CK2:CV2"/>
    <mergeCell ref="CW2:DH2"/>
    <mergeCell ref="DI2:DT2"/>
    <mergeCell ref="E2:P2"/>
    <mergeCell ref="Q2:AB2"/>
    <mergeCell ref="AC2:AN2"/>
    <mergeCell ref="AO2:AZ2"/>
    <mergeCell ref="BA2:BL2"/>
    <mergeCell ref="BM2:BX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DZ85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BC2" sqref="BC2:BN2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6.7109375" bestFit="1" customWidth="1"/>
    <col min="4" max="4" width="9" customWidth="1"/>
    <col min="5" max="5" width="13.85546875" customWidth="1"/>
    <col min="6" max="6" width="8.4257812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8554687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1406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5703125" bestFit="1" customWidth="1"/>
    <col min="74" max="74" width="6.85546875" bestFit="1" customWidth="1"/>
    <col min="75" max="75" width="6.5703125" bestFit="1" customWidth="1"/>
    <col min="76" max="76" width="6.42578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6" width="6.140625" bestFit="1" customWidth="1"/>
    <col min="97" max="97" width="5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482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482" ht="20.25" x14ac:dyDescent="0.25">
      <c r="A2" s="11"/>
      <c r="B2" s="11"/>
      <c r="C2" s="11"/>
      <c r="D2" s="11"/>
      <c r="E2" s="11"/>
      <c r="F2" s="11"/>
      <c r="G2" s="24">
        <f>YEAR(DATE(2018,1,1))</f>
        <v>2018</v>
      </c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  <c r="S2" s="24">
        <f>YEAR(DATE(2018,13,1))</f>
        <v>2019</v>
      </c>
      <c r="T2" s="25"/>
      <c r="U2" s="25"/>
      <c r="V2" s="25"/>
      <c r="W2" s="25"/>
      <c r="X2" s="25"/>
      <c r="Y2" s="25"/>
      <c r="Z2" s="25"/>
      <c r="AA2" s="25"/>
      <c r="AB2" s="25"/>
      <c r="AC2" s="25"/>
      <c r="AD2" s="26"/>
      <c r="AE2" s="24">
        <f>YEAR(DATE(2018,25,1))</f>
        <v>2020</v>
      </c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6"/>
      <c r="AQ2" s="24">
        <f>YEAR(DATE(2018,37,1))</f>
        <v>2021</v>
      </c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6"/>
      <c r="BC2" s="24">
        <f>YEAR(DATE(2018,49,1))</f>
        <v>2022</v>
      </c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6"/>
      <c r="BO2" s="24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6"/>
      <c r="CA2" s="24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6"/>
      <c r="CM2" s="24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6"/>
      <c r="CY2" s="24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6"/>
      <c r="DK2" s="24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6"/>
    </row>
    <row r="3" spans="1:1482" x14ac:dyDescent="0.25">
      <c r="A3" s="7" t="s">
        <v>141</v>
      </c>
      <c r="B3" s="7" t="s">
        <v>145</v>
      </c>
      <c r="C3" s="7" t="s">
        <v>148</v>
      </c>
      <c r="D3" s="7" t="s">
        <v>142</v>
      </c>
      <c r="E3" s="7" t="s">
        <v>143</v>
      </c>
      <c r="F3" s="7" t="s">
        <v>144</v>
      </c>
      <c r="G3" s="8">
        <f>DATE(2018,1,1)</f>
        <v>43101</v>
      </c>
      <c r="H3" s="9">
        <f>DATE(2018,2,1)</f>
        <v>43132</v>
      </c>
      <c r="I3" s="9">
        <f>DATE(2018,3,1)</f>
        <v>43160</v>
      </c>
      <c r="J3" s="9">
        <f>DATE(2018,4,1)</f>
        <v>43191</v>
      </c>
      <c r="K3" s="9">
        <f>DATE(2018,5,1)</f>
        <v>43221</v>
      </c>
      <c r="L3" s="9">
        <f>DATE(2018,6,1)</f>
        <v>43252</v>
      </c>
      <c r="M3" s="9">
        <f>DATE(2018,7,1)</f>
        <v>43282</v>
      </c>
      <c r="N3" s="9">
        <f>DATE(2018,8,1)</f>
        <v>43313</v>
      </c>
      <c r="O3" s="9">
        <f>DATE(2018,9,1)</f>
        <v>43344</v>
      </c>
      <c r="P3" s="9">
        <f>DATE(2018,10,1)</f>
        <v>43374</v>
      </c>
      <c r="Q3" s="9">
        <f>DATE(2018,11,1)</f>
        <v>43405</v>
      </c>
      <c r="R3" s="10">
        <f>DATE(2018,12,1)</f>
        <v>43435</v>
      </c>
      <c r="S3" s="8">
        <f>DATE(2018,13,1)</f>
        <v>43466</v>
      </c>
      <c r="T3" s="9">
        <f>DATE(2018,14,1)</f>
        <v>43497</v>
      </c>
      <c r="U3" s="9">
        <f>DATE(2018,15,1)</f>
        <v>43525</v>
      </c>
      <c r="V3" s="9">
        <f>DATE(2018,16,1)</f>
        <v>43556</v>
      </c>
      <c r="W3" s="9">
        <f>DATE(2018,17,1)</f>
        <v>43586</v>
      </c>
      <c r="X3" s="9">
        <f>DATE(2018,18,1)</f>
        <v>43617</v>
      </c>
      <c r="Y3" s="9">
        <f>DATE(2018,19,1)</f>
        <v>43647</v>
      </c>
      <c r="Z3" s="9">
        <f>DATE(2018,20,1)</f>
        <v>43678</v>
      </c>
      <c r="AA3" s="9">
        <f>DATE(2018,21,1)</f>
        <v>43709</v>
      </c>
      <c r="AB3" s="9">
        <f>DATE(2018,22,1)</f>
        <v>43739</v>
      </c>
      <c r="AC3" s="9">
        <f>DATE(2018,23,1)</f>
        <v>43770</v>
      </c>
      <c r="AD3" s="10">
        <f>DATE(2018,24,1)</f>
        <v>43800</v>
      </c>
      <c r="AE3" s="8">
        <f>DATE(2018,25,1)</f>
        <v>43831</v>
      </c>
      <c r="AF3" s="9">
        <f>DATE(2018,26,1)</f>
        <v>43862</v>
      </c>
      <c r="AG3" s="9">
        <f>DATE(2018,27,1)</f>
        <v>43891</v>
      </c>
      <c r="AH3" s="9">
        <f>DATE(2018,28,1)</f>
        <v>43922</v>
      </c>
      <c r="AI3" s="9">
        <f>DATE(2018,29,1)</f>
        <v>43952</v>
      </c>
      <c r="AJ3" s="9">
        <f>DATE(2018,30,1)</f>
        <v>43983</v>
      </c>
      <c r="AK3" s="9">
        <f>DATE(2018,31,1)</f>
        <v>44013</v>
      </c>
      <c r="AL3" s="9">
        <f>DATE(2018,32,1)</f>
        <v>44044</v>
      </c>
      <c r="AM3" s="9">
        <f>DATE(2018,33,1)</f>
        <v>44075</v>
      </c>
      <c r="AN3" s="9">
        <f>DATE(2018,34,1)</f>
        <v>44105</v>
      </c>
      <c r="AO3" s="9">
        <f>DATE(2018,35,1)</f>
        <v>44136</v>
      </c>
      <c r="AP3" s="10">
        <f>DATE(2018,36,1)</f>
        <v>44166</v>
      </c>
      <c r="AQ3" s="8">
        <f>DATE(2018,37,1)</f>
        <v>44197</v>
      </c>
      <c r="AR3" s="9">
        <f>DATE(2018,38,1)</f>
        <v>44228</v>
      </c>
      <c r="AS3" s="9">
        <f>DATE(2018,39,1)</f>
        <v>44256</v>
      </c>
      <c r="AT3" s="9">
        <f>DATE(2018,40,1)</f>
        <v>44287</v>
      </c>
      <c r="AU3" s="9">
        <f>DATE(2018,41,1)</f>
        <v>44317</v>
      </c>
      <c r="AV3" s="9">
        <f>DATE(2018,42,1)</f>
        <v>44348</v>
      </c>
      <c r="AW3" s="9">
        <f>DATE(2018,43,1)</f>
        <v>44378</v>
      </c>
      <c r="AX3" s="9">
        <f>DATE(2018,44,1)</f>
        <v>44409</v>
      </c>
      <c r="AY3" s="9">
        <f>DATE(2018,45,1)</f>
        <v>44440</v>
      </c>
      <c r="AZ3" s="9">
        <f>DATE(2018,46,1)</f>
        <v>44470</v>
      </c>
      <c r="BA3" s="9">
        <f>DATE(2018,47,1)</f>
        <v>44501</v>
      </c>
      <c r="BB3" s="10">
        <f>DATE(2018,48,1)</f>
        <v>44531</v>
      </c>
      <c r="BC3" s="8">
        <f>DATE(2018,49,1)</f>
        <v>44562</v>
      </c>
      <c r="BD3" s="9">
        <f>DATE(2018,50,1)</f>
        <v>44593</v>
      </c>
      <c r="BE3" s="9">
        <f>DATE(2018,51,1)</f>
        <v>44621</v>
      </c>
      <c r="BF3" s="9">
        <f>DATE(2018,52,1)</f>
        <v>44652</v>
      </c>
      <c r="BG3" s="9">
        <f>DATE(2018,53,1)</f>
        <v>44682</v>
      </c>
      <c r="BH3" s="9">
        <f>DATE(2018,54,1)</f>
        <v>44713</v>
      </c>
      <c r="BI3" s="9">
        <f>DATE(2018,55,1)</f>
        <v>44743</v>
      </c>
      <c r="BJ3" s="9">
        <f>DATE(2018,56,1)</f>
        <v>44774</v>
      </c>
      <c r="BK3" s="9">
        <f>DATE(2018,57,1)</f>
        <v>44805</v>
      </c>
      <c r="BL3" s="9">
        <f>DATE(2018,58,1)</f>
        <v>44835</v>
      </c>
      <c r="BM3" s="9">
        <f>DATE(2018,59,1)</f>
        <v>44866</v>
      </c>
      <c r="BN3" s="10">
        <f>DATE(2018,60,1)</f>
        <v>44896</v>
      </c>
      <c r="BO3" s="8"/>
      <c r="BP3" s="9"/>
      <c r="BQ3" s="9"/>
      <c r="BR3" s="9"/>
      <c r="BS3" s="9"/>
      <c r="BT3" s="9"/>
      <c r="BU3" s="9"/>
      <c r="BV3" s="9"/>
      <c r="BW3" s="9"/>
      <c r="BX3" s="9"/>
      <c r="BY3" s="9"/>
      <c r="BZ3" s="10"/>
      <c r="CA3" s="8"/>
      <c r="CB3" s="9"/>
      <c r="CC3" s="9"/>
      <c r="CD3" s="9"/>
      <c r="CE3" s="9"/>
      <c r="CF3" s="9"/>
      <c r="CG3" s="9"/>
      <c r="CH3" s="9"/>
      <c r="CI3" s="9"/>
      <c r="CJ3" s="9"/>
      <c r="CK3" s="9"/>
      <c r="CL3" s="10"/>
      <c r="CM3" s="8"/>
      <c r="CN3" s="9"/>
      <c r="CO3" s="9"/>
      <c r="CP3" s="9"/>
      <c r="CQ3" s="9"/>
      <c r="CR3" s="9"/>
      <c r="CS3" s="9"/>
      <c r="CT3" s="9"/>
      <c r="CU3" s="9"/>
      <c r="CV3" s="9"/>
      <c r="CW3" s="9"/>
      <c r="CX3" s="10"/>
      <c r="CY3" s="8"/>
      <c r="CZ3" s="9"/>
      <c r="DA3" s="9"/>
      <c r="DB3" s="9"/>
      <c r="DC3" s="9"/>
      <c r="DD3" s="9"/>
      <c r="DE3" s="9"/>
      <c r="DF3" s="9"/>
      <c r="DG3" s="9"/>
      <c r="DH3" s="9"/>
      <c r="DI3" s="9"/>
      <c r="DJ3" s="10"/>
      <c r="DK3" s="8"/>
      <c r="DL3" s="9"/>
      <c r="DM3" s="9"/>
      <c r="DN3" s="9"/>
      <c r="DO3" s="9"/>
      <c r="DP3" s="9"/>
      <c r="DQ3" s="9"/>
      <c r="DR3" s="9"/>
      <c r="DS3" s="9"/>
      <c r="DT3" s="9"/>
      <c r="DU3" s="9"/>
      <c r="DV3" s="10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  <c r="LR3" s="21"/>
      <c r="LS3" s="21"/>
      <c r="LT3" s="21"/>
      <c r="LU3" s="21"/>
      <c r="LV3" s="21"/>
      <c r="LW3" s="21"/>
      <c r="LX3" s="21"/>
      <c r="LY3" s="21"/>
      <c r="LZ3" s="21"/>
      <c r="MA3" s="21"/>
      <c r="MB3" s="21"/>
      <c r="MC3" s="21"/>
      <c r="MD3" s="21"/>
      <c r="ME3" s="21"/>
      <c r="MF3" s="21"/>
      <c r="MG3" s="21"/>
      <c r="MH3" s="21"/>
      <c r="MI3" s="21"/>
      <c r="MJ3" s="21"/>
      <c r="MK3" s="21"/>
      <c r="ML3" s="21"/>
      <c r="MM3" s="21"/>
      <c r="MN3" s="21"/>
      <c r="MO3" s="21"/>
      <c r="MP3" s="21"/>
      <c r="MQ3" s="21"/>
      <c r="MR3" s="21"/>
      <c r="MS3" s="21"/>
      <c r="MT3" s="21"/>
      <c r="MU3" s="21"/>
      <c r="MV3" s="21"/>
      <c r="MW3" s="21"/>
      <c r="MX3" s="21"/>
      <c r="MY3" s="21"/>
      <c r="MZ3" s="21"/>
      <c r="NA3" s="21"/>
      <c r="NB3" s="21"/>
      <c r="NC3" s="21"/>
      <c r="ND3" s="21"/>
      <c r="NE3" s="21"/>
      <c r="NF3" s="21"/>
      <c r="NG3" s="21"/>
      <c r="NH3" s="21"/>
      <c r="NI3" s="21"/>
      <c r="NJ3" s="21"/>
      <c r="NK3" s="21"/>
      <c r="NL3" s="21"/>
      <c r="NM3" s="21"/>
      <c r="NN3" s="21"/>
      <c r="NO3" s="21"/>
      <c r="NP3" s="21"/>
      <c r="NQ3" s="21"/>
      <c r="NR3" s="21"/>
      <c r="NS3" s="21"/>
      <c r="NT3" s="21"/>
      <c r="NU3" s="21"/>
      <c r="NV3" s="21"/>
      <c r="NW3" s="21"/>
      <c r="NX3" s="21"/>
      <c r="NY3" s="21"/>
      <c r="NZ3" s="21"/>
      <c r="OA3" s="21"/>
      <c r="OB3" s="21"/>
      <c r="OC3" s="21"/>
      <c r="OD3" s="21"/>
      <c r="OE3" s="21"/>
      <c r="OF3" s="21"/>
      <c r="OG3" s="21"/>
      <c r="OH3" s="21"/>
      <c r="OI3" s="21"/>
      <c r="OJ3" s="21"/>
      <c r="OK3" s="21"/>
      <c r="OL3" s="21"/>
      <c r="OM3" s="21"/>
      <c r="ON3" s="21"/>
      <c r="OO3" s="21"/>
      <c r="OP3" s="21"/>
      <c r="OQ3" s="21"/>
      <c r="OR3" s="21"/>
      <c r="OS3" s="21"/>
      <c r="OT3" s="21"/>
      <c r="OU3" s="21"/>
      <c r="OV3" s="21"/>
      <c r="OW3" s="21"/>
      <c r="OX3" s="21"/>
      <c r="OY3" s="21"/>
      <c r="OZ3" s="21"/>
      <c r="PA3" s="21"/>
      <c r="PB3" s="21"/>
      <c r="PC3" s="21"/>
      <c r="PD3" s="21"/>
      <c r="PE3" s="21"/>
      <c r="PF3" s="21"/>
      <c r="PG3" s="21"/>
      <c r="PH3" s="21"/>
      <c r="PI3" s="21"/>
      <c r="PJ3" s="21"/>
      <c r="PK3" s="21"/>
      <c r="PL3" s="21"/>
      <c r="PM3" s="21"/>
      <c r="PN3" s="21"/>
      <c r="PO3" s="21"/>
      <c r="PP3" s="21"/>
      <c r="PQ3" s="21"/>
      <c r="PR3" s="21"/>
      <c r="PS3" s="21"/>
      <c r="PT3" s="21"/>
      <c r="PU3" s="21"/>
      <c r="PV3" s="21"/>
      <c r="PW3" s="21"/>
      <c r="PX3" s="21"/>
      <c r="PY3" s="21"/>
      <c r="PZ3" s="21"/>
      <c r="QA3" s="21"/>
      <c r="QB3" s="21"/>
      <c r="QC3" s="21"/>
      <c r="QD3" s="21"/>
      <c r="QE3" s="21"/>
      <c r="QF3" s="21"/>
      <c r="QG3" s="21"/>
      <c r="QH3" s="21"/>
      <c r="QI3" s="21"/>
      <c r="QJ3" s="21"/>
      <c r="QK3" s="21"/>
      <c r="QL3" s="21"/>
      <c r="QM3" s="21"/>
      <c r="QN3" s="21"/>
      <c r="QO3" s="21"/>
      <c r="QP3" s="21"/>
      <c r="QQ3" s="21"/>
      <c r="QR3" s="21"/>
      <c r="QS3" s="21"/>
      <c r="QT3" s="21"/>
      <c r="QU3" s="21"/>
      <c r="QV3" s="21"/>
      <c r="QW3" s="21"/>
      <c r="QX3" s="21"/>
      <c r="QY3" s="21"/>
      <c r="QZ3" s="21"/>
      <c r="RA3" s="21"/>
      <c r="RB3" s="21"/>
      <c r="RC3" s="21"/>
      <c r="RD3" s="21"/>
      <c r="RE3" s="21"/>
      <c r="RF3" s="21"/>
      <c r="RG3" s="21"/>
      <c r="RH3" s="21"/>
      <c r="RI3" s="21"/>
      <c r="RJ3" s="21"/>
      <c r="RK3" s="21"/>
      <c r="RL3" s="21"/>
      <c r="RM3" s="21"/>
      <c r="RN3" s="21"/>
      <c r="RO3" s="21"/>
      <c r="RP3" s="21"/>
      <c r="RQ3" s="21"/>
      <c r="RR3" s="21"/>
      <c r="RS3" s="21"/>
      <c r="RT3" s="21"/>
      <c r="RU3" s="21"/>
      <c r="RV3" s="21"/>
      <c r="RW3" s="21"/>
      <c r="RX3" s="21"/>
      <c r="RY3" s="21"/>
      <c r="RZ3" s="21"/>
      <c r="SA3" s="21"/>
      <c r="SB3" s="21"/>
      <c r="SC3" s="21"/>
      <c r="SD3" s="21"/>
      <c r="SE3" s="21"/>
      <c r="SF3" s="21"/>
      <c r="SG3" s="21"/>
      <c r="SH3" s="21"/>
      <c r="SI3" s="21"/>
      <c r="SJ3" s="21"/>
      <c r="SK3" s="21"/>
      <c r="SL3" s="21"/>
      <c r="SM3" s="21"/>
      <c r="SN3" s="21"/>
      <c r="SO3" s="21"/>
      <c r="SP3" s="21"/>
      <c r="SQ3" s="21"/>
      <c r="SR3" s="21"/>
      <c r="SS3" s="21"/>
      <c r="ST3" s="21"/>
      <c r="SU3" s="21"/>
      <c r="SV3" s="21"/>
      <c r="SW3" s="21"/>
      <c r="SX3" s="21"/>
      <c r="SY3" s="21"/>
      <c r="SZ3" s="21"/>
      <c r="TA3" s="21"/>
      <c r="TB3" s="21"/>
      <c r="TC3" s="21"/>
      <c r="TD3" s="21"/>
      <c r="TE3" s="21"/>
      <c r="TF3" s="21"/>
      <c r="TG3" s="21"/>
      <c r="TH3" s="21"/>
      <c r="TI3" s="21"/>
      <c r="TJ3" s="21"/>
      <c r="TK3" s="21"/>
      <c r="TL3" s="21"/>
      <c r="TM3" s="21"/>
      <c r="TN3" s="21"/>
      <c r="TO3" s="21"/>
      <c r="TP3" s="21"/>
      <c r="TQ3" s="21"/>
      <c r="TR3" s="21"/>
      <c r="TS3" s="21"/>
      <c r="TT3" s="21"/>
      <c r="TU3" s="21"/>
      <c r="TV3" s="21"/>
      <c r="TW3" s="21"/>
      <c r="TX3" s="21"/>
      <c r="TY3" s="21"/>
      <c r="TZ3" s="21"/>
      <c r="UA3" s="21"/>
      <c r="UB3" s="21"/>
      <c r="UC3" s="21"/>
      <c r="UD3" s="21"/>
      <c r="UE3" s="21"/>
      <c r="UF3" s="21"/>
      <c r="UG3" s="21"/>
      <c r="UH3" s="21"/>
      <c r="UI3" s="21"/>
      <c r="UJ3" s="21"/>
      <c r="UK3" s="21"/>
      <c r="UL3" s="21"/>
      <c r="UM3" s="21"/>
      <c r="UN3" s="21"/>
      <c r="UO3" s="21"/>
      <c r="UP3" s="21"/>
      <c r="UQ3" s="21"/>
      <c r="UR3" s="21"/>
      <c r="US3" s="21"/>
      <c r="UT3" s="21"/>
      <c r="UU3" s="21"/>
      <c r="UV3" s="21"/>
      <c r="UW3" s="21"/>
      <c r="UX3" s="21"/>
      <c r="UY3" s="21"/>
      <c r="UZ3" s="21"/>
      <c r="VA3" s="21"/>
      <c r="VB3" s="21"/>
      <c r="VC3" s="21"/>
      <c r="VD3" s="21"/>
      <c r="VE3" s="21"/>
      <c r="VF3" s="21"/>
      <c r="VG3" s="21"/>
      <c r="VH3" s="21"/>
      <c r="VI3" s="21"/>
      <c r="VJ3" s="21"/>
      <c r="VK3" s="21"/>
      <c r="VL3" s="21"/>
      <c r="VM3" s="21"/>
      <c r="VN3" s="21"/>
      <c r="VO3" s="21"/>
      <c r="VP3" s="21"/>
      <c r="VQ3" s="21"/>
      <c r="VR3" s="21"/>
      <c r="VS3" s="21"/>
      <c r="VT3" s="21"/>
      <c r="VU3" s="21"/>
      <c r="VV3" s="21"/>
      <c r="VW3" s="21"/>
      <c r="VX3" s="21"/>
      <c r="VY3" s="21"/>
      <c r="VZ3" s="21"/>
      <c r="WA3" s="21"/>
      <c r="WB3" s="21"/>
      <c r="WC3" s="21"/>
      <c r="WD3" s="21"/>
      <c r="WE3" s="21"/>
      <c r="WF3" s="21"/>
      <c r="WG3" s="21"/>
      <c r="WH3" s="21"/>
      <c r="WI3" s="21"/>
      <c r="WJ3" s="21"/>
      <c r="WK3" s="21"/>
      <c r="WL3" s="21"/>
      <c r="WM3" s="21"/>
      <c r="WN3" s="21"/>
      <c r="WO3" s="21"/>
      <c r="WP3" s="21"/>
      <c r="WQ3" s="21"/>
      <c r="WR3" s="21"/>
      <c r="WS3" s="21"/>
      <c r="WT3" s="21"/>
      <c r="WU3" s="21"/>
      <c r="WV3" s="21"/>
      <c r="WW3" s="21"/>
      <c r="WX3" s="21"/>
      <c r="WY3" s="21"/>
      <c r="WZ3" s="21"/>
      <c r="XA3" s="21"/>
      <c r="XB3" s="21"/>
      <c r="XC3" s="21"/>
      <c r="XD3" s="21"/>
      <c r="XE3" s="21"/>
      <c r="XF3" s="21"/>
      <c r="XG3" s="21"/>
      <c r="XH3" s="21"/>
      <c r="XI3" s="21"/>
      <c r="XJ3" s="21"/>
      <c r="XK3" s="21"/>
      <c r="XL3" s="21"/>
      <c r="XM3" s="21"/>
      <c r="XN3" s="21"/>
      <c r="XO3" s="21"/>
      <c r="XP3" s="21"/>
      <c r="XQ3" s="21"/>
      <c r="XR3" s="21"/>
      <c r="XS3" s="21"/>
      <c r="XT3" s="21"/>
      <c r="XU3" s="21"/>
      <c r="XV3" s="21"/>
      <c r="XW3" s="21"/>
      <c r="XX3" s="21"/>
      <c r="XY3" s="21"/>
      <c r="XZ3" s="21"/>
      <c r="YA3" s="21"/>
      <c r="YB3" s="21"/>
      <c r="YC3" s="21"/>
      <c r="YD3" s="21"/>
      <c r="YE3" s="21"/>
      <c r="YF3" s="21"/>
      <c r="YG3" s="21"/>
      <c r="YH3" s="21"/>
      <c r="YI3" s="21"/>
      <c r="YJ3" s="21"/>
      <c r="YK3" s="21"/>
      <c r="YL3" s="21"/>
      <c r="YM3" s="21"/>
      <c r="YN3" s="21"/>
      <c r="YO3" s="21"/>
      <c r="YP3" s="21"/>
      <c r="YQ3" s="21"/>
      <c r="YR3" s="21"/>
      <c r="YS3" s="21"/>
      <c r="YT3" s="21"/>
      <c r="YU3" s="21"/>
      <c r="YV3" s="21"/>
      <c r="YW3" s="21"/>
      <c r="YX3" s="21"/>
      <c r="YY3" s="21"/>
      <c r="YZ3" s="21"/>
      <c r="ZA3" s="21"/>
      <c r="ZB3" s="21"/>
      <c r="ZC3" s="21"/>
      <c r="ZD3" s="21"/>
      <c r="ZE3" s="21"/>
      <c r="ZF3" s="21"/>
      <c r="ZG3" s="21"/>
      <c r="ZH3" s="21"/>
      <c r="ZI3" s="21"/>
      <c r="ZJ3" s="21"/>
      <c r="ZK3" s="21"/>
      <c r="ZL3" s="21"/>
      <c r="ZM3" s="21"/>
      <c r="ZN3" s="21"/>
      <c r="ZO3" s="21"/>
      <c r="ZP3" s="21"/>
      <c r="ZQ3" s="21"/>
      <c r="ZR3" s="21"/>
      <c r="ZS3" s="21"/>
      <c r="ZT3" s="21"/>
      <c r="ZU3" s="21"/>
      <c r="ZV3" s="21"/>
      <c r="ZW3" s="21"/>
      <c r="ZX3" s="21"/>
      <c r="ZY3" s="21"/>
      <c r="ZZ3" s="21"/>
      <c r="AAA3" s="21"/>
      <c r="AAB3" s="21"/>
      <c r="AAC3" s="21"/>
      <c r="AAD3" s="21"/>
      <c r="AAE3" s="21"/>
      <c r="AAF3" s="21"/>
      <c r="AAG3" s="21"/>
      <c r="AAH3" s="21"/>
      <c r="AAI3" s="21"/>
      <c r="AAJ3" s="21"/>
      <c r="AAK3" s="21"/>
      <c r="AAL3" s="21"/>
      <c r="AAM3" s="21"/>
      <c r="AAN3" s="21"/>
      <c r="AAO3" s="21"/>
      <c r="AAP3" s="21"/>
      <c r="AAQ3" s="21"/>
      <c r="AAR3" s="21"/>
      <c r="AAS3" s="21"/>
      <c r="AAT3" s="21"/>
      <c r="AAU3" s="21"/>
      <c r="AAV3" s="21"/>
      <c r="AAW3" s="21"/>
      <c r="AAX3" s="21"/>
      <c r="AAY3" s="21"/>
      <c r="AAZ3" s="21"/>
      <c r="ABA3" s="21"/>
      <c r="ABB3" s="21"/>
      <c r="ABC3" s="21"/>
      <c r="ABD3" s="21"/>
      <c r="ABE3" s="21"/>
      <c r="ABF3" s="21"/>
      <c r="ABG3" s="21"/>
      <c r="ABH3" s="21"/>
      <c r="ABI3" s="21"/>
      <c r="ABJ3" s="21"/>
      <c r="ABK3" s="21"/>
      <c r="ABL3" s="21"/>
      <c r="ABM3" s="21"/>
      <c r="ABN3" s="21"/>
      <c r="ABO3" s="21"/>
      <c r="ABP3" s="21"/>
      <c r="ABQ3" s="21"/>
      <c r="ABR3" s="21"/>
      <c r="ABS3" s="21"/>
      <c r="ABT3" s="21"/>
      <c r="ABU3" s="21"/>
      <c r="ABV3" s="21"/>
      <c r="ABW3" s="21"/>
      <c r="ABX3" s="21"/>
      <c r="ABY3" s="21"/>
      <c r="ABZ3" s="21"/>
      <c r="ACA3" s="21"/>
      <c r="ACB3" s="21"/>
      <c r="ACC3" s="21"/>
      <c r="ACD3" s="21"/>
      <c r="ACE3" s="21"/>
      <c r="ACF3" s="21"/>
      <c r="ACG3" s="21"/>
      <c r="ACH3" s="21"/>
      <c r="ACI3" s="21"/>
      <c r="ACJ3" s="21"/>
      <c r="ACK3" s="21"/>
      <c r="ACL3" s="21"/>
      <c r="ACM3" s="21"/>
      <c r="ACN3" s="21"/>
      <c r="ACO3" s="21"/>
      <c r="ACP3" s="21"/>
      <c r="ACQ3" s="21"/>
      <c r="ACR3" s="21"/>
      <c r="ACS3" s="21"/>
      <c r="ACT3" s="21"/>
      <c r="ACU3" s="21"/>
      <c r="ACV3" s="21"/>
      <c r="ACW3" s="21"/>
      <c r="ACX3" s="21"/>
      <c r="ACY3" s="21"/>
      <c r="ACZ3" s="21"/>
      <c r="ADA3" s="21"/>
      <c r="ADB3" s="21"/>
      <c r="ADC3" s="21"/>
      <c r="ADD3" s="21"/>
      <c r="ADE3" s="21"/>
      <c r="ADF3" s="21"/>
      <c r="ADG3" s="21"/>
      <c r="ADH3" s="21"/>
      <c r="ADI3" s="21"/>
      <c r="ADJ3" s="21"/>
      <c r="ADK3" s="21"/>
      <c r="ADL3" s="21"/>
      <c r="ADM3" s="21"/>
      <c r="ADN3" s="21"/>
      <c r="ADO3" s="21"/>
      <c r="ADP3" s="21"/>
      <c r="ADQ3" s="21"/>
      <c r="ADR3" s="21"/>
      <c r="ADS3" s="21"/>
      <c r="ADT3" s="21"/>
      <c r="ADU3" s="21"/>
      <c r="ADV3" s="21"/>
      <c r="ADW3" s="21"/>
      <c r="ADX3" s="21"/>
      <c r="ADY3" s="21"/>
      <c r="ADZ3" s="21"/>
      <c r="AEA3" s="21"/>
      <c r="AEB3" s="21"/>
      <c r="AEC3" s="21"/>
      <c r="AED3" s="21"/>
      <c r="AEE3" s="21"/>
      <c r="AEF3" s="21"/>
      <c r="AEG3" s="21"/>
      <c r="AEH3" s="21"/>
      <c r="AEI3" s="21"/>
      <c r="AEJ3" s="21"/>
      <c r="AEK3" s="21"/>
      <c r="AEL3" s="21"/>
      <c r="AEM3" s="21"/>
      <c r="AEN3" s="21"/>
      <c r="AEO3" s="21"/>
      <c r="AEP3" s="21"/>
      <c r="AEQ3" s="21"/>
      <c r="AER3" s="21"/>
      <c r="AES3" s="21"/>
      <c r="AET3" s="21"/>
      <c r="AEU3" s="21"/>
      <c r="AEV3" s="21"/>
      <c r="AEW3" s="21"/>
      <c r="AEX3" s="21"/>
      <c r="AEY3" s="21"/>
      <c r="AEZ3" s="21"/>
      <c r="AFA3" s="21"/>
      <c r="AFB3" s="21"/>
      <c r="AFC3" s="21"/>
      <c r="AFD3" s="21"/>
      <c r="AFE3" s="21"/>
      <c r="AFF3" s="21"/>
      <c r="AFG3" s="21"/>
      <c r="AFH3" s="21"/>
      <c r="AFI3" s="21"/>
      <c r="AFJ3" s="21"/>
      <c r="AFK3" s="21"/>
      <c r="AFL3" s="21"/>
      <c r="AFM3" s="21"/>
      <c r="AFN3" s="21"/>
      <c r="AFO3" s="21"/>
      <c r="AFP3" s="21"/>
      <c r="AFQ3" s="21"/>
      <c r="AFR3" s="21"/>
      <c r="AFS3" s="21"/>
      <c r="AFT3" s="21"/>
      <c r="AFU3" s="21"/>
      <c r="AFV3" s="21"/>
      <c r="AFW3" s="21"/>
      <c r="AFX3" s="21"/>
      <c r="AFY3" s="21"/>
      <c r="AFZ3" s="21"/>
      <c r="AGA3" s="21"/>
      <c r="AGB3" s="21"/>
      <c r="AGC3" s="21"/>
      <c r="AGD3" s="21"/>
      <c r="AGE3" s="21"/>
      <c r="AGF3" s="21"/>
      <c r="AGG3" s="21"/>
      <c r="AGH3" s="21"/>
      <c r="AGI3" s="21"/>
      <c r="AGJ3" s="21"/>
      <c r="AGK3" s="21"/>
      <c r="AGL3" s="21"/>
      <c r="AGM3" s="21"/>
      <c r="AGN3" s="21"/>
      <c r="AGO3" s="21"/>
      <c r="AGP3" s="21"/>
      <c r="AGQ3" s="21"/>
      <c r="AGR3" s="21"/>
      <c r="AGS3" s="21"/>
      <c r="AGT3" s="21"/>
      <c r="AGU3" s="21"/>
      <c r="AGV3" s="21"/>
      <c r="AGW3" s="21"/>
      <c r="AGX3" s="21"/>
      <c r="AGY3" s="21"/>
      <c r="AGZ3" s="21"/>
      <c r="AHA3" s="21"/>
      <c r="AHB3" s="21"/>
      <c r="AHC3" s="21"/>
      <c r="AHD3" s="21"/>
      <c r="AHE3" s="21"/>
      <c r="AHF3" s="21"/>
      <c r="AHG3" s="21"/>
      <c r="AHH3" s="21"/>
      <c r="AHI3" s="21"/>
      <c r="AHJ3" s="21"/>
      <c r="AHK3" s="21"/>
      <c r="AHL3" s="21"/>
      <c r="AHM3" s="21"/>
      <c r="AHN3" s="21"/>
      <c r="AHO3" s="21"/>
      <c r="AHP3" s="21"/>
      <c r="AHQ3" s="21"/>
      <c r="AHR3" s="21"/>
      <c r="AHS3" s="21"/>
      <c r="AHT3" s="21"/>
      <c r="AHU3" s="21"/>
      <c r="AHV3" s="21"/>
      <c r="AHW3" s="21"/>
      <c r="AHX3" s="21"/>
      <c r="AHY3" s="21"/>
      <c r="AHZ3" s="21"/>
      <c r="AIA3" s="21"/>
      <c r="AIB3" s="21"/>
      <c r="AIC3" s="21"/>
      <c r="AID3" s="21"/>
      <c r="AIE3" s="21"/>
      <c r="AIF3" s="21"/>
      <c r="AIG3" s="21"/>
      <c r="AIH3" s="21"/>
      <c r="AII3" s="21"/>
      <c r="AIJ3" s="21"/>
      <c r="AIK3" s="21"/>
      <c r="AIL3" s="21"/>
      <c r="AIM3" s="21"/>
      <c r="AIN3" s="21"/>
      <c r="AIO3" s="21"/>
      <c r="AIP3" s="21"/>
      <c r="AIQ3" s="21"/>
      <c r="AIR3" s="21"/>
      <c r="AIS3" s="21"/>
      <c r="AIT3" s="21"/>
      <c r="AIU3" s="21"/>
      <c r="AIV3" s="21"/>
      <c r="AIW3" s="21"/>
      <c r="AIX3" s="21"/>
      <c r="AIY3" s="21"/>
      <c r="AIZ3" s="21"/>
      <c r="AJA3" s="21"/>
      <c r="AJB3" s="21"/>
      <c r="AJC3" s="21"/>
      <c r="AJD3" s="21"/>
      <c r="AJE3" s="21"/>
      <c r="AJF3" s="21"/>
      <c r="AJG3" s="21"/>
      <c r="AJH3" s="21"/>
      <c r="AJI3" s="21"/>
      <c r="AJJ3" s="21"/>
      <c r="AJK3" s="21"/>
      <c r="AJL3" s="21"/>
      <c r="AJM3" s="21"/>
      <c r="AJN3" s="21"/>
      <c r="AJO3" s="21"/>
      <c r="AJP3" s="21"/>
      <c r="AJQ3" s="21"/>
      <c r="AJR3" s="21"/>
      <c r="AJS3" s="21"/>
      <c r="AJT3" s="21"/>
      <c r="AJU3" s="21"/>
      <c r="AJV3" s="21"/>
      <c r="AJW3" s="21"/>
      <c r="AJX3" s="21"/>
      <c r="AJY3" s="21"/>
      <c r="AJZ3" s="21"/>
      <c r="AKA3" s="21"/>
      <c r="AKB3" s="21"/>
      <c r="AKC3" s="21"/>
      <c r="AKD3" s="21"/>
      <c r="AKE3" s="21"/>
      <c r="AKF3" s="21"/>
      <c r="AKG3" s="21"/>
      <c r="AKH3" s="21"/>
      <c r="AKI3" s="21"/>
      <c r="AKJ3" s="21"/>
      <c r="AKK3" s="21"/>
      <c r="AKL3" s="21"/>
      <c r="AKM3" s="21"/>
      <c r="AKN3" s="21"/>
      <c r="AKO3" s="21"/>
      <c r="AKP3" s="21"/>
      <c r="AKQ3" s="21"/>
      <c r="AKR3" s="21"/>
      <c r="AKS3" s="21"/>
      <c r="AKT3" s="21"/>
      <c r="AKU3" s="21"/>
      <c r="AKV3" s="21"/>
      <c r="AKW3" s="21"/>
      <c r="AKX3" s="21"/>
      <c r="AKY3" s="21"/>
      <c r="AKZ3" s="21"/>
      <c r="ALA3" s="21"/>
      <c r="ALB3" s="21"/>
      <c r="ALC3" s="21"/>
      <c r="ALD3" s="21"/>
      <c r="ALE3" s="21"/>
      <c r="ALF3" s="21"/>
      <c r="ALG3" s="21"/>
      <c r="ALH3" s="21"/>
      <c r="ALI3" s="21"/>
      <c r="ALJ3" s="21"/>
      <c r="ALK3" s="21"/>
      <c r="ALL3" s="21"/>
      <c r="ALM3" s="21"/>
      <c r="ALN3" s="21"/>
      <c r="ALO3" s="21"/>
      <c r="ALP3" s="21"/>
      <c r="ALQ3" s="21"/>
      <c r="ALR3" s="21"/>
      <c r="ALS3" s="21"/>
      <c r="ALT3" s="21"/>
      <c r="ALU3" s="21"/>
      <c r="ALV3" s="21"/>
      <c r="ALW3" s="21"/>
      <c r="ALX3" s="21"/>
      <c r="ALY3" s="21"/>
      <c r="ALZ3" s="21"/>
      <c r="AMA3" s="21"/>
      <c r="AMB3" s="21"/>
      <c r="AMC3" s="21"/>
      <c r="AMD3" s="21"/>
      <c r="AME3" s="21"/>
      <c r="AMF3" s="21"/>
      <c r="AMG3" s="21"/>
      <c r="AMH3" s="21"/>
      <c r="AMI3" s="21"/>
      <c r="AMJ3" s="21"/>
      <c r="AMK3" s="21"/>
      <c r="AML3" s="21"/>
      <c r="AMM3" s="21"/>
      <c r="AMN3" s="21"/>
      <c r="AMO3" s="21"/>
      <c r="AMP3" s="21"/>
      <c r="AMQ3" s="21"/>
      <c r="AMR3" s="21"/>
      <c r="AMS3" s="21"/>
      <c r="AMT3" s="21"/>
      <c r="AMU3" s="21"/>
      <c r="AMV3" s="21"/>
      <c r="AMW3" s="21"/>
      <c r="AMX3" s="21"/>
      <c r="AMY3" s="21"/>
      <c r="AMZ3" s="21"/>
      <c r="ANA3" s="21"/>
      <c r="ANB3" s="21"/>
      <c r="ANC3" s="21"/>
      <c r="AND3" s="21"/>
      <c r="ANE3" s="21"/>
      <c r="ANF3" s="21"/>
      <c r="ANG3" s="21"/>
      <c r="ANH3" s="21"/>
      <c r="ANI3" s="21"/>
      <c r="ANJ3" s="21"/>
      <c r="ANK3" s="21"/>
      <c r="ANL3" s="21"/>
      <c r="ANM3" s="21"/>
      <c r="ANN3" s="21"/>
      <c r="ANO3" s="21"/>
      <c r="ANP3" s="21"/>
      <c r="ANQ3" s="21"/>
      <c r="ANR3" s="21"/>
      <c r="ANS3" s="21"/>
      <c r="ANT3" s="21"/>
      <c r="ANU3" s="21"/>
      <c r="ANV3" s="21"/>
      <c r="ANW3" s="21"/>
      <c r="ANX3" s="21"/>
      <c r="ANY3" s="21"/>
      <c r="ANZ3" s="21"/>
      <c r="AOA3" s="21"/>
      <c r="AOB3" s="21"/>
      <c r="AOC3" s="21"/>
      <c r="AOD3" s="21"/>
      <c r="AOE3" s="21"/>
      <c r="AOF3" s="21"/>
      <c r="AOG3" s="21"/>
      <c r="AOH3" s="21"/>
      <c r="AOI3" s="21"/>
      <c r="AOJ3" s="21"/>
      <c r="AOK3" s="21"/>
      <c r="AOL3" s="21"/>
      <c r="AOM3" s="21"/>
      <c r="AON3" s="21"/>
      <c r="AOO3" s="21"/>
      <c r="AOP3" s="21"/>
      <c r="AOQ3" s="21"/>
      <c r="AOR3" s="21"/>
      <c r="AOS3" s="21"/>
      <c r="AOT3" s="21"/>
      <c r="AOU3" s="21"/>
      <c r="AOV3" s="21"/>
      <c r="AOW3" s="21"/>
      <c r="AOX3" s="21"/>
      <c r="AOY3" s="21"/>
      <c r="AOZ3" s="21"/>
      <c r="APA3" s="21"/>
      <c r="APB3" s="21"/>
      <c r="APC3" s="21"/>
      <c r="APD3" s="21"/>
      <c r="APE3" s="21"/>
      <c r="APF3" s="21"/>
      <c r="APG3" s="21"/>
      <c r="APH3" s="21"/>
      <c r="API3" s="21"/>
      <c r="APJ3" s="21"/>
      <c r="APK3" s="21"/>
      <c r="APL3" s="21"/>
      <c r="APM3" s="21"/>
      <c r="APN3" s="21"/>
      <c r="APO3" s="21"/>
      <c r="APP3" s="21"/>
      <c r="APQ3" s="21"/>
      <c r="APR3" s="21"/>
      <c r="APS3" s="21"/>
      <c r="APT3" s="21"/>
      <c r="APU3" s="21"/>
      <c r="APV3" s="21"/>
      <c r="APW3" s="21"/>
      <c r="APX3" s="21"/>
      <c r="APY3" s="21"/>
      <c r="APZ3" s="21"/>
      <c r="AQA3" s="21"/>
      <c r="AQB3" s="21"/>
      <c r="AQC3" s="21"/>
      <c r="AQD3" s="21"/>
      <c r="AQE3" s="21"/>
      <c r="AQF3" s="21"/>
      <c r="AQG3" s="21"/>
      <c r="AQH3" s="21"/>
      <c r="AQI3" s="21"/>
      <c r="AQJ3" s="21"/>
      <c r="AQK3" s="21"/>
      <c r="AQL3" s="21"/>
      <c r="AQM3" s="21"/>
      <c r="AQN3" s="21"/>
      <c r="AQO3" s="21"/>
      <c r="AQP3" s="21"/>
      <c r="AQQ3" s="21"/>
      <c r="AQR3" s="21"/>
      <c r="AQS3" s="21"/>
      <c r="AQT3" s="21"/>
      <c r="AQU3" s="21"/>
      <c r="AQV3" s="21"/>
      <c r="AQW3" s="21"/>
      <c r="AQX3" s="21"/>
      <c r="AQY3" s="21"/>
      <c r="AQZ3" s="21"/>
      <c r="ARA3" s="21"/>
      <c r="ARB3" s="21"/>
      <c r="ARC3" s="21"/>
      <c r="ARD3" s="21"/>
      <c r="ARE3" s="21"/>
      <c r="ARF3" s="21"/>
      <c r="ARG3" s="21"/>
      <c r="ARH3" s="21"/>
      <c r="ARI3" s="21"/>
      <c r="ARJ3" s="21"/>
      <c r="ARK3" s="21"/>
      <c r="ARL3" s="21"/>
      <c r="ARM3" s="21"/>
      <c r="ARN3" s="21"/>
      <c r="ARO3" s="21"/>
      <c r="ARP3" s="21"/>
      <c r="ARQ3" s="21"/>
      <c r="ARR3" s="21"/>
      <c r="ARS3" s="21"/>
      <c r="ART3" s="21"/>
      <c r="ARU3" s="21"/>
      <c r="ARV3" s="21"/>
      <c r="ARW3" s="21"/>
      <c r="ARX3" s="21"/>
      <c r="ARY3" s="21"/>
      <c r="ARZ3" s="21"/>
      <c r="ASA3" s="21"/>
      <c r="ASB3" s="21"/>
      <c r="ASC3" s="21"/>
      <c r="ASD3" s="21"/>
      <c r="ASE3" s="21"/>
      <c r="ASF3" s="21"/>
      <c r="ASG3" s="21"/>
      <c r="ASH3" s="21"/>
      <c r="ASI3" s="21"/>
      <c r="ASJ3" s="21"/>
      <c r="ASK3" s="21"/>
      <c r="ASL3" s="21"/>
      <c r="ASM3" s="21"/>
      <c r="ASN3" s="21"/>
      <c r="ASO3" s="21"/>
      <c r="ASP3" s="21"/>
      <c r="ASQ3" s="21"/>
      <c r="ASR3" s="21"/>
      <c r="ASS3" s="21"/>
      <c r="AST3" s="21"/>
      <c r="ASU3" s="21"/>
      <c r="ASV3" s="21"/>
      <c r="ASW3" s="21"/>
      <c r="ASX3" s="21"/>
      <c r="ASY3" s="21"/>
      <c r="ASZ3" s="21"/>
      <c r="ATA3" s="21"/>
      <c r="ATB3" s="21"/>
      <c r="ATC3" s="21"/>
      <c r="ATD3" s="21"/>
      <c r="ATE3" s="21"/>
      <c r="ATF3" s="21"/>
      <c r="ATG3" s="21"/>
      <c r="ATH3" s="21"/>
      <c r="ATI3" s="21"/>
      <c r="ATJ3" s="21"/>
      <c r="ATK3" s="21"/>
      <c r="ATL3" s="21"/>
      <c r="ATM3" s="21"/>
      <c r="ATN3" s="21"/>
      <c r="ATO3" s="21"/>
      <c r="ATP3" s="21"/>
      <c r="ATQ3" s="21"/>
      <c r="ATR3" s="21"/>
      <c r="ATS3" s="21"/>
      <c r="ATT3" s="21"/>
      <c r="ATU3" s="21"/>
      <c r="ATV3" s="21"/>
      <c r="ATW3" s="21"/>
      <c r="ATX3" s="21"/>
      <c r="ATY3" s="21"/>
      <c r="ATZ3" s="21"/>
      <c r="AUA3" s="21"/>
      <c r="AUB3" s="21"/>
      <c r="AUC3" s="21"/>
      <c r="AUD3" s="21"/>
      <c r="AUE3" s="21"/>
      <c r="AUF3" s="21"/>
      <c r="AUG3" s="21"/>
      <c r="AUH3" s="21"/>
      <c r="AUI3" s="21"/>
      <c r="AUJ3" s="21"/>
      <c r="AUK3" s="21"/>
      <c r="AUL3" s="21"/>
      <c r="AUM3" s="21"/>
      <c r="AUN3" s="21"/>
      <c r="AUO3" s="21"/>
      <c r="AUP3" s="21"/>
      <c r="AUQ3" s="21"/>
      <c r="AUR3" s="21"/>
      <c r="AUS3" s="21"/>
      <c r="AUT3" s="21"/>
      <c r="AUU3" s="21"/>
      <c r="AUV3" s="21"/>
      <c r="AUW3" s="21"/>
      <c r="AUX3" s="21"/>
      <c r="AUY3" s="21"/>
      <c r="AUZ3" s="21"/>
      <c r="AVA3" s="21"/>
      <c r="AVB3" s="21"/>
      <c r="AVC3" s="21"/>
      <c r="AVD3" s="21"/>
      <c r="AVE3" s="21"/>
      <c r="AVF3" s="21"/>
      <c r="AVG3" s="21"/>
      <c r="AVH3" s="21"/>
      <c r="AVI3" s="21"/>
      <c r="AVJ3" s="21"/>
      <c r="AVK3" s="21"/>
      <c r="AVL3" s="21"/>
      <c r="AVM3" s="21"/>
      <c r="AVN3" s="21"/>
      <c r="AVO3" s="21"/>
      <c r="AVP3" s="21"/>
      <c r="AVQ3" s="21"/>
      <c r="AVR3" s="21"/>
      <c r="AVS3" s="21"/>
      <c r="AVT3" s="21"/>
      <c r="AVU3" s="21"/>
      <c r="AVV3" s="21"/>
      <c r="AVW3" s="21"/>
      <c r="AVX3" s="21"/>
      <c r="AVY3" s="21"/>
      <c r="AVZ3" s="21"/>
      <c r="AWA3" s="21"/>
      <c r="AWB3" s="21"/>
      <c r="AWC3" s="21"/>
      <c r="AWD3" s="21"/>
      <c r="AWE3" s="21"/>
      <c r="AWF3" s="21"/>
      <c r="AWG3" s="21"/>
      <c r="AWH3" s="21"/>
      <c r="AWI3" s="21"/>
      <c r="AWJ3" s="21"/>
      <c r="AWK3" s="21"/>
      <c r="AWL3" s="21"/>
      <c r="AWM3" s="21"/>
      <c r="AWN3" s="21"/>
      <c r="AWO3" s="21"/>
      <c r="AWP3" s="21"/>
      <c r="AWQ3" s="21"/>
      <c r="AWR3" s="21"/>
      <c r="AWS3" s="21"/>
      <c r="AWT3" s="21"/>
      <c r="AWU3" s="21"/>
      <c r="AWV3" s="21"/>
      <c r="AWW3" s="21"/>
      <c r="AWX3" s="21"/>
      <c r="AWY3" s="21"/>
      <c r="AWZ3" s="21"/>
      <c r="AXA3" s="21"/>
      <c r="AXB3" s="21"/>
      <c r="AXC3" s="21"/>
      <c r="AXD3" s="21"/>
      <c r="AXE3" s="21"/>
      <c r="AXF3" s="21"/>
      <c r="AXG3" s="21"/>
      <c r="AXH3" s="21"/>
      <c r="AXI3" s="21"/>
      <c r="AXJ3" s="21"/>
      <c r="AXK3" s="21"/>
      <c r="AXL3" s="21"/>
      <c r="AXM3" s="21"/>
      <c r="AXN3" s="21"/>
      <c r="AXO3" s="21"/>
      <c r="AXP3" s="21"/>
      <c r="AXQ3" s="21"/>
      <c r="AXR3" s="21"/>
      <c r="AXS3" s="21"/>
      <c r="AXT3" s="21"/>
      <c r="AXU3" s="21"/>
      <c r="AXV3" s="21"/>
      <c r="AXW3" s="21"/>
      <c r="AXX3" s="21"/>
      <c r="AXY3" s="21"/>
      <c r="AXZ3" s="21"/>
      <c r="AYA3" s="21"/>
      <c r="AYB3" s="21"/>
      <c r="AYC3" s="21"/>
      <c r="AYD3" s="21"/>
      <c r="AYE3" s="21"/>
      <c r="AYF3" s="21"/>
      <c r="AYG3" s="21"/>
      <c r="AYH3" s="21"/>
      <c r="AYI3" s="21"/>
      <c r="AYJ3" s="21"/>
      <c r="AYK3" s="21"/>
      <c r="AYL3" s="21"/>
      <c r="AYM3" s="21"/>
      <c r="AYN3" s="21"/>
      <c r="AYO3" s="21"/>
      <c r="AYP3" s="21"/>
      <c r="AYQ3" s="21"/>
      <c r="AYR3" s="21"/>
      <c r="AYS3" s="21"/>
      <c r="AYT3" s="21"/>
      <c r="AYU3" s="21"/>
      <c r="AYV3" s="21"/>
      <c r="AYW3" s="21"/>
      <c r="AYX3" s="21"/>
      <c r="AYY3" s="21"/>
      <c r="AYZ3" s="21"/>
      <c r="AZA3" s="21"/>
      <c r="AZB3" s="21"/>
      <c r="AZC3" s="21"/>
      <c r="AZD3" s="21"/>
      <c r="AZE3" s="21"/>
      <c r="AZF3" s="21"/>
      <c r="AZG3" s="21"/>
      <c r="AZH3" s="21"/>
      <c r="AZI3" s="21"/>
      <c r="AZJ3" s="21"/>
      <c r="AZK3" s="21"/>
      <c r="AZL3" s="21"/>
      <c r="AZM3" s="21"/>
      <c r="AZN3" s="21"/>
      <c r="AZO3" s="21"/>
      <c r="AZP3" s="21"/>
      <c r="AZQ3" s="21"/>
      <c r="AZR3" s="21"/>
      <c r="AZS3" s="21"/>
      <c r="AZT3" s="21"/>
      <c r="AZU3" s="21"/>
      <c r="AZV3" s="21"/>
      <c r="AZW3" s="21"/>
      <c r="AZX3" s="21"/>
      <c r="AZY3" s="21"/>
      <c r="AZZ3" s="21"/>
      <c r="BAA3" s="21"/>
      <c r="BAB3" s="21"/>
      <c r="BAC3" s="21"/>
      <c r="BAD3" s="21"/>
      <c r="BAE3" s="21"/>
      <c r="BAF3" s="21"/>
      <c r="BAG3" s="21"/>
      <c r="BAH3" s="21"/>
      <c r="BAI3" s="21"/>
      <c r="BAJ3" s="21"/>
      <c r="BAK3" s="21"/>
      <c r="BAL3" s="21"/>
      <c r="BAM3" s="21"/>
      <c r="BAN3" s="21"/>
      <c r="BAO3" s="21"/>
      <c r="BAP3" s="21"/>
      <c r="BAQ3" s="21"/>
      <c r="BAR3" s="21"/>
      <c r="BAS3" s="21"/>
      <c r="BAT3" s="21"/>
      <c r="BAU3" s="21"/>
      <c r="BAV3" s="21"/>
      <c r="BAW3" s="21"/>
      <c r="BAX3" s="21"/>
      <c r="BAY3" s="21"/>
      <c r="BAZ3" s="21"/>
      <c r="BBA3" s="21"/>
      <c r="BBB3" s="21"/>
      <c r="BBC3" s="21"/>
      <c r="BBD3" s="21"/>
      <c r="BBE3" s="21"/>
      <c r="BBF3" s="21"/>
      <c r="BBG3" s="21"/>
      <c r="BBH3" s="21"/>
      <c r="BBI3" s="21"/>
      <c r="BBJ3" s="21"/>
      <c r="BBK3" s="21"/>
      <c r="BBL3" s="21"/>
      <c r="BBM3" s="21"/>
      <c r="BBN3" s="21"/>
      <c r="BBO3" s="21"/>
      <c r="BBP3" s="21"/>
      <c r="BBQ3" s="21"/>
      <c r="BBR3" s="21"/>
      <c r="BBS3" s="21"/>
      <c r="BBT3" s="21"/>
      <c r="BBU3" s="21"/>
      <c r="BBV3" s="21"/>
      <c r="BBW3" s="21"/>
      <c r="BBX3" s="21"/>
      <c r="BBY3" s="21"/>
      <c r="BBZ3" s="21"/>
      <c r="BCA3" s="21"/>
      <c r="BCB3" s="21"/>
      <c r="BCC3" s="21"/>
      <c r="BCD3" s="21"/>
      <c r="BCE3" s="21"/>
      <c r="BCF3" s="21"/>
      <c r="BCG3" s="21"/>
      <c r="BCH3" s="21"/>
      <c r="BCI3" s="21"/>
      <c r="BCJ3" s="21"/>
      <c r="BCK3" s="21"/>
      <c r="BCL3" s="21"/>
      <c r="BCM3" s="21"/>
      <c r="BCN3" s="21"/>
      <c r="BCO3" s="21"/>
      <c r="BCP3" s="21"/>
      <c r="BCQ3" s="21"/>
      <c r="BCR3" s="21"/>
      <c r="BCS3" s="21"/>
      <c r="BCT3" s="21"/>
      <c r="BCU3" s="21"/>
      <c r="BCV3" s="21"/>
      <c r="BCW3" s="21"/>
      <c r="BCX3" s="21"/>
      <c r="BCY3" s="21"/>
      <c r="BCZ3" s="21"/>
      <c r="BDA3" s="21"/>
      <c r="BDB3" s="21"/>
      <c r="BDC3" s="21"/>
      <c r="BDD3" s="21"/>
      <c r="BDE3" s="21"/>
      <c r="BDF3" s="21"/>
      <c r="BDG3" s="21"/>
      <c r="BDH3" s="21"/>
      <c r="BDI3" s="21"/>
      <c r="BDJ3" s="21"/>
      <c r="BDK3" s="21"/>
      <c r="BDL3" s="21"/>
      <c r="BDM3" s="21"/>
      <c r="BDN3" s="21"/>
      <c r="BDO3" s="21"/>
      <c r="BDP3" s="21"/>
      <c r="BDQ3" s="21"/>
      <c r="BDR3" s="21"/>
      <c r="BDS3" s="21"/>
      <c r="BDT3" s="21"/>
      <c r="BDU3" s="21"/>
      <c r="BDV3" s="21"/>
      <c r="BDW3" s="21"/>
      <c r="BDX3" s="21"/>
      <c r="BDY3" s="21"/>
      <c r="BDZ3" s="21"/>
    </row>
    <row r="4" spans="1:1482" x14ac:dyDescent="0.25">
      <c r="A4" s="13"/>
      <c r="B4" s="13"/>
      <c r="C4" s="13"/>
      <c r="D4" s="13"/>
      <c r="E4" s="13"/>
      <c r="F4" s="17" t="s">
        <v>80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482" x14ac:dyDescent="0.25">
      <c r="A5" s="13"/>
      <c r="B5" s="13"/>
      <c r="C5" s="13"/>
      <c r="D5" s="13"/>
      <c r="E5" s="13"/>
      <c r="F5" s="17" t="s">
        <v>81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482" x14ac:dyDescent="0.25">
      <c r="A6" s="13"/>
      <c r="B6" s="13"/>
      <c r="C6" s="13"/>
      <c r="D6" s="13"/>
      <c r="E6" s="13"/>
      <c r="F6" s="17" t="s">
        <v>82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482" x14ac:dyDescent="0.25">
      <c r="A7" s="13"/>
      <c r="B7" s="13"/>
      <c r="C7" s="13"/>
      <c r="D7" s="13"/>
      <c r="E7" s="13"/>
      <c r="F7" s="17" t="s">
        <v>83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482" x14ac:dyDescent="0.25">
      <c r="A8" s="13"/>
      <c r="B8" s="13"/>
      <c r="C8" s="13"/>
      <c r="D8" s="13"/>
      <c r="E8" s="13"/>
      <c r="F8" s="17" t="s">
        <v>84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482" x14ac:dyDescent="0.25">
      <c r="A9" s="13"/>
      <c r="B9" s="13"/>
      <c r="C9" s="13"/>
      <c r="D9" s="13"/>
      <c r="E9" s="13"/>
      <c r="F9" s="17" t="s">
        <v>85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482" x14ac:dyDescent="0.25">
      <c r="A10" s="13"/>
      <c r="B10" s="13"/>
      <c r="C10" s="13"/>
      <c r="D10" s="13"/>
      <c r="E10" s="13"/>
      <c r="F10" s="17" t="s">
        <v>86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482" x14ac:dyDescent="0.25">
      <c r="A11" s="13"/>
      <c r="B11" s="13"/>
      <c r="C11" s="13"/>
      <c r="D11" s="13"/>
      <c r="E11" s="13"/>
      <c r="F11" s="17" t="s">
        <v>87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78" spans="6:6" x14ac:dyDescent="0.25">
      <c r="F78" t="s">
        <v>80</v>
      </c>
    </row>
    <row r="79" spans="6:6" x14ac:dyDescent="0.25">
      <c r="F79" t="s">
        <v>81</v>
      </c>
    </row>
    <row r="80" spans="6:6" x14ac:dyDescent="0.25">
      <c r="F80" t="s">
        <v>82</v>
      </c>
    </row>
    <row r="81" spans="6:6" x14ac:dyDescent="0.25">
      <c r="F81" t="s">
        <v>83</v>
      </c>
    </row>
    <row r="82" spans="6:6" x14ac:dyDescent="0.25">
      <c r="F82" t="s">
        <v>84</v>
      </c>
    </row>
    <row r="83" spans="6:6" x14ac:dyDescent="0.25">
      <c r="F83" t="s">
        <v>85</v>
      </c>
    </row>
    <row r="84" spans="6:6" x14ac:dyDescent="0.25">
      <c r="F84" t="s">
        <v>86</v>
      </c>
    </row>
    <row r="85" spans="6:6" x14ac:dyDescent="0.25">
      <c r="F85" t="s">
        <v>87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11">
    <cfRule type="beginsWith" dxfId="15" priority="1" operator="beginsWith" text="S">
      <formula>LEFT(G4,LEN("S"))="S"</formula>
    </cfRule>
    <cfRule type="cellIs" dxfId="14" priority="2" operator="equal">
      <formula>"x"</formula>
    </cfRule>
    <cfRule type="beginsWith" dxfId="13" priority="3" operator="beginsWith" text="V">
      <formula>LEFT(G4,LEN("V"))="V"</formula>
    </cfRule>
    <cfRule type="cellIs" dxfId="12" priority="4" operator="greaterThan">
      <formula>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DZ101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BN2" sqref="BN2:BY2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9" customWidth="1"/>
    <col min="5" max="5" width="13.85546875" bestFit="1" customWidth="1"/>
    <col min="6" max="6" width="8.7109375" bestFit="1" customWidth="1"/>
    <col min="7" max="7" width="6.5703125" bestFit="1" customWidth="1"/>
    <col min="8" max="8" width="6.85546875" bestFit="1" customWidth="1"/>
    <col min="9" max="9" width="6.5703125" bestFit="1" customWidth="1"/>
    <col min="10" max="10" width="7.140625" bestFit="1" customWidth="1"/>
    <col min="11" max="11" width="6.140625" bestFit="1" customWidth="1"/>
    <col min="12" max="12" width="5.5703125" bestFit="1" customWidth="1"/>
    <col min="13" max="13" width="6.85546875" bestFit="1" customWidth="1"/>
    <col min="14" max="14" width="6.5703125" bestFit="1" customWidth="1"/>
    <col min="15" max="15" width="6.42578125" bestFit="1" customWidth="1"/>
    <col min="16" max="16" width="6.85546875" bestFit="1" customWidth="1"/>
    <col min="17" max="17" width="6.5703125" bestFit="1" customWidth="1"/>
    <col min="18" max="18" width="6.140625" bestFit="1" customWidth="1"/>
    <col min="19" max="19" width="6.5703125" bestFit="1" customWidth="1"/>
    <col min="20" max="20" width="6.85546875" bestFit="1" customWidth="1"/>
    <col min="21" max="21" width="6.5703125" bestFit="1" customWidth="1"/>
    <col min="22" max="22" width="7.140625" bestFit="1" customWidth="1"/>
    <col min="23" max="23" width="6.140625" bestFit="1" customWidth="1"/>
    <col min="24" max="24" width="5.85546875" bestFit="1" customWidth="1"/>
    <col min="25" max="25" width="6.85546875" bestFit="1" customWidth="1"/>
    <col min="26" max="26" width="6.5703125" bestFit="1" customWidth="1"/>
    <col min="27" max="27" width="6.42578125" bestFit="1" customWidth="1"/>
    <col min="28" max="28" width="6.85546875" bestFit="1" customWidth="1"/>
    <col min="29" max="29" width="6.5703125" bestFit="1" customWidth="1"/>
    <col min="30" max="30" width="6.140625" bestFit="1" customWidth="1"/>
    <col min="31" max="31" width="6.5703125" bestFit="1" customWidth="1"/>
    <col min="32" max="32" width="6.85546875" bestFit="1" customWidth="1"/>
    <col min="33" max="33" width="6.5703125" bestFit="1" customWidth="1"/>
    <col min="34" max="34" width="7.140625" bestFit="1" customWidth="1"/>
    <col min="35" max="35" width="6.140625" bestFit="1" customWidth="1"/>
    <col min="36" max="36" width="5.5703125" bestFit="1" customWidth="1"/>
    <col min="37" max="37" width="6.85546875" bestFit="1" customWidth="1"/>
    <col min="38" max="38" width="6.5703125" bestFit="1" customWidth="1"/>
    <col min="39" max="39" width="6.42578125" bestFit="1" customWidth="1"/>
    <col min="40" max="40" width="6.85546875" bestFit="1" customWidth="1"/>
    <col min="41" max="41" width="6.5703125" bestFit="1" customWidth="1"/>
    <col min="42" max="42" width="6.140625" bestFit="1" customWidth="1"/>
    <col min="43" max="43" width="6.5703125" bestFit="1" customWidth="1"/>
    <col min="44" max="44" width="6.85546875" bestFit="1" customWidth="1"/>
    <col min="45" max="45" width="6.5703125" bestFit="1" customWidth="1"/>
    <col min="46" max="46" width="7.140625" bestFit="1" customWidth="1"/>
    <col min="47" max="47" width="6.5703125" bestFit="1" customWidth="1"/>
    <col min="48" max="48" width="5.5703125" bestFit="1" customWidth="1"/>
    <col min="49" max="49" width="6.85546875" bestFit="1" customWidth="1"/>
    <col min="50" max="50" width="6.5703125" bestFit="1" customWidth="1"/>
    <col min="51" max="51" width="6.42578125" bestFit="1" customWidth="1"/>
    <col min="52" max="52" width="6.85546875" bestFit="1" customWidth="1"/>
    <col min="53" max="53" width="6.5703125" bestFit="1" customWidth="1"/>
    <col min="54" max="54" width="6.140625" bestFit="1" customWidth="1"/>
    <col min="55" max="55" width="6.5703125" bestFit="1" customWidth="1"/>
    <col min="56" max="56" width="6.85546875" bestFit="1" customWidth="1"/>
    <col min="57" max="57" width="6.5703125" bestFit="1" customWidth="1"/>
    <col min="58" max="58" width="7.140625" bestFit="1" customWidth="1"/>
    <col min="59" max="59" width="6.140625" bestFit="1" customWidth="1"/>
    <col min="60" max="60" width="5.5703125" bestFit="1" customWidth="1"/>
    <col min="61" max="61" width="6.85546875" bestFit="1" customWidth="1"/>
    <col min="62" max="62" width="6.5703125" bestFit="1" customWidth="1"/>
    <col min="63" max="63" width="6.42578125" bestFit="1" customWidth="1"/>
    <col min="64" max="64" width="6.85546875" bestFit="1" customWidth="1"/>
    <col min="65" max="65" width="6.5703125" bestFit="1" customWidth="1"/>
    <col min="66" max="66" width="6.140625" bestFit="1" customWidth="1"/>
    <col min="67" max="67" width="6.5703125" bestFit="1" customWidth="1"/>
    <col min="68" max="68" width="6.85546875" bestFit="1" customWidth="1"/>
    <col min="69" max="69" width="6.5703125" bestFit="1" customWidth="1"/>
    <col min="70" max="70" width="7.140625" bestFit="1" customWidth="1"/>
    <col min="71" max="71" width="6.140625" bestFit="1" customWidth="1"/>
    <col min="72" max="72" width="6.5703125" bestFit="1" customWidth="1"/>
    <col min="73" max="73" width="6.85546875" bestFit="1" customWidth="1"/>
    <col min="74" max="75" width="6.5703125" bestFit="1" customWidth="1"/>
    <col min="76" max="76" width="6.85546875" bestFit="1" customWidth="1"/>
    <col min="77" max="77" width="6.5703125" bestFit="1" customWidth="1"/>
    <col min="78" max="78" width="6.140625" bestFit="1" customWidth="1"/>
    <col min="79" max="79" width="6.5703125" bestFit="1" customWidth="1"/>
    <col min="80" max="80" width="6.85546875" bestFit="1" customWidth="1"/>
    <col min="81" max="81" width="6.5703125" bestFit="1" customWidth="1"/>
    <col min="82" max="82" width="7.140625" bestFit="1" customWidth="1"/>
    <col min="83" max="83" width="6.140625" bestFit="1" customWidth="1"/>
    <col min="84" max="84" width="5.5703125" bestFit="1" customWidth="1"/>
    <col min="85" max="85" width="6.85546875" bestFit="1" customWidth="1"/>
    <col min="86" max="86" width="6.5703125" bestFit="1" customWidth="1"/>
    <col min="87" max="87" width="6.42578125" bestFit="1" customWidth="1"/>
    <col min="88" max="88" width="6.85546875" bestFit="1" customWidth="1"/>
    <col min="89" max="89" width="6.5703125" bestFit="1" customWidth="1"/>
    <col min="90" max="90" width="6.140625" bestFit="1" customWidth="1"/>
    <col min="91" max="91" width="6.5703125" bestFit="1" customWidth="1"/>
    <col min="92" max="92" width="6.85546875" bestFit="1" customWidth="1"/>
    <col min="93" max="93" width="6.5703125" bestFit="1" customWidth="1"/>
    <col min="94" max="94" width="7.140625" bestFit="1" customWidth="1"/>
    <col min="95" max="95" width="6.5703125" bestFit="1" customWidth="1"/>
    <col min="96" max="96" width="5.5703125" bestFit="1" customWidth="1"/>
    <col min="97" max="97" width="6.85546875" bestFit="1" customWidth="1"/>
    <col min="98" max="98" width="6.5703125" bestFit="1" customWidth="1"/>
    <col min="99" max="99" width="6.42578125" bestFit="1" customWidth="1"/>
    <col min="100" max="100" width="6.85546875" bestFit="1" customWidth="1"/>
    <col min="101" max="101" width="6.5703125" bestFit="1" customWidth="1"/>
    <col min="102" max="102" width="6.140625" bestFit="1" customWidth="1"/>
    <col min="103" max="103" width="6.5703125" bestFit="1" customWidth="1"/>
    <col min="104" max="104" width="6.85546875" bestFit="1" customWidth="1"/>
    <col min="105" max="105" width="6.5703125" bestFit="1" customWidth="1"/>
    <col min="106" max="106" width="7.140625" bestFit="1" customWidth="1"/>
    <col min="107" max="107" width="6.140625" bestFit="1" customWidth="1"/>
    <col min="108" max="108" width="5.5703125" bestFit="1" customWidth="1"/>
    <col min="109" max="109" width="6.85546875" bestFit="1" customWidth="1"/>
    <col min="110" max="110" width="6.5703125" bestFit="1" customWidth="1"/>
    <col min="111" max="111" width="6.42578125" bestFit="1" customWidth="1"/>
    <col min="112" max="112" width="6.85546875" bestFit="1" customWidth="1"/>
    <col min="113" max="113" width="6.5703125" bestFit="1" customWidth="1"/>
    <col min="114" max="114" width="6.140625" bestFit="1" customWidth="1"/>
    <col min="115" max="115" width="6.5703125" bestFit="1" customWidth="1"/>
    <col min="116" max="116" width="6.85546875" bestFit="1" customWidth="1"/>
    <col min="117" max="117" width="6.5703125" bestFit="1" customWidth="1"/>
    <col min="118" max="118" width="7.140625" bestFit="1" customWidth="1"/>
    <col min="119" max="119" width="6.140625" bestFit="1" customWidth="1"/>
    <col min="120" max="120" width="5.5703125" bestFit="1" customWidth="1"/>
    <col min="121" max="121" width="6.85546875" bestFit="1" customWidth="1"/>
    <col min="122" max="122" width="6.5703125" bestFit="1" customWidth="1"/>
    <col min="123" max="123" width="6.42578125" bestFit="1" customWidth="1"/>
    <col min="124" max="124" width="6.85546875" bestFit="1" customWidth="1"/>
    <col min="125" max="125" width="6.5703125" bestFit="1" customWidth="1"/>
  </cols>
  <sheetData>
    <row r="1" spans="1:1482" ht="15.75" hidden="1" thickBot="1" x14ac:dyDescent="0.3"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  <c r="BJ1">
        <v>58</v>
      </c>
      <c r="BK1">
        <v>59</v>
      </c>
      <c r="BL1">
        <v>60</v>
      </c>
      <c r="BM1">
        <v>61</v>
      </c>
      <c r="BN1">
        <v>62</v>
      </c>
      <c r="BO1">
        <v>63</v>
      </c>
      <c r="BP1">
        <v>64</v>
      </c>
      <c r="BQ1">
        <v>65</v>
      </c>
      <c r="BR1">
        <v>66</v>
      </c>
      <c r="BS1">
        <v>67</v>
      </c>
      <c r="BT1">
        <v>68</v>
      </c>
      <c r="BU1">
        <v>69</v>
      </c>
      <c r="BV1">
        <v>70</v>
      </c>
      <c r="BW1">
        <v>71</v>
      </c>
      <c r="BX1">
        <v>72</v>
      </c>
      <c r="BY1">
        <v>73</v>
      </c>
      <c r="BZ1">
        <v>74</v>
      </c>
      <c r="CA1">
        <v>75</v>
      </c>
      <c r="CB1">
        <v>76</v>
      </c>
      <c r="CC1">
        <v>77</v>
      </c>
      <c r="CD1">
        <v>78</v>
      </c>
      <c r="CE1">
        <v>79</v>
      </c>
      <c r="CF1">
        <v>80</v>
      </c>
      <c r="CG1">
        <v>81</v>
      </c>
      <c r="CH1">
        <v>82</v>
      </c>
      <c r="CI1">
        <v>83</v>
      </c>
      <c r="CJ1">
        <v>84</v>
      </c>
      <c r="CK1">
        <v>85</v>
      </c>
      <c r="CL1">
        <v>86</v>
      </c>
      <c r="CM1">
        <v>87</v>
      </c>
      <c r="CN1">
        <v>88</v>
      </c>
      <c r="CO1">
        <v>89</v>
      </c>
      <c r="CP1">
        <v>90</v>
      </c>
      <c r="CQ1">
        <v>91</v>
      </c>
      <c r="CR1">
        <v>92</v>
      </c>
      <c r="CS1">
        <v>93</v>
      </c>
      <c r="CT1">
        <v>94</v>
      </c>
      <c r="CU1">
        <v>95</v>
      </c>
      <c r="CV1">
        <v>96</v>
      </c>
      <c r="CW1">
        <v>97</v>
      </c>
      <c r="CX1">
        <v>98</v>
      </c>
      <c r="CY1">
        <v>99</v>
      </c>
      <c r="CZ1">
        <v>100</v>
      </c>
      <c r="DA1">
        <v>101</v>
      </c>
      <c r="DB1">
        <v>102</v>
      </c>
      <c r="DC1">
        <v>103</v>
      </c>
      <c r="DD1">
        <v>104</v>
      </c>
      <c r="DE1">
        <v>105</v>
      </c>
      <c r="DF1">
        <v>106</v>
      </c>
      <c r="DG1">
        <v>107</v>
      </c>
      <c r="DH1">
        <v>108</v>
      </c>
      <c r="DI1">
        <v>109</v>
      </c>
      <c r="DJ1">
        <v>110</v>
      </c>
      <c r="DK1">
        <v>111</v>
      </c>
      <c r="DL1">
        <v>112</v>
      </c>
      <c r="DM1">
        <v>113</v>
      </c>
      <c r="DN1">
        <v>114</v>
      </c>
      <c r="DO1">
        <v>115</v>
      </c>
      <c r="DP1">
        <v>116</v>
      </c>
      <c r="DQ1">
        <v>117</v>
      </c>
      <c r="DR1">
        <v>118</v>
      </c>
      <c r="DS1">
        <v>119</v>
      </c>
      <c r="DT1">
        <v>120</v>
      </c>
      <c r="DU1">
        <v>121</v>
      </c>
    </row>
    <row r="2" spans="1:1482" ht="20.25" x14ac:dyDescent="0.25">
      <c r="A2" s="11"/>
      <c r="B2" s="11"/>
      <c r="C2" s="11"/>
      <c r="D2" s="11"/>
      <c r="E2" s="11"/>
      <c r="F2" s="11"/>
      <c r="G2" s="25">
        <f>YEAR(DATE(2018,1,1))</f>
        <v>2018</v>
      </c>
      <c r="H2" s="25"/>
      <c r="I2" s="25"/>
      <c r="J2" s="25"/>
      <c r="K2" s="25"/>
      <c r="L2" s="25"/>
      <c r="M2" s="25"/>
      <c r="N2" s="25"/>
      <c r="O2" s="25"/>
      <c r="P2" s="25"/>
      <c r="Q2" s="26"/>
      <c r="R2" s="24">
        <f>YEAR(DATE(2018,13,1))</f>
        <v>2019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6"/>
      <c r="AD2" s="24">
        <f>YEAR(DATE(2018,25,1))</f>
        <v>2020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6"/>
      <c r="AP2" s="24">
        <f>YEAR(DATE(2018,37,1))</f>
        <v>2021</v>
      </c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6"/>
      <c r="BB2" s="24">
        <f>YEAR(DATE(2018,49,1))</f>
        <v>2022</v>
      </c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6"/>
      <c r="BN2" s="24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6"/>
      <c r="BZ2" s="24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6"/>
      <c r="CL2" s="24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6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6"/>
      <c r="DJ2" s="24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6"/>
    </row>
    <row r="3" spans="1:1482" x14ac:dyDescent="0.25">
      <c r="A3" s="7" t="s">
        <v>141</v>
      </c>
      <c r="B3" s="7" t="s">
        <v>145</v>
      </c>
      <c r="C3" s="7" t="s">
        <v>146</v>
      </c>
      <c r="D3" s="7" t="s">
        <v>142</v>
      </c>
      <c r="E3" s="7" t="s">
        <v>143</v>
      </c>
      <c r="F3" s="7" t="s">
        <v>144</v>
      </c>
      <c r="G3" s="18">
        <f>DATE(2018,1,1)</f>
        <v>43101</v>
      </c>
      <c r="H3" s="18">
        <f>DATE(2018,2,1)</f>
        <v>43132</v>
      </c>
      <c r="I3" s="18">
        <f>DATE(2018,3,1)</f>
        <v>43160</v>
      </c>
      <c r="J3" s="18">
        <f>DATE(2018,4,1)</f>
        <v>43191</v>
      </c>
      <c r="K3" s="18">
        <f>DATE(2018,5,1)</f>
        <v>43221</v>
      </c>
      <c r="L3" s="18">
        <f>DATE(2018,6,1)</f>
        <v>43252</v>
      </c>
      <c r="M3" s="18">
        <f>DATE(2018,7,1)</f>
        <v>43282</v>
      </c>
      <c r="N3" s="18">
        <f>DATE(2018,8,1)</f>
        <v>43313</v>
      </c>
      <c r="O3" s="18">
        <f>DATE(2018,9,1)</f>
        <v>43344</v>
      </c>
      <c r="P3" s="18">
        <f>DATE(2018,10,1)</f>
        <v>43374</v>
      </c>
      <c r="Q3" s="19">
        <f>DATE(2018,11,1)</f>
        <v>43405</v>
      </c>
      <c r="R3" s="8">
        <f>DATE(2018,12,1)</f>
        <v>43435</v>
      </c>
      <c r="S3" s="9">
        <f>DATE(2018,13,1)</f>
        <v>43466</v>
      </c>
      <c r="T3" s="9">
        <f>DATE(2018,14,1)</f>
        <v>43497</v>
      </c>
      <c r="U3" s="9">
        <f>DATE(2018,15,1)</f>
        <v>43525</v>
      </c>
      <c r="V3" s="9">
        <f>DATE(2018,16,1)</f>
        <v>43556</v>
      </c>
      <c r="W3" s="9">
        <f>DATE(2018,17,1)</f>
        <v>43586</v>
      </c>
      <c r="X3" s="9">
        <f>DATE(2018,18,1)</f>
        <v>43617</v>
      </c>
      <c r="Y3" s="9">
        <f>DATE(2018,19,1)</f>
        <v>43647</v>
      </c>
      <c r="Z3" s="9">
        <f>DATE(2018,20,1)</f>
        <v>43678</v>
      </c>
      <c r="AA3" s="9">
        <f>DATE(2018,21,1)</f>
        <v>43709</v>
      </c>
      <c r="AB3" s="9">
        <f>DATE(2018,22,1)</f>
        <v>43739</v>
      </c>
      <c r="AC3" s="10">
        <f>DATE(2018,23,1)</f>
        <v>43770</v>
      </c>
      <c r="AD3" s="8">
        <f>DATE(2018,24,1)</f>
        <v>43800</v>
      </c>
      <c r="AE3" s="9">
        <f>DATE(2018,25,1)</f>
        <v>43831</v>
      </c>
      <c r="AF3" s="9">
        <f>DATE(2018,26,1)</f>
        <v>43862</v>
      </c>
      <c r="AG3" s="9">
        <f>DATE(2018,27,1)</f>
        <v>43891</v>
      </c>
      <c r="AH3" s="9">
        <f>DATE(2018,28,1)</f>
        <v>43922</v>
      </c>
      <c r="AI3" s="9">
        <f>DATE(2018,29,1)</f>
        <v>43952</v>
      </c>
      <c r="AJ3" s="9">
        <f>DATE(2018,30,1)</f>
        <v>43983</v>
      </c>
      <c r="AK3" s="9">
        <f>DATE(2018,31,1)</f>
        <v>44013</v>
      </c>
      <c r="AL3" s="9">
        <f>DATE(2018,32,1)</f>
        <v>44044</v>
      </c>
      <c r="AM3" s="9">
        <f>DATE(2018,33,1)</f>
        <v>44075</v>
      </c>
      <c r="AN3" s="9">
        <f>DATE(2018,34,1)</f>
        <v>44105</v>
      </c>
      <c r="AO3" s="10">
        <f>DATE(2018,35,1)</f>
        <v>44136</v>
      </c>
      <c r="AP3" s="8">
        <f>DATE(2018,36,1)</f>
        <v>44166</v>
      </c>
      <c r="AQ3" s="9">
        <f>DATE(2018,37,1)</f>
        <v>44197</v>
      </c>
      <c r="AR3" s="9">
        <f>DATE(2018,38,1)</f>
        <v>44228</v>
      </c>
      <c r="AS3" s="9">
        <f>DATE(2018,39,1)</f>
        <v>44256</v>
      </c>
      <c r="AT3" s="9">
        <f>DATE(2018,40,1)</f>
        <v>44287</v>
      </c>
      <c r="AU3" s="9">
        <f>DATE(2018,41,1)</f>
        <v>44317</v>
      </c>
      <c r="AV3" s="9">
        <f>DATE(2018,42,1)</f>
        <v>44348</v>
      </c>
      <c r="AW3" s="9">
        <f>DATE(2018,43,1)</f>
        <v>44378</v>
      </c>
      <c r="AX3" s="9">
        <f>DATE(2018,44,1)</f>
        <v>44409</v>
      </c>
      <c r="AY3" s="9">
        <f>DATE(2018,45,1)</f>
        <v>44440</v>
      </c>
      <c r="AZ3" s="9">
        <f>DATE(2018,46,1)</f>
        <v>44470</v>
      </c>
      <c r="BA3" s="10">
        <f>DATE(2018,47,1)</f>
        <v>44501</v>
      </c>
      <c r="BB3" s="8">
        <f>DATE(2018,48,1)</f>
        <v>44531</v>
      </c>
      <c r="BC3" s="9">
        <f>DATE(2018,49,1)</f>
        <v>44562</v>
      </c>
      <c r="BD3" s="9">
        <f>DATE(2018,50,1)</f>
        <v>44593</v>
      </c>
      <c r="BE3" s="9">
        <f>DATE(2018,51,1)</f>
        <v>44621</v>
      </c>
      <c r="BF3" s="9">
        <f>DATE(2018,52,1)</f>
        <v>44652</v>
      </c>
      <c r="BG3" s="9">
        <f>DATE(2018,53,1)</f>
        <v>44682</v>
      </c>
      <c r="BH3" s="9">
        <f>DATE(2018,54,1)</f>
        <v>44713</v>
      </c>
      <c r="BI3" s="9">
        <f>DATE(2018,55,1)</f>
        <v>44743</v>
      </c>
      <c r="BJ3" s="9">
        <f>DATE(2018,56,1)</f>
        <v>44774</v>
      </c>
      <c r="BK3" s="9">
        <f>DATE(2018,57,1)</f>
        <v>44805</v>
      </c>
      <c r="BL3" s="9">
        <f>DATE(2018,58,1)</f>
        <v>44835</v>
      </c>
      <c r="BM3" s="10">
        <f>DATE(2018,59,1)</f>
        <v>44866</v>
      </c>
      <c r="BN3" s="8">
        <f>DATE(2018,60,1)</f>
        <v>44896</v>
      </c>
      <c r="BO3" s="9"/>
      <c r="BP3" s="9"/>
      <c r="BQ3" s="9"/>
      <c r="BR3" s="9"/>
      <c r="BS3" s="9"/>
      <c r="BT3" s="9"/>
      <c r="BU3" s="9"/>
      <c r="BV3" s="9"/>
      <c r="BW3" s="9"/>
      <c r="BX3" s="9"/>
      <c r="BY3" s="10"/>
      <c r="BZ3" s="8"/>
      <c r="CA3" s="9"/>
      <c r="CB3" s="9"/>
      <c r="CC3" s="9"/>
      <c r="CD3" s="9"/>
      <c r="CE3" s="9"/>
      <c r="CF3" s="9"/>
      <c r="CG3" s="9"/>
      <c r="CH3" s="9"/>
      <c r="CI3" s="9"/>
      <c r="CJ3" s="9"/>
      <c r="CK3" s="10"/>
      <c r="CL3" s="8"/>
      <c r="CM3" s="9"/>
      <c r="CN3" s="9"/>
      <c r="CO3" s="9"/>
      <c r="CP3" s="9"/>
      <c r="CQ3" s="9"/>
      <c r="CR3" s="9"/>
      <c r="CS3" s="9"/>
      <c r="CT3" s="9"/>
      <c r="CU3" s="9"/>
      <c r="CV3" s="9"/>
      <c r="CW3" s="10"/>
      <c r="CX3" s="8"/>
      <c r="CY3" s="9"/>
      <c r="CZ3" s="9"/>
      <c r="DA3" s="9"/>
      <c r="DB3" s="9"/>
      <c r="DC3" s="9"/>
      <c r="DD3" s="9"/>
      <c r="DE3" s="9"/>
      <c r="DF3" s="9"/>
      <c r="DG3" s="9"/>
      <c r="DH3" s="9"/>
      <c r="DI3" s="10"/>
      <c r="DJ3" s="8"/>
      <c r="DK3" s="9"/>
      <c r="DL3" s="9"/>
      <c r="DM3" s="9"/>
      <c r="DN3" s="9"/>
      <c r="DO3" s="9"/>
      <c r="DP3" s="9"/>
      <c r="DQ3" s="9"/>
      <c r="DR3" s="9"/>
      <c r="DS3" s="9"/>
      <c r="DT3" s="9"/>
      <c r="DU3" s="10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  <c r="LR3" s="21"/>
      <c r="LS3" s="21"/>
      <c r="LT3" s="21"/>
      <c r="LU3" s="21"/>
      <c r="LV3" s="21"/>
      <c r="LW3" s="21"/>
      <c r="LX3" s="21"/>
      <c r="LY3" s="21"/>
      <c r="LZ3" s="21"/>
      <c r="MA3" s="21"/>
      <c r="MB3" s="21"/>
      <c r="MC3" s="21"/>
      <c r="MD3" s="21"/>
      <c r="ME3" s="21"/>
      <c r="MF3" s="21"/>
      <c r="MG3" s="21"/>
      <c r="MH3" s="21"/>
      <c r="MI3" s="21"/>
      <c r="MJ3" s="21"/>
      <c r="MK3" s="21"/>
      <c r="ML3" s="21"/>
      <c r="MM3" s="21"/>
      <c r="MN3" s="21"/>
      <c r="MO3" s="21"/>
      <c r="MP3" s="21"/>
      <c r="MQ3" s="21"/>
      <c r="MR3" s="21"/>
      <c r="MS3" s="21"/>
      <c r="MT3" s="21"/>
      <c r="MU3" s="21"/>
      <c r="MV3" s="21"/>
      <c r="MW3" s="21"/>
      <c r="MX3" s="21"/>
      <c r="MY3" s="21"/>
      <c r="MZ3" s="21"/>
      <c r="NA3" s="21"/>
      <c r="NB3" s="21"/>
      <c r="NC3" s="21"/>
      <c r="ND3" s="21"/>
      <c r="NE3" s="21"/>
      <c r="NF3" s="21"/>
      <c r="NG3" s="21"/>
      <c r="NH3" s="21"/>
      <c r="NI3" s="21"/>
      <c r="NJ3" s="21"/>
      <c r="NK3" s="21"/>
      <c r="NL3" s="21"/>
      <c r="NM3" s="21"/>
      <c r="NN3" s="21"/>
      <c r="NO3" s="21"/>
      <c r="NP3" s="21"/>
      <c r="NQ3" s="21"/>
      <c r="NR3" s="21"/>
      <c r="NS3" s="21"/>
      <c r="NT3" s="21"/>
      <c r="NU3" s="21"/>
      <c r="NV3" s="21"/>
      <c r="NW3" s="21"/>
      <c r="NX3" s="21"/>
      <c r="NY3" s="21"/>
      <c r="NZ3" s="21"/>
      <c r="OA3" s="21"/>
      <c r="OB3" s="21"/>
      <c r="OC3" s="21"/>
      <c r="OD3" s="21"/>
      <c r="OE3" s="21"/>
      <c r="OF3" s="21"/>
      <c r="OG3" s="21"/>
      <c r="OH3" s="21"/>
      <c r="OI3" s="21"/>
      <c r="OJ3" s="21"/>
      <c r="OK3" s="21"/>
      <c r="OL3" s="21"/>
      <c r="OM3" s="21"/>
      <c r="ON3" s="21"/>
      <c r="OO3" s="21"/>
      <c r="OP3" s="21"/>
      <c r="OQ3" s="21"/>
      <c r="OR3" s="21"/>
      <c r="OS3" s="21"/>
      <c r="OT3" s="21"/>
      <c r="OU3" s="21"/>
      <c r="OV3" s="21"/>
      <c r="OW3" s="21"/>
      <c r="OX3" s="21"/>
      <c r="OY3" s="21"/>
      <c r="OZ3" s="21"/>
      <c r="PA3" s="21"/>
      <c r="PB3" s="21"/>
      <c r="PC3" s="21"/>
      <c r="PD3" s="21"/>
      <c r="PE3" s="21"/>
      <c r="PF3" s="21"/>
      <c r="PG3" s="21"/>
      <c r="PH3" s="21"/>
      <c r="PI3" s="21"/>
      <c r="PJ3" s="21"/>
      <c r="PK3" s="21"/>
      <c r="PL3" s="21"/>
      <c r="PM3" s="21"/>
      <c r="PN3" s="21"/>
      <c r="PO3" s="21"/>
      <c r="PP3" s="21"/>
      <c r="PQ3" s="21"/>
      <c r="PR3" s="21"/>
      <c r="PS3" s="21"/>
      <c r="PT3" s="21"/>
      <c r="PU3" s="21"/>
      <c r="PV3" s="21"/>
      <c r="PW3" s="21"/>
      <c r="PX3" s="21"/>
      <c r="PY3" s="21"/>
      <c r="PZ3" s="21"/>
      <c r="QA3" s="21"/>
      <c r="QB3" s="21"/>
      <c r="QC3" s="21"/>
      <c r="QD3" s="21"/>
      <c r="QE3" s="21"/>
      <c r="QF3" s="21"/>
      <c r="QG3" s="21"/>
      <c r="QH3" s="21"/>
      <c r="QI3" s="21"/>
      <c r="QJ3" s="21"/>
      <c r="QK3" s="21"/>
      <c r="QL3" s="21"/>
      <c r="QM3" s="21"/>
      <c r="QN3" s="21"/>
      <c r="QO3" s="21"/>
      <c r="QP3" s="21"/>
      <c r="QQ3" s="21"/>
      <c r="QR3" s="21"/>
      <c r="QS3" s="21"/>
      <c r="QT3" s="21"/>
      <c r="QU3" s="21"/>
      <c r="QV3" s="21"/>
      <c r="QW3" s="21"/>
      <c r="QX3" s="21"/>
      <c r="QY3" s="21"/>
      <c r="QZ3" s="21"/>
      <c r="RA3" s="21"/>
      <c r="RB3" s="21"/>
      <c r="RC3" s="21"/>
      <c r="RD3" s="21"/>
      <c r="RE3" s="21"/>
      <c r="RF3" s="21"/>
      <c r="RG3" s="21"/>
      <c r="RH3" s="21"/>
      <c r="RI3" s="21"/>
      <c r="RJ3" s="21"/>
      <c r="RK3" s="21"/>
      <c r="RL3" s="21"/>
      <c r="RM3" s="21"/>
      <c r="RN3" s="21"/>
      <c r="RO3" s="21"/>
      <c r="RP3" s="21"/>
      <c r="RQ3" s="21"/>
      <c r="RR3" s="21"/>
      <c r="RS3" s="21"/>
      <c r="RT3" s="21"/>
      <c r="RU3" s="21"/>
      <c r="RV3" s="21"/>
      <c r="RW3" s="21"/>
      <c r="RX3" s="21"/>
      <c r="RY3" s="21"/>
      <c r="RZ3" s="21"/>
      <c r="SA3" s="21"/>
      <c r="SB3" s="21"/>
      <c r="SC3" s="21"/>
      <c r="SD3" s="21"/>
      <c r="SE3" s="21"/>
      <c r="SF3" s="21"/>
      <c r="SG3" s="21"/>
      <c r="SH3" s="21"/>
      <c r="SI3" s="21"/>
      <c r="SJ3" s="21"/>
      <c r="SK3" s="21"/>
      <c r="SL3" s="21"/>
      <c r="SM3" s="21"/>
      <c r="SN3" s="21"/>
      <c r="SO3" s="21"/>
      <c r="SP3" s="21"/>
      <c r="SQ3" s="21"/>
      <c r="SR3" s="21"/>
      <c r="SS3" s="21"/>
      <c r="ST3" s="21"/>
      <c r="SU3" s="21"/>
      <c r="SV3" s="21"/>
      <c r="SW3" s="21"/>
      <c r="SX3" s="21"/>
      <c r="SY3" s="21"/>
      <c r="SZ3" s="21"/>
      <c r="TA3" s="21"/>
      <c r="TB3" s="21"/>
      <c r="TC3" s="21"/>
      <c r="TD3" s="21"/>
      <c r="TE3" s="21"/>
      <c r="TF3" s="21"/>
      <c r="TG3" s="21"/>
      <c r="TH3" s="21"/>
      <c r="TI3" s="21"/>
      <c r="TJ3" s="21"/>
      <c r="TK3" s="21"/>
      <c r="TL3" s="21"/>
      <c r="TM3" s="21"/>
      <c r="TN3" s="21"/>
      <c r="TO3" s="21"/>
      <c r="TP3" s="21"/>
      <c r="TQ3" s="21"/>
      <c r="TR3" s="21"/>
      <c r="TS3" s="21"/>
      <c r="TT3" s="21"/>
      <c r="TU3" s="21"/>
      <c r="TV3" s="21"/>
      <c r="TW3" s="21"/>
      <c r="TX3" s="21"/>
      <c r="TY3" s="21"/>
      <c r="TZ3" s="21"/>
      <c r="UA3" s="21"/>
      <c r="UB3" s="21"/>
      <c r="UC3" s="21"/>
      <c r="UD3" s="21"/>
      <c r="UE3" s="21"/>
      <c r="UF3" s="21"/>
      <c r="UG3" s="21"/>
      <c r="UH3" s="21"/>
      <c r="UI3" s="21"/>
      <c r="UJ3" s="21"/>
      <c r="UK3" s="21"/>
      <c r="UL3" s="21"/>
      <c r="UM3" s="21"/>
      <c r="UN3" s="21"/>
      <c r="UO3" s="21"/>
      <c r="UP3" s="21"/>
      <c r="UQ3" s="21"/>
      <c r="UR3" s="21"/>
      <c r="US3" s="21"/>
      <c r="UT3" s="21"/>
      <c r="UU3" s="21"/>
      <c r="UV3" s="21"/>
      <c r="UW3" s="21"/>
      <c r="UX3" s="21"/>
      <c r="UY3" s="21"/>
      <c r="UZ3" s="21"/>
      <c r="VA3" s="21"/>
      <c r="VB3" s="21"/>
      <c r="VC3" s="21"/>
      <c r="VD3" s="21"/>
      <c r="VE3" s="21"/>
      <c r="VF3" s="21"/>
      <c r="VG3" s="21"/>
      <c r="VH3" s="21"/>
      <c r="VI3" s="21"/>
      <c r="VJ3" s="21"/>
      <c r="VK3" s="21"/>
      <c r="VL3" s="21"/>
      <c r="VM3" s="21"/>
      <c r="VN3" s="21"/>
      <c r="VO3" s="21"/>
      <c r="VP3" s="21"/>
      <c r="VQ3" s="21"/>
      <c r="VR3" s="21"/>
      <c r="VS3" s="21"/>
      <c r="VT3" s="21"/>
      <c r="VU3" s="21"/>
      <c r="VV3" s="21"/>
      <c r="VW3" s="21"/>
      <c r="VX3" s="21"/>
      <c r="VY3" s="21"/>
      <c r="VZ3" s="21"/>
      <c r="WA3" s="21"/>
      <c r="WB3" s="21"/>
      <c r="WC3" s="21"/>
      <c r="WD3" s="21"/>
      <c r="WE3" s="21"/>
      <c r="WF3" s="21"/>
      <c r="WG3" s="21"/>
      <c r="WH3" s="21"/>
      <c r="WI3" s="21"/>
      <c r="WJ3" s="21"/>
      <c r="WK3" s="21"/>
      <c r="WL3" s="21"/>
      <c r="WM3" s="21"/>
      <c r="WN3" s="21"/>
      <c r="WO3" s="21"/>
      <c r="WP3" s="21"/>
      <c r="WQ3" s="21"/>
      <c r="WR3" s="21"/>
      <c r="WS3" s="21"/>
      <c r="WT3" s="21"/>
      <c r="WU3" s="21"/>
      <c r="WV3" s="21"/>
      <c r="WW3" s="21"/>
      <c r="WX3" s="21"/>
      <c r="WY3" s="21"/>
      <c r="WZ3" s="21"/>
      <c r="XA3" s="21"/>
      <c r="XB3" s="21"/>
      <c r="XC3" s="21"/>
      <c r="XD3" s="21"/>
      <c r="XE3" s="21"/>
      <c r="XF3" s="21"/>
      <c r="XG3" s="21"/>
      <c r="XH3" s="21"/>
      <c r="XI3" s="21"/>
      <c r="XJ3" s="21"/>
      <c r="XK3" s="21"/>
      <c r="XL3" s="21"/>
      <c r="XM3" s="21"/>
      <c r="XN3" s="21"/>
      <c r="XO3" s="21"/>
      <c r="XP3" s="21"/>
      <c r="XQ3" s="21"/>
      <c r="XR3" s="21"/>
      <c r="XS3" s="21"/>
      <c r="XT3" s="21"/>
      <c r="XU3" s="21"/>
      <c r="XV3" s="21"/>
      <c r="XW3" s="21"/>
      <c r="XX3" s="21"/>
      <c r="XY3" s="21"/>
      <c r="XZ3" s="21"/>
      <c r="YA3" s="21"/>
      <c r="YB3" s="21"/>
      <c r="YC3" s="21"/>
      <c r="YD3" s="21"/>
      <c r="YE3" s="21"/>
      <c r="YF3" s="21"/>
      <c r="YG3" s="21"/>
      <c r="YH3" s="21"/>
      <c r="YI3" s="21"/>
      <c r="YJ3" s="21"/>
      <c r="YK3" s="21"/>
      <c r="YL3" s="21"/>
      <c r="YM3" s="21"/>
      <c r="YN3" s="21"/>
      <c r="YO3" s="21"/>
      <c r="YP3" s="21"/>
      <c r="YQ3" s="21"/>
      <c r="YR3" s="21"/>
      <c r="YS3" s="21"/>
      <c r="YT3" s="21"/>
      <c r="YU3" s="21"/>
      <c r="YV3" s="21"/>
      <c r="YW3" s="21"/>
      <c r="YX3" s="21"/>
      <c r="YY3" s="21"/>
      <c r="YZ3" s="21"/>
      <c r="ZA3" s="21"/>
      <c r="ZB3" s="21"/>
      <c r="ZC3" s="21"/>
      <c r="ZD3" s="21"/>
      <c r="ZE3" s="21"/>
      <c r="ZF3" s="21"/>
      <c r="ZG3" s="21"/>
      <c r="ZH3" s="21"/>
      <c r="ZI3" s="21"/>
      <c r="ZJ3" s="21"/>
      <c r="ZK3" s="21"/>
      <c r="ZL3" s="21"/>
      <c r="ZM3" s="21"/>
      <c r="ZN3" s="21"/>
      <c r="ZO3" s="21"/>
      <c r="ZP3" s="21"/>
      <c r="ZQ3" s="21"/>
      <c r="ZR3" s="21"/>
      <c r="ZS3" s="21"/>
      <c r="ZT3" s="21"/>
      <c r="ZU3" s="21"/>
      <c r="ZV3" s="21"/>
      <c r="ZW3" s="21"/>
      <c r="ZX3" s="21"/>
      <c r="ZY3" s="21"/>
      <c r="ZZ3" s="21"/>
      <c r="AAA3" s="21"/>
      <c r="AAB3" s="21"/>
      <c r="AAC3" s="21"/>
      <c r="AAD3" s="21"/>
      <c r="AAE3" s="21"/>
      <c r="AAF3" s="21"/>
      <c r="AAG3" s="21"/>
      <c r="AAH3" s="21"/>
      <c r="AAI3" s="21"/>
      <c r="AAJ3" s="21"/>
      <c r="AAK3" s="21"/>
      <c r="AAL3" s="21"/>
      <c r="AAM3" s="21"/>
      <c r="AAN3" s="21"/>
      <c r="AAO3" s="21"/>
      <c r="AAP3" s="21"/>
      <c r="AAQ3" s="21"/>
      <c r="AAR3" s="21"/>
      <c r="AAS3" s="21"/>
      <c r="AAT3" s="21"/>
      <c r="AAU3" s="21"/>
      <c r="AAV3" s="21"/>
      <c r="AAW3" s="21"/>
      <c r="AAX3" s="21"/>
      <c r="AAY3" s="21"/>
      <c r="AAZ3" s="21"/>
      <c r="ABA3" s="21"/>
      <c r="ABB3" s="21"/>
      <c r="ABC3" s="21"/>
      <c r="ABD3" s="21"/>
      <c r="ABE3" s="21"/>
      <c r="ABF3" s="21"/>
      <c r="ABG3" s="21"/>
      <c r="ABH3" s="21"/>
      <c r="ABI3" s="21"/>
      <c r="ABJ3" s="21"/>
      <c r="ABK3" s="21"/>
      <c r="ABL3" s="21"/>
      <c r="ABM3" s="21"/>
      <c r="ABN3" s="21"/>
      <c r="ABO3" s="21"/>
      <c r="ABP3" s="21"/>
      <c r="ABQ3" s="21"/>
      <c r="ABR3" s="21"/>
      <c r="ABS3" s="21"/>
      <c r="ABT3" s="21"/>
      <c r="ABU3" s="21"/>
      <c r="ABV3" s="21"/>
      <c r="ABW3" s="21"/>
      <c r="ABX3" s="21"/>
      <c r="ABY3" s="21"/>
      <c r="ABZ3" s="21"/>
      <c r="ACA3" s="21"/>
      <c r="ACB3" s="21"/>
      <c r="ACC3" s="21"/>
      <c r="ACD3" s="21"/>
      <c r="ACE3" s="21"/>
      <c r="ACF3" s="21"/>
      <c r="ACG3" s="21"/>
      <c r="ACH3" s="21"/>
      <c r="ACI3" s="21"/>
      <c r="ACJ3" s="21"/>
      <c r="ACK3" s="21"/>
      <c r="ACL3" s="21"/>
      <c r="ACM3" s="21"/>
      <c r="ACN3" s="21"/>
      <c r="ACO3" s="21"/>
      <c r="ACP3" s="21"/>
      <c r="ACQ3" s="21"/>
      <c r="ACR3" s="21"/>
      <c r="ACS3" s="21"/>
      <c r="ACT3" s="21"/>
      <c r="ACU3" s="21"/>
      <c r="ACV3" s="21"/>
      <c r="ACW3" s="21"/>
      <c r="ACX3" s="21"/>
      <c r="ACY3" s="21"/>
      <c r="ACZ3" s="21"/>
      <c r="ADA3" s="21"/>
      <c r="ADB3" s="21"/>
      <c r="ADC3" s="21"/>
      <c r="ADD3" s="21"/>
      <c r="ADE3" s="21"/>
      <c r="ADF3" s="21"/>
      <c r="ADG3" s="21"/>
      <c r="ADH3" s="21"/>
      <c r="ADI3" s="21"/>
      <c r="ADJ3" s="21"/>
      <c r="ADK3" s="21"/>
      <c r="ADL3" s="21"/>
      <c r="ADM3" s="21"/>
      <c r="ADN3" s="21"/>
      <c r="ADO3" s="21"/>
      <c r="ADP3" s="21"/>
      <c r="ADQ3" s="21"/>
      <c r="ADR3" s="21"/>
      <c r="ADS3" s="21"/>
      <c r="ADT3" s="21"/>
      <c r="ADU3" s="21"/>
      <c r="ADV3" s="21"/>
      <c r="ADW3" s="21"/>
      <c r="ADX3" s="21"/>
      <c r="ADY3" s="21"/>
      <c r="ADZ3" s="21"/>
      <c r="AEA3" s="21"/>
      <c r="AEB3" s="21"/>
      <c r="AEC3" s="21"/>
      <c r="AED3" s="21"/>
      <c r="AEE3" s="21"/>
      <c r="AEF3" s="21"/>
      <c r="AEG3" s="21"/>
      <c r="AEH3" s="21"/>
      <c r="AEI3" s="21"/>
      <c r="AEJ3" s="21"/>
      <c r="AEK3" s="21"/>
      <c r="AEL3" s="21"/>
      <c r="AEM3" s="21"/>
      <c r="AEN3" s="21"/>
      <c r="AEO3" s="21"/>
      <c r="AEP3" s="21"/>
      <c r="AEQ3" s="21"/>
      <c r="AER3" s="21"/>
      <c r="AES3" s="21"/>
      <c r="AET3" s="21"/>
      <c r="AEU3" s="21"/>
      <c r="AEV3" s="21"/>
      <c r="AEW3" s="21"/>
      <c r="AEX3" s="21"/>
      <c r="AEY3" s="21"/>
      <c r="AEZ3" s="21"/>
      <c r="AFA3" s="21"/>
      <c r="AFB3" s="21"/>
      <c r="AFC3" s="21"/>
      <c r="AFD3" s="21"/>
      <c r="AFE3" s="21"/>
      <c r="AFF3" s="21"/>
      <c r="AFG3" s="21"/>
      <c r="AFH3" s="21"/>
      <c r="AFI3" s="21"/>
      <c r="AFJ3" s="21"/>
      <c r="AFK3" s="21"/>
      <c r="AFL3" s="21"/>
      <c r="AFM3" s="21"/>
      <c r="AFN3" s="21"/>
      <c r="AFO3" s="21"/>
      <c r="AFP3" s="21"/>
      <c r="AFQ3" s="21"/>
      <c r="AFR3" s="21"/>
      <c r="AFS3" s="21"/>
      <c r="AFT3" s="21"/>
      <c r="AFU3" s="21"/>
      <c r="AFV3" s="21"/>
      <c r="AFW3" s="21"/>
      <c r="AFX3" s="21"/>
      <c r="AFY3" s="21"/>
      <c r="AFZ3" s="21"/>
      <c r="AGA3" s="21"/>
      <c r="AGB3" s="21"/>
      <c r="AGC3" s="21"/>
      <c r="AGD3" s="21"/>
      <c r="AGE3" s="21"/>
      <c r="AGF3" s="21"/>
      <c r="AGG3" s="21"/>
      <c r="AGH3" s="21"/>
      <c r="AGI3" s="21"/>
      <c r="AGJ3" s="21"/>
      <c r="AGK3" s="21"/>
      <c r="AGL3" s="21"/>
      <c r="AGM3" s="21"/>
      <c r="AGN3" s="21"/>
      <c r="AGO3" s="21"/>
      <c r="AGP3" s="21"/>
      <c r="AGQ3" s="21"/>
      <c r="AGR3" s="21"/>
      <c r="AGS3" s="21"/>
      <c r="AGT3" s="21"/>
      <c r="AGU3" s="21"/>
      <c r="AGV3" s="21"/>
      <c r="AGW3" s="21"/>
      <c r="AGX3" s="21"/>
      <c r="AGY3" s="21"/>
      <c r="AGZ3" s="21"/>
      <c r="AHA3" s="21"/>
      <c r="AHB3" s="21"/>
      <c r="AHC3" s="21"/>
      <c r="AHD3" s="21"/>
      <c r="AHE3" s="21"/>
      <c r="AHF3" s="21"/>
      <c r="AHG3" s="21"/>
      <c r="AHH3" s="21"/>
      <c r="AHI3" s="21"/>
      <c r="AHJ3" s="21"/>
      <c r="AHK3" s="21"/>
      <c r="AHL3" s="21"/>
      <c r="AHM3" s="21"/>
      <c r="AHN3" s="21"/>
      <c r="AHO3" s="21"/>
      <c r="AHP3" s="21"/>
      <c r="AHQ3" s="21"/>
      <c r="AHR3" s="21"/>
      <c r="AHS3" s="21"/>
      <c r="AHT3" s="21"/>
      <c r="AHU3" s="21"/>
      <c r="AHV3" s="21"/>
      <c r="AHW3" s="21"/>
      <c r="AHX3" s="21"/>
      <c r="AHY3" s="21"/>
      <c r="AHZ3" s="21"/>
      <c r="AIA3" s="21"/>
      <c r="AIB3" s="21"/>
      <c r="AIC3" s="21"/>
      <c r="AID3" s="21"/>
      <c r="AIE3" s="21"/>
      <c r="AIF3" s="21"/>
      <c r="AIG3" s="21"/>
      <c r="AIH3" s="21"/>
      <c r="AII3" s="21"/>
      <c r="AIJ3" s="21"/>
      <c r="AIK3" s="21"/>
      <c r="AIL3" s="21"/>
      <c r="AIM3" s="21"/>
      <c r="AIN3" s="21"/>
      <c r="AIO3" s="21"/>
      <c r="AIP3" s="21"/>
      <c r="AIQ3" s="21"/>
      <c r="AIR3" s="21"/>
      <c r="AIS3" s="21"/>
      <c r="AIT3" s="21"/>
      <c r="AIU3" s="21"/>
      <c r="AIV3" s="21"/>
      <c r="AIW3" s="21"/>
      <c r="AIX3" s="21"/>
      <c r="AIY3" s="21"/>
      <c r="AIZ3" s="21"/>
      <c r="AJA3" s="21"/>
      <c r="AJB3" s="21"/>
      <c r="AJC3" s="21"/>
      <c r="AJD3" s="21"/>
      <c r="AJE3" s="21"/>
      <c r="AJF3" s="21"/>
      <c r="AJG3" s="21"/>
      <c r="AJH3" s="21"/>
      <c r="AJI3" s="21"/>
      <c r="AJJ3" s="21"/>
      <c r="AJK3" s="21"/>
      <c r="AJL3" s="21"/>
      <c r="AJM3" s="21"/>
      <c r="AJN3" s="21"/>
      <c r="AJO3" s="21"/>
      <c r="AJP3" s="21"/>
      <c r="AJQ3" s="21"/>
      <c r="AJR3" s="21"/>
      <c r="AJS3" s="21"/>
      <c r="AJT3" s="21"/>
      <c r="AJU3" s="21"/>
      <c r="AJV3" s="21"/>
      <c r="AJW3" s="21"/>
      <c r="AJX3" s="21"/>
      <c r="AJY3" s="21"/>
      <c r="AJZ3" s="21"/>
      <c r="AKA3" s="21"/>
      <c r="AKB3" s="21"/>
      <c r="AKC3" s="21"/>
      <c r="AKD3" s="21"/>
      <c r="AKE3" s="21"/>
      <c r="AKF3" s="21"/>
      <c r="AKG3" s="21"/>
      <c r="AKH3" s="21"/>
      <c r="AKI3" s="21"/>
      <c r="AKJ3" s="21"/>
      <c r="AKK3" s="21"/>
      <c r="AKL3" s="21"/>
      <c r="AKM3" s="21"/>
      <c r="AKN3" s="21"/>
      <c r="AKO3" s="21"/>
      <c r="AKP3" s="21"/>
      <c r="AKQ3" s="21"/>
      <c r="AKR3" s="21"/>
      <c r="AKS3" s="21"/>
      <c r="AKT3" s="21"/>
      <c r="AKU3" s="21"/>
      <c r="AKV3" s="21"/>
      <c r="AKW3" s="21"/>
      <c r="AKX3" s="21"/>
      <c r="AKY3" s="21"/>
      <c r="AKZ3" s="21"/>
      <c r="ALA3" s="21"/>
      <c r="ALB3" s="21"/>
      <c r="ALC3" s="21"/>
      <c r="ALD3" s="21"/>
      <c r="ALE3" s="21"/>
      <c r="ALF3" s="21"/>
      <c r="ALG3" s="21"/>
      <c r="ALH3" s="21"/>
      <c r="ALI3" s="21"/>
      <c r="ALJ3" s="21"/>
      <c r="ALK3" s="21"/>
      <c r="ALL3" s="21"/>
      <c r="ALM3" s="21"/>
      <c r="ALN3" s="21"/>
      <c r="ALO3" s="21"/>
      <c r="ALP3" s="21"/>
      <c r="ALQ3" s="21"/>
      <c r="ALR3" s="21"/>
      <c r="ALS3" s="21"/>
      <c r="ALT3" s="21"/>
      <c r="ALU3" s="21"/>
      <c r="ALV3" s="21"/>
      <c r="ALW3" s="21"/>
      <c r="ALX3" s="21"/>
      <c r="ALY3" s="21"/>
      <c r="ALZ3" s="21"/>
      <c r="AMA3" s="21"/>
      <c r="AMB3" s="21"/>
      <c r="AMC3" s="21"/>
      <c r="AMD3" s="21"/>
      <c r="AME3" s="21"/>
      <c r="AMF3" s="21"/>
      <c r="AMG3" s="21"/>
      <c r="AMH3" s="21"/>
      <c r="AMI3" s="21"/>
      <c r="AMJ3" s="21"/>
      <c r="AMK3" s="21"/>
      <c r="AML3" s="21"/>
      <c r="AMM3" s="21"/>
      <c r="AMN3" s="21"/>
      <c r="AMO3" s="21"/>
      <c r="AMP3" s="21"/>
      <c r="AMQ3" s="21"/>
      <c r="AMR3" s="21"/>
      <c r="AMS3" s="21"/>
      <c r="AMT3" s="21"/>
      <c r="AMU3" s="21"/>
      <c r="AMV3" s="21"/>
      <c r="AMW3" s="21"/>
      <c r="AMX3" s="21"/>
      <c r="AMY3" s="21"/>
      <c r="AMZ3" s="21"/>
      <c r="ANA3" s="21"/>
      <c r="ANB3" s="21"/>
      <c r="ANC3" s="21"/>
      <c r="AND3" s="21"/>
      <c r="ANE3" s="21"/>
      <c r="ANF3" s="21"/>
      <c r="ANG3" s="21"/>
      <c r="ANH3" s="21"/>
      <c r="ANI3" s="21"/>
      <c r="ANJ3" s="21"/>
      <c r="ANK3" s="21"/>
      <c r="ANL3" s="21"/>
      <c r="ANM3" s="21"/>
      <c r="ANN3" s="21"/>
      <c r="ANO3" s="21"/>
      <c r="ANP3" s="21"/>
      <c r="ANQ3" s="21"/>
      <c r="ANR3" s="21"/>
      <c r="ANS3" s="21"/>
      <c r="ANT3" s="21"/>
      <c r="ANU3" s="21"/>
      <c r="ANV3" s="21"/>
      <c r="ANW3" s="21"/>
      <c r="ANX3" s="21"/>
      <c r="ANY3" s="21"/>
      <c r="ANZ3" s="21"/>
      <c r="AOA3" s="21"/>
      <c r="AOB3" s="21"/>
      <c r="AOC3" s="21"/>
      <c r="AOD3" s="21"/>
      <c r="AOE3" s="21"/>
      <c r="AOF3" s="21"/>
      <c r="AOG3" s="21"/>
      <c r="AOH3" s="21"/>
      <c r="AOI3" s="21"/>
      <c r="AOJ3" s="21"/>
      <c r="AOK3" s="21"/>
      <c r="AOL3" s="21"/>
      <c r="AOM3" s="21"/>
      <c r="AON3" s="21"/>
      <c r="AOO3" s="21"/>
      <c r="AOP3" s="21"/>
      <c r="AOQ3" s="21"/>
      <c r="AOR3" s="21"/>
      <c r="AOS3" s="21"/>
      <c r="AOT3" s="21"/>
      <c r="AOU3" s="21"/>
      <c r="AOV3" s="21"/>
      <c r="AOW3" s="21"/>
      <c r="AOX3" s="21"/>
      <c r="AOY3" s="21"/>
      <c r="AOZ3" s="21"/>
      <c r="APA3" s="21"/>
      <c r="APB3" s="21"/>
      <c r="APC3" s="21"/>
      <c r="APD3" s="21"/>
      <c r="APE3" s="21"/>
      <c r="APF3" s="21"/>
      <c r="APG3" s="21"/>
      <c r="APH3" s="21"/>
      <c r="API3" s="21"/>
      <c r="APJ3" s="21"/>
      <c r="APK3" s="21"/>
      <c r="APL3" s="21"/>
      <c r="APM3" s="21"/>
      <c r="APN3" s="21"/>
      <c r="APO3" s="21"/>
      <c r="APP3" s="21"/>
      <c r="APQ3" s="21"/>
      <c r="APR3" s="21"/>
      <c r="APS3" s="21"/>
      <c r="APT3" s="21"/>
      <c r="APU3" s="21"/>
      <c r="APV3" s="21"/>
      <c r="APW3" s="21"/>
      <c r="APX3" s="21"/>
      <c r="APY3" s="21"/>
      <c r="APZ3" s="21"/>
      <c r="AQA3" s="21"/>
      <c r="AQB3" s="21"/>
      <c r="AQC3" s="21"/>
      <c r="AQD3" s="21"/>
      <c r="AQE3" s="21"/>
      <c r="AQF3" s="21"/>
      <c r="AQG3" s="21"/>
      <c r="AQH3" s="21"/>
      <c r="AQI3" s="21"/>
      <c r="AQJ3" s="21"/>
      <c r="AQK3" s="21"/>
      <c r="AQL3" s="21"/>
      <c r="AQM3" s="21"/>
      <c r="AQN3" s="21"/>
      <c r="AQO3" s="21"/>
      <c r="AQP3" s="21"/>
      <c r="AQQ3" s="21"/>
      <c r="AQR3" s="21"/>
      <c r="AQS3" s="21"/>
      <c r="AQT3" s="21"/>
      <c r="AQU3" s="21"/>
      <c r="AQV3" s="21"/>
      <c r="AQW3" s="21"/>
      <c r="AQX3" s="21"/>
      <c r="AQY3" s="21"/>
      <c r="AQZ3" s="21"/>
      <c r="ARA3" s="21"/>
      <c r="ARB3" s="21"/>
      <c r="ARC3" s="21"/>
      <c r="ARD3" s="21"/>
      <c r="ARE3" s="21"/>
      <c r="ARF3" s="21"/>
      <c r="ARG3" s="21"/>
      <c r="ARH3" s="21"/>
      <c r="ARI3" s="21"/>
      <c r="ARJ3" s="21"/>
      <c r="ARK3" s="21"/>
      <c r="ARL3" s="21"/>
      <c r="ARM3" s="21"/>
      <c r="ARN3" s="21"/>
      <c r="ARO3" s="21"/>
      <c r="ARP3" s="21"/>
      <c r="ARQ3" s="21"/>
      <c r="ARR3" s="21"/>
      <c r="ARS3" s="21"/>
      <c r="ART3" s="21"/>
      <c r="ARU3" s="21"/>
      <c r="ARV3" s="21"/>
      <c r="ARW3" s="21"/>
      <c r="ARX3" s="21"/>
      <c r="ARY3" s="21"/>
      <c r="ARZ3" s="21"/>
      <c r="ASA3" s="21"/>
      <c r="ASB3" s="21"/>
      <c r="ASC3" s="21"/>
      <c r="ASD3" s="21"/>
      <c r="ASE3" s="21"/>
      <c r="ASF3" s="21"/>
      <c r="ASG3" s="21"/>
      <c r="ASH3" s="21"/>
      <c r="ASI3" s="21"/>
      <c r="ASJ3" s="21"/>
      <c r="ASK3" s="21"/>
      <c r="ASL3" s="21"/>
      <c r="ASM3" s="21"/>
      <c r="ASN3" s="21"/>
      <c r="ASO3" s="21"/>
      <c r="ASP3" s="21"/>
      <c r="ASQ3" s="21"/>
      <c r="ASR3" s="21"/>
      <c r="ASS3" s="21"/>
      <c r="AST3" s="21"/>
      <c r="ASU3" s="21"/>
      <c r="ASV3" s="21"/>
      <c r="ASW3" s="21"/>
      <c r="ASX3" s="21"/>
      <c r="ASY3" s="21"/>
      <c r="ASZ3" s="21"/>
      <c r="ATA3" s="21"/>
      <c r="ATB3" s="21"/>
      <c r="ATC3" s="21"/>
      <c r="ATD3" s="21"/>
      <c r="ATE3" s="21"/>
      <c r="ATF3" s="21"/>
      <c r="ATG3" s="21"/>
      <c r="ATH3" s="21"/>
      <c r="ATI3" s="21"/>
      <c r="ATJ3" s="21"/>
      <c r="ATK3" s="21"/>
      <c r="ATL3" s="21"/>
      <c r="ATM3" s="21"/>
      <c r="ATN3" s="21"/>
      <c r="ATO3" s="21"/>
      <c r="ATP3" s="21"/>
      <c r="ATQ3" s="21"/>
      <c r="ATR3" s="21"/>
      <c r="ATS3" s="21"/>
      <c r="ATT3" s="21"/>
      <c r="ATU3" s="21"/>
      <c r="ATV3" s="21"/>
      <c r="ATW3" s="21"/>
      <c r="ATX3" s="21"/>
      <c r="ATY3" s="21"/>
      <c r="ATZ3" s="21"/>
      <c r="AUA3" s="21"/>
      <c r="AUB3" s="21"/>
      <c r="AUC3" s="21"/>
      <c r="AUD3" s="21"/>
      <c r="AUE3" s="21"/>
      <c r="AUF3" s="21"/>
      <c r="AUG3" s="21"/>
      <c r="AUH3" s="21"/>
      <c r="AUI3" s="21"/>
      <c r="AUJ3" s="21"/>
      <c r="AUK3" s="21"/>
      <c r="AUL3" s="21"/>
      <c r="AUM3" s="21"/>
      <c r="AUN3" s="21"/>
      <c r="AUO3" s="21"/>
      <c r="AUP3" s="21"/>
      <c r="AUQ3" s="21"/>
      <c r="AUR3" s="21"/>
      <c r="AUS3" s="21"/>
      <c r="AUT3" s="21"/>
      <c r="AUU3" s="21"/>
      <c r="AUV3" s="21"/>
      <c r="AUW3" s="21"/>
      <c r="AUX3" s="21"/>
      <c r="AUY3" s="21"/>
      <c r="AUZ3" s="21"/>
      <c r="AVA3" s="21"/>
      <c r="AVB3" s="21"/>
      <c r="AVC3" s="21"/>
      <c r="AVD3" s="21"/>
      <c r="AVE3" s="21"/>
      <c r="AVF3" s="21"/>
      <c r="AVG3" s="21"/>
      <c r="AVH3" s="21"/>
      <c r="AVI3" s="21"/>
      <c r="AVJ3" s="21"/>
      <c r="AVK3" s="21"/>
      <c r="AVL3" s="21"/>
      <c r="AVM3" s="21"/>
      <c r="AVN3" s="21"/>
      <c r="AVO3" s="21"/>
      <c r="AVP3" s="21"/>
      <c r="AVQ3" s="21"/>
      <c r="AVR3" s="21"/>
      <c r="AVS3" s="21"/>
      <c r="AVT3" s="21"/>
      <c r="AVU3" s="21"/>
      <c r="AVV3" s="21"/>
      <c r="AVW3" s="21"/>
      <c r="AVX3" s="21"/>
      <c r="AVY3" s="21"/>
      <c r="AVZ3" s="21"/>
      <c r="AWA3" s="21"/>
      <c r="AWB3" s="21"/>
      <c r="AWC3" s="21"/>
      <c r="AWD3" s="21"/>
      <c r="AWE3" s="21"/>
      <c r="AWF3" s="21"/>
      <c r="AWG3" s="21"/>
      <c r="AWH3" s="21"/>
      <c r="AWI3" s="21"/>
      <c r="AWJ3" s="21"/>
      <c r="AWK3" s="21"/>
      <c r="AWL3" s="21"/>
      <c r="AWM3" s="21"/>
      <c r="AWN3" s="21"/>
      <c r="AWO3" s="21"/>
      <c r="AWP3" s="21"/>
      <c r="AWQ3" s="21"/>
      <c r="AWR3" s="21"/>
      <c r="AWS3" s="21"/>
      <c r="AWT3" s="21"/>
      <c r="AWU3" s="21"/>
      <c r="AWV3" s="21"/>
      <c r="AWW3" s="21"/>
      <c r="AWX3" s="21"/>
      <c r="AWY3" s="21"/>
      <c r="AWZ3" s="21"/>
      <c r="AXA3" s="21"/>
      <c r="AXB3" s="21"/>
      <c r="AXC3" s="21"/>
      <c r="AXD3" s="21"/>
      <c r="AXE3" s="21"/>
      <c r="AXF3" s="21"/>
      <c r="AXG3" s="21"/>
      <c r="AXH3" s="21"/>
      <c r="AXI3" s="21"/>
      <c r="AXJ3" s="21"/>
      <c r="AXK3" s="21"/>
      <c r="AXL3" s="21"/>
      <c r="AXM3" s="21"/>
      <c r="AXN3" s="21"/>
      <c r="AXO3" s="21"/>
      <c r="AXP3" s="21"/>
      <c r="AXQ3" s="21"/>
      <c r="AXR3" s="21"/>
      <c r="AXS3" s="21"/>
      <c r="AXT3" s="21"/>
      <c r="AXU3" s="21"/>
      <c r="AXV3" s="21"/>
      <c r="AXW3" s="21"/>
      <c r="AXX3" s="21"/>
      <c r="AXY3" s="21"/>
      <c r="AXZ3" s="21"/>
      <c r="AYA3" s="21"/>
      <c r="AYB3" s="21"/>
      <c r="AYC3" s="21"/>
      <c r="AYD3" s="21"/>
      <c r="AYE3" s="21"/>
      <c r="AYF3" s="21"/>
      <c r="AYG3" s="21"/>
      <c r="AYH3" s="21"/>
      <c r="AYI3" s="21"/>
      <c r="AYJ3" s="21"/>
      <c r="AYK3" s="21"/>
      <c r="AYL3" s="21"/>
      <c r="AYM3" s="21"/>
      <c r="AYN3" s="21"/>
      <c r="AYO3" s="21"/>
      <c r="AYP3" s="21"/>
      <c r="AYQ3" s="21"/>
      <c r="AYR3" s="21"/>
      <c r="AYS3" s="21"/>
      <c r="AYT3" s="21"/>
      <c r="AYU3" s="21"/>
      <c r="AYV3" s="21"/>
      <c r="AYW3" s="21"/>
      <c r="AYX3" s="21"/>
      <c r="AYY3" s="21"/>
      <c r="AYZ3" s="21"/>
      <c r="AZA3" s="21"/>
      <c r="AZB3" s="21"/>
      <c r="AZC3" s="21"/>
      <c r="AZD3" s="21"/>
      <c r="AZE3" s="21"/>
      <c r="AZF3" s="21"/>
      <c r="AZG3" s="21"/>
      <c r="AZH3" s="21"/>
      <c r="AZI3" s="21"/>
      <c r="AZJ3" s="21"/>
      <c r="AZK3" s="21"/>
      <c r="AZL3" s="21"/>
      <c r="AZM3" s="21"/>
      <c r="AZN3" s="21"/>
      <c r="AZO3" s="21"/>
      <c r="AZP3" s="21"/>
      <c r="AZQ3" s="21"/>
      <c r="AZR3" s="21"/>
      <c r="AZS3" s="21"/>
      <c r="AZT3" s="21"/>
      <c r="AZU3" s="21"/>
      <c r="AZV3" s="21"/>
      <c r="AZW3" s="21"/>
      <c r="AZX3" s="21"/>
      <c r="AZY3" s="21"/>
      <c r="AZZ3" s="21"/>
      <c r="BAA3" s="21"/>
      <c r="BAB3" s="21"/>
      <c r="BAC3" s="21"/>
      <c r="BAD3" s="21"/>
      <c r="BAE3" s="21"/>
      <c r="BAF3" s="21"/>
      <c r="BAG3" s="21"/>
      <c r="BAH3" s="21"/>
      <c r="BAI3" s="21"/>
      <c r="BAJ3" s="21"/>
      <c r="BAK3" s="21"/>
      <c r="BAL3" s="21"/>
      <c r="BAM3" s="21"/>
      <c r="BAN3" s="21"/>
      <c r="BAO3" s="21"/>
      <c r="BAP3" s="21"/>
      <c r="BAQ3" s="21"/>
      <c r="BAR3" s="21"/>
      <c r="BAS3" s="21"/>
      <c r="BAT3" s="21"/>
      <c r="BAU3" s="21"/>
      <c r="BAV3" s="21"/>
      <c r="BAW3" s="21"/>
      <c r="BAX3" s="21"/>
      <c r="BAY3" s="21"/>
      <c r="BAZ3" s="21"/>
      <c r="BBA3" s="21"/>
      <c r="BBB3" s="21"/>
      <c r="BBC3" s="21"/>
      <c r="BBD3" s="21"/>
      <c r="BBE3" s="21"/>
      <c r="BBF3" s="21"/>
      <c r="BBG3" s="21"/>
      <c r="BBH3" s="21"/>
      <c r="BBI3" s="21"/>
      <c r="BBJ3" s="21"/>
      <c r="BBK3" s="21"/>
      <c r="BBL3" s="21"/>
      <c r="BBM3" s="21"/>
      <c r="BBN3" s="21"/>
      <c r="BBO3" s="21"/>
      <c r="BBP3" s="21"/>
      <c r="BBQ3" s="21"/>
      <c r="BBR3" s="21"/>
      <c r="BBS3" s="21"/>
      <c r="BBT3" s="21"/>
      <c r="BBU3" s="21"/>
      <c r="BBV3" s="21"/>
      <c r="BBW3" s="21"/>
      <c r="BBX3" s="21"/>
      <c r="BBY3" s="21"/>
      <c r="BBZ3" s="21"/>
      <c r="BCA3" s="21"/>
      <c r="BCB3" s="21"/>
      <c r="BCC3" s="21"/>
      <c r="BCD3" s="21"/>
      <c r="BCE3" s="21"/>
      <c r="BCF3" s="21"/>
      <c r="BCG3" s="21"/>
      <c r="BCH3" s="21"/>
      <c r="BCI3" s="21"/>
      <c r="BCJ3" s="21"/>
      <c r="BCK3" s="21"/>
      <c r="BCL3" s="21"/>
      <c r="BCM3" s="21"/>
      <c r="BCN3" s="21"/>
      <c r="BCO3" s="21"/>
      <c r="BCP3" s="21"/>
      <c r="BCQ3" s="21"/>
      <c r="BCR3" s="21"/>
      <c r="BCS3" s="21"/>
      <c r="BCT3" s="21"/>
      <c r="BCU3" s="21"/>
      <c r="BCV3" s="21"/>
      <c r="BCW3" s="21"/>
      <c r="BCX3" s="21"/>
      <c r="BCY3" s="21"/>
      <c r="BCZ3" s="21"/>
      <c r="BDA3" s="21"/>
      <c r="BDB3" s="21"/>
      <c r="BDC3" s="21"/>
      <c r="BDD3" s="21"/>
      <c r="BDE3" s="21"/>
      <c r="BDF3" s="21"/>
      <c r="BDG3" s="21"/>
      <c r="BDH3" s="21"/>
      <c r="BDI3" s="21"/>
      <c r="BDJ3" s="21"/>
      <c r="BDK3" s="21"/>
      <c r="BDL3" s="21"/>
      <c r="BDM3" s="21"/>
      <c r="BDN3" s="21"/>
      <c r="BDO3" s="21"/>
      <c r="BDP3" s="21"/>
      <c r="BDQ3" s="21"/>
      <c r="BDR3" s="21"/>
      <c r="BDS3" s="21"/>
      <c r="BDT3" s="21"/>
      <c r="BDU3" s="21"/>
      <c r="BDV3" s="21"/>
      <c r="BDW3" s="21"/>
      <c r="BDX3" s="21"/>
      <c r="BDY3" s="21"/>
      <c r="BDZ3" s="21"/>
    </row>
    <row r="4" spans="1:1482" s="12" customFormat="1" x14ac:dyDescent="0.25">
      <c r="A4" s="13"/>
      <c r="B4" s="13"/>
      <c r="C4" s="13"/>
      <c r="D4" s="13"/>
      <c r="E4" s="13"/>
      <c r="F4" s="17" t="s">
        <v>88</v>
      </c>
      <c r="G4" s="13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5">
        <f>VLOOKUP($F4,'Visu totale'!$D$3:$DT$129,Q$1,0)</f>
        <v>0</v>
      </c>
      <c r="R4" s="14">
        <f>VLOOKUP($F4,'Visu totale'!$D$3:$DT$129,R$1,0)</f>
        <v>0</v>
      </c>
      <c r="S4" s="13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5">
        <f>VLOOKUP($F4,'Visu totale'!$D$3:$DT$129,AC$1,0)</f>
        <v>0</v>
      </c>
      <c r="AD4" s="14">
        <f>VLOOKUP($F4,'Visu totale'!$D$3:$DT$129,AD$1,0)</f>
        <v>0</v>
      </c>
      <c r="AE4" s="13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5">
        <f>VLOOKUP($F4,'Visu totale'!$D$3:$DT$129,AO$1,0)</f>
        <v>0</v>
      </c>
      <c r="AP4" s="14">
        <f>VLOOKUP($F4,'Visu totale'!$D$3:$DT$129,AP$1,0)</f>
        <v>0</v>
      </c>
      <c r="AQ4" s="13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5">
        <f>VLOOKUP($F4,'Visu totale'!$D$3:$DT$129,BA$1,0)</f>
        <v>0</v>
      </c>
      <c r="BB4" s="14">
        <f>VLOOKUP($F4,'Visu totale'!$D$3:$DT$129,BB$1,0)</f>
        <v>0</v>
      </c>
      <c r="BC4" s="13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5">
        <f>VLOOKUP($F4,'Visu totale'!$D$3:$DT$129,BM$1,0)</f>
        <v>0</v>
      </c>
      <c r="BN4" s="14">
        <f>VLOOKUP($F4,'Visu totale'!$D$3:$DT$129,BN$1,0)</f>
        <v>0</v>
      </c>
      <c r="BO4" s="13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5">
        <f>VLOOKUP($F4,'Visu totale'!$D$3:$DT$129,BY$1,0)</f>
        <v>0</v>
      </c>
      <c r="BZ4" s="14">
        <f>VLOOKUP($F4,'Visu totale'!$D$3:$DT$129,BZ$1,0)</f>
        <v>0</v>
      </c>
      <c r="CA4" s="13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5">
        <f>VLOOKUP($F4,'Visu totale'!$D$3:$DT$129,CK$1,0)</f>
        <v>0</v>
      </c>
      <c r="CL4" s="14">
        <f>VLOOKUP($F4,'Visu totale'!$D$3:$DT$129,CL$1,0)</f>
        <v>0</v>
      </c>
      <c r="CM4" s="13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5">
        <f>VLOOKUP($F4,'Visu totale'!$D$3:$DT$129,CW$1,0)</f>
        <v>0</v>
      </c>
      <c r="CX4" s="14">
        <f>VLOOKUP($F4,'Visu totale'!$D$3:$DT$129,CX$1,0)</f>
        <v>0</v>
      </c>
      <c r="CY4" s="13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5">
        <f>VLOOKUP($F4,'Visu totale'!$D$3:$DT$129,DI$1,0)</f>
        <v>0</v>
      </c>
      <c r="DJ4" s="14">
        <f>VLOOKUP($F4,'Visu totale'!$D$3:$DT$129,DJ$1,0)</f>
        <v>0</v>
      </c>
      <c r="DK4" s="13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5">
        <f>VLOOKUP($F4,'Visu totale'!$D$3:$DT$129,DU$1,0)</f>
        <v>0</v>
      </c>
    </row>
    <row r="5" spans="1:1482" s="12" customFormat="1" x14ac:dyDescent="0.25">
      <c r="A5" s="13"/>
      <c r="B5" s="13"/>
      <c r="C5" s="13"/>
      <c r="D5" s="13"/>
      <c r="E5" s="13"/>
      <c r="F5" s="17" t="s">
        <v>89</v>
      </c>
      <c r="G5" s="13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5">
        <f>VLOOKUP($F5,'Visu totale'!$D$3:$DT$129,Q$1,0)</f>
        <v>0</v>
      </c>
      <c r="R5" s="14">
        <f>VLOOKUP($F5,'Visu totale'!$D$3:$DT$129,R$1,0)</f>
        <v>0</v>
      </c>
      <c r="S5" s="13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5">
        <f>VLOOKUP($F5,'Visu totale'!$D$3:$DT$129,AC$1,0)</f>
        <v>0</v>
      </c>
      <c r="AD5" s="14">
        <f>VLOOKUP($F5,'Visu totale'!$D$3:$DT$129,AD$1,0)</f>
        <v>0</v>
      </c>
      <c r="AE5" s="13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5">
        <f>VLOOKUP($F5,'Visu totale'!$D$3:$DT$129,AO$1,0)</f>
        <v>0</v>
      </c>
      <c r="AP5" s="14">
        <f>VLOOKUP($F5,'Visu totale'!$D$3:$DT$129,AP$1,0)</f>
        <v>0</v>
      </c>
      <c r="AQ5" s="13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5">
        <f>VLOOKUP($F5,'Visu totale'!$D$3:$DT$129,BA$1,0)</f>
        <v>0</v>
      </c>
      <c r="BB5" s="14">
        <f>VLOOKUP($F5,'Visu totale'!$D$3:$DT$129,BB$1,0)</f>
        <v>0</v>
      </c>
      <c r="BC5" s="13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5">
        <f>VLOOKUP($F5,'Visu totale'!$D$3:$DT$129,BM$1,0)</f>
        <v>0</v>
      </c>
      <c r="BN5" s="14">
        <f>VLOOKUP($F5,'Visu totale'!$D$3:$DT$129,BN$1,0)</f>
        <v>0</v>
      </c>
      <c r="BO5" s="13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5">
        <f>VLOOKUP($F5,'Visu totale'!$D$3:$DT$129,BY$1,0)</f>
        <v>0</v>
      </c>
      <c r="BZ5" s="14">
        <f>VLOOKUP($F5,'Visu totale'!$D$3:$DT$129,BZ$1,0)</f>
        <v>0</v>
      </c>
      <c r="CA5" s="13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5">
        <f>VLOOKUP($F5,'Visu totale'!$D$3:$DT$129,CK$1,0)</f>
        <v>0</v>
      </c>
      <c r="CL5" s="14">
        <f>VLOOKUP($F5,'Visu totale'!$D$3:$DT$129,CL$1,0)</f>
        <v>0</v>
      </c>
      <c r="CM5" s="13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5">
        <f>VLOOKUP($F5,'Visu totale'!$D$3:$DT$129,CW$1,0)</f>
        <v>0</v>
      </c>
      <c r="CX5" s="14">
        <f>VLOOKUP($F5,'Visu totale'!$D$3:$DT$129,CX$1,0)</f>
        <v>0</v>
      </c>
      <c r="CY5" s="13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5">
        <f>VLOOKUP($F5,'Visu totale'!$D$3:$DT$129,DI$1,0)</f>
        <v>0</v>
      </c>
      <c r="DJ5" s="14">
        <f>VLOOKUP($F5,'Visu totale'!$D$3:$DT$129,DJ$1,0)</f>
        <v>0</v>
      </c>
      <c r="DK5" s="13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5">
        <f>VLOOKUP($F5,'Visu totale'!$D$3:$DT$129,DU$1,0)</f>
        <v>0</v>
      </c>
    </row>
    <row r="6" spans="1:1482" s="12" customFormat="1" x14ac:dyDescent="0.25">
      <c r="A6" s="13"/>
      <c r="B6" s="13"/>
      <c r="C6" s="13"/>
      <c r="D6" s="13"/>
      <c r="E6" s="13"/>
      <c r="F6" s="17" t="s">
        <v>90</v>
      </c>
      <c r="G6" s="13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5">
        <f>VLOOKUP($F6,'Visu totale'!$D$3:$DT$129,Q$1,0)</f>
        <v>0</v>
      </c>
      <c r="R6" s="14">
        <f>VLOOKUP($F6,'Visu totale'!$D$3:$DT$129,R$1,0)</f>
        <v>0</v>
      </c>
      <c r="S6" s="13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5">
        <f>VLOOKUP($F6,'Visu totale'!$D$3:$DT$129,AC$1,0)</f>
        <v>0</v>
      </c>
      <c r="AD6" s="14">
        <f>VLOOKUP($F6,'Visu totale'!$D$3:$DT$129,AD$1,0)</f>
        <v>0</v>
      </c>
      <c r="AE6" s="13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5">
        <f>VLOOKUP($F6,'Visu totale'!$D$3:$DT$129,AO$1,0)</f>
        <v>0</v>
      </c>
      <c r="AP6" s="14">
        <f>VLOOKUP($F6,'Visu totale'!$D$3:$DT$129,AP$1,0)</f>
        <v>0</v>
      </c>
      <c r="AQ6" s="13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5">
        <f>VLOOKUP($F6,'Visu totale'!$D$3:$DT$129,BA$1,0)</f>
        <v>0</v>
      </c>
      <c r="BB6" s="14">
        <f>VLOOKUP($F6,'Visu totale'!$D$3:$DT$129,BB$1,0)</f>
        <v>0</v>
      </c>
      <c r="BC6" s="13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5">
        <f>VLOOKUP($F6,'Visu totale'!$D$3:$DT$129,BM$1,0)</f>
        <v>0</v>
      </c>
      <c r="BN6" s="14">
        <f>VLOOKUP($F6,'Visu totale'!$D$3:$DT$129,BN$1,0)</f>
        <v>0</v>
      </c>
      <c r="BO6" s="13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5">
        <f>VLOOKUP($F6,'Visu totale'!$D$3:$DT$129,BY$1,0)</f>
        <v>0</v>
      </c>
      <c r="BZ6" s="14">
        <f>VLOOKUP($F6,'Visu totale'!$D$3:$DT$129,BZ$1,0)</f>
        <v>0</v>
      </c>
      <c r="CA6" s="13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5">
        <f>VLOOKUP($F6,'Visu totale'!$D$3:$DT$129,CK$1,0)</f>
        <v>0</v>
      </c>
      <c r="CL6" s="14">
        <f>VLOOKUP($F6,'Visu totale'!$D$3:$DT$129,CL$1,0)</f>
        <v>0</v>
      </c>
      <c r="CM6" s="13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5">
        <f>VLOOKUP($F6,'Visu totale'!$D$3:$DT$129,CW$1,0)</f>
        <v>0</v>
      </c>
      <c r="CX6" s="14">
        <f>VLOOKUP($F6,'Visu totale'!$D$3:$DT$129,CX$1,0)</f>
        <v>0</v>
      </c>
      <c r="CY6" s="13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5">
        <f>VLOOKUP($F6,'Visu totale'!$D$3:$DT$129,DI$1,0)</f>
        <v>0</v>
      </c>
      <c r="DJ6" s="14">
        <f>VLOOKUP($F6,'Visu totale'!$D$3:$DT$129,DJ$1,0)</f>
        <v>0</v>
      </c>
      <c r="DK6" s="13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5">
        <f>VLOOKUP($F6,'Visu totale'!$D$3:$DT$129,DU$1,0)</f>
        <v>0</v>
      </c>
    </row>
    <row r="7" spans="1:1482" s="12" customFormat="1" x14ac:dyDescent="0.25">
      <c r="A7" s="13"/>
      <c r="B7" s="13"/>
      <c r="C7" s="13"/>
      <c r="D7" s="13"/>
      <c r="E7" s="13"/>
      <c r="F7" s="17" t="s">
        <v>91</v>
      </c>
      <c r="G7" s="13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5">
        <f>VLOOKUP($F7,'Visu totale'!$D$3:$DT$129,Q$1,0)</f>
        <v>0</v>
      </c>
      <c r="R7" s="14">
        <f>VLOOKUP($F7,'Visu totale'!$D$3:$DT$129,R$1,0)</f>
        <v>0</v>
      </c>
      <c r="S7" s="13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5">
        <f>VLOOKUP($F7,'Visu totale'!$D$3:$DT$129,AC$1,0)</f>
        <v>0</v>
      </c>
      <c r="AD7" s="14">
        <f>VLOOKUP($F7,'Visu totale'!$D$3:$DT$129,AD$1,0)</f>
        <v>0</v>
      </c>
      <c r="AE7" s="13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5">
        <f>VLOOKUP($F7,'Visu totale'!$D$3:$DT$129,AO$1,0)</f>
        <v>0</v>
      </c>
      <c r="AP7" s="14">
        <f>VLOOKUP($F7,'Visu totale'!$D$3:$DT$129,AP$1,0)</f>
        <v>0</v>
      </c>
      <c r="AQ7" s="13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5">
        <f>VLOOKUP($F7,'Visu totale'!$D$3:$DT$129,BA$1,0)</f>
        <v>0</v>
      </c>
      <c r="BB7" s="14">
        <f>VLOOKUP($F7,'Visu totale'!$D$3:$DT$129,BB$1,0)</f>
        <v>0</v>
      </c>
      <c r="BC7" s="13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5">
        <f>VLOOKUP($F7,'Visu totale'!$D$3:$DT$129,BM$1,0)</f>
        <v>0</v>
      </c>
      <c r="BN7" s="14">
        <f>VLOOKUP($F7,'Visu totale'!$D$3:$DT$129,BN$1,0)</f>
        <v>0</v>
      </c>
      <c r="BO7" s="13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5">
        <f>VLOOKUP($F7,'Visu totale'!$D$3:$DT$129,BY$1,0)</f>
        <v>0</v>
      </c>
      <c r="BZ7" s="14">
        <f>VLOOKUP($F7,'Visu totale'!$D$3:$DT$129,BZ$1,0)</f>
        <v>0</v>
      </c>
      <c r="CA7" s="13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5">
        <f>VLOOKUP($F7,'Visu totale'!$D$3:$DT$129,CK$1,0)</f>
        <v>0</v>
      </c>
      <c r="CL7" s="14">
        <f>VLOOKUP($F7,'Visu totale'!$D$3:$DT$129,CL$1,0)</f>
        <v>0</v>
      </c>
      <c r="CM7" s="13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5">
        <f>VLOOKUP($F7,'Visu totale'!$D$3:$DT$129,CW$1,0)</f>
        <v>0</v>
      </c>
      <c r="CX7" s="14">
        <f>VLOOKUP($F7,'Visu totale'!$D$3:$DT$129,CX$1,0)</f>
        <v>0</v>
      </c>
      <c r="CY7" s="13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5">
        <f>VLOOKUP($F7,'Visu totale'!$D$3:$DT$129,DI$1,0)</f>
        <v>0</v>
      </c>
      <c r="DJ7" s="14">
        <f>VLOOKUP($F7,'Visu totale'!$D$3:$DT$129,DJ$1,0)</f>
        <v>0</v>
      </c>
      <c r="DK7" s="13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5">
        <f>VLOOKUP($F7,'Visu totale'!$D$3:$DT$129,DU$1,0)</f>
        <v>0</v>
      </c>
    </row>
    <row r="8" spans="1:1482" s="12" customFormat="1" x14ac:dyDescent="0.25">
      <c r="A8" s="13"/>
      <c r="B8" s="13"/>
      <c r="C8" s="13"/>
      <c r="D8" s="13"/>
      <c r="E8" s="13"/>
      <c r="F8" s="17" t="s">
        <v>92</v>
      </c>
      <c r="G8" s="13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5">
        <f>VLOOKUP($F8,'Visu totale'!$D$3:$DT$129,Q$1,0)</f>
        <v>0</v>
      </c>
      <c r="R8" s="14">
        <f>VLOOKUP($F8,'Visu totale'!$D$3:$DT$129,R$1,0)</f>
        <v>0</v>
      </c>
      <c r="S8" s="13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5">
        <f>VLOOKUP($F8,'Visu totale'!$D$3:$DT$129,AC$1,0)</f>
        <v>0</v>
      </c>
      <c r="AD8" s="14">
        <f>VLOOKUP($F8,'Visu totale'!$D$3:$DT$129,AD$1,0)</f>
        <v>0</v>
      </c>
      <c r="AE8" s="13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5">
        <f>VLOOKUP($F8,'Visu totale'!$D$3:$DT$129,AO$1,0)</f>
        <v>0</v>
      </c>
      <c r="AP8" s="14">
        <f>VLOOKUP($F8,'Visu totale'!$D$3:$DT$129,AP$1,0)</f>
        <v>0</v>
      </c>
      <c r="AQ8" s="13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5">
        <f>VLOOKUP($F8,'Visu totale'!$D$3:$DT$129,BA$1,0)</f>
        <v>0</v>
      </c>
      <c r="BB8" s="14">
        <f>VLOOKUP($F8,'Visu totale'!$D$3:$DT$129,BB$1,0)</f>
        <v>0</v>
      </c>
      <c r="BC8" s="13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5">
        <f>VLOOKUP($F8,'Visu totale'!$D$3:$DT$129,BM$1,0)</f>
        <v>0</v>
      </c>
      <c r="BN8" s="14">
        <f>VLOOKUP($F8,'Visu totale'!$D$3:$DT$129,BN$1,0)</f>
        <v>0</v>
      </c>
      <c r="BO8" s="13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5">
        <f>VLOOKUP($F8,'Visu totale'!$D$3:$DT$129,BY$1,0)</f>
        <v>0</v>
      </c>
      <c r="BZ8" s="14">
        <f>VLOOKUP($F8,'Visu totale'!$D$3:$DT$129,BZ$1,0)</f>
        <v>0</v>
      </c>
      <c r="CA8" s="13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5">
        <f>VLOOKUP($F8,'Visu totale'!$D$3:$DT$129,CK$1,0)</f>
        <v>0</v>
      </c>
      <c r="CL8" s="14">
        <f>VLOOKUP($F8,'Visu totale'!$D$3:$DT$129,CL$1,0)</f>
        <v>0</v>
      </c>
      <c r="CM8" s="13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5">
        <f>VLOOKUP($F8,'Visu totale'!$D$3:$DT$129,CW$1,0)</f>
        <v>0</v>
      </c>
      <c r="CX8" s="14">
        <f>VLOOKUP($F8,'Visu totale'!$D$3:$DT$129,CX$1,0)</f>
        <v>0</v>
      </c>
      <c r="CY8" s="13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5">
        <f>VLOOKUP($F8,'Visu totale'!$D$3:$DT$129,DI$1,0)</f>
        <v>0</v>
      </c>
      <c r="DJ8" s="14">
        <f>VLOOKUP($F8,'Visu totale'!$D$3:$DT$129,DJ$1,0)</f>
        <v>0</v>
      </c>
      <c r="DK8" s="13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5">
        <f>VLOOKUP($F8,'Visu totale'!$D$3:$DT$129,DU$1,0)</f>
        <v>0</v>
      </c>
    </row>
    <row r="9" spans="1:1482" s="12" customFormat="1" x14ac:dyDescent="0.25">
      <c r="A9" s="13"/>
      <c r="B9" s="13"/>
      <c r="C9" s="13"/>
      <c r="D9" s="13"/>
      <c r="E9" s="13"/>
      <c r="F9" s="17" t="s">
        <v>99</v>
      </c>
      <c r="G9" s="13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5">
        <f>VLOOKUP($F9,'Visu totale'!$D$3:$DT$129,Q$1,0)</f>
        <v>0</v>
      </c>
      <c r="R9" s="14">
        <f>VLOOKUP($F9,'Visu totale'!$D$3:$DT$129,R$1,0)</f>
        <v>0</v>
      </c>
      <c r="S9" s="13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5">
        <f>VLOOKUP($F9,'Visu totale'!$D$3:$DT$129,AC$1,0)</f>
        <v>0</v>
      </c>
      <c r="AD9" s="14">
        <f>VLOOKUP($F9,'Visu totale'!$D$3:$DT$129,AD$1,0)</f>
        <v>0</v>
      </c>
      <c r="AE9" s="13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5">
        <f>VLOOKUP($F9,'Visu totale'!$D$3:$DT$129,AO$1,0)</f>
        <v>0</v>
      </c>
      <c r="AP9" s="14">
        <f>VLOOKUP($F9,'Visu totale'!$D$3:$DT$129,AP$1,0)</f>
        <v>0</v>
      </c>
      <c r="AQ9" s="13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5">
        <f>VLOOKUP($F9,'Visu totale'!$D$3:$DT$129,BA$1,0)</f>
        <v>0</v>
      </c>
      <c r="BB9" s="14">
        <f>VLOOKUP($F9,'Visu totale'!$D$3:$DT$129,BB$1,0)</f>
        <v>0</v>
      </c>
      <c r="BC9" s="13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5">
        <f>VLOOKUP($F9,'Visu totale'!$D$3:$DT$129,BM$1,0)</f>
        <v>0</v>
      </c>
      <c r="BN9" s="14">
        <f>VLOOKUP($F9,'Visu totale'!$D$3:$DT$129,BN$1,0)</f>
        <v>0</v>
      </c>
      <c r="BO9" s="13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5">
        <f>VLOOKUP($F9,'Visu totale'!$D$3:$DT$129,BY$1,0)</f>
        <v>0</v>
      </c>
      <c r="BZ9" s="14">
        <f>VLOOKUP($F9,'Visu totale'!$D$3:$DT$129,BZ$1,0)</f>
        <v>0</v>
      </c>
      <c r="CA9" s="13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5">
        <f>VLOOKUP($F9,'Visu totale'!$D$3:$DT$129,CK$1,0)</f>
        <v>0</v>
      </c>
      <c r="CL9" s="14">
        <f>VLOOKUP($F9,'Visu totale'!$D$3:$DT$129,CL$1,0)</f>
        <v>0</v>
      </c>
      <c r="CM9" s="13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5">
        <f>VLOOKUP($F9,'Visu totale'!$D$3:$DT$129,CW$1,0)</f>
        <v>0</v>
      </c>
      <c r="CX9" s="14">
        <f>VLOOKUP($F9,'Visu totale'!$D$3:$DT$129,CX$1,0)</f>
        <v>0</v>
      </c>
      <c r="CY9" s="13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5">
        <f>VLOOKUP($F9,'Visu totale'!$D$3:$DT$129,DI$1,0)</f>
        <v>0</v>
      </c>
      <c r="DJ9" s="14">
        <f>VLOOKUP($F9,'Visu totale'!$D$3:$DT$129,DJ$1,0)</f>
        <v>0</v>
      </c>
      <c r="DK9" s="13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5">
        <f>VLOOKUP($F9,'Visu totale'!$D$3:$DT$129,DU$1,0)</f>
        <v>0</v>
      </c>
    </row>
    <row r="10" spans="1:1482" s="12" customFormat="1" x14ac:dyDescent="0.25">
      <c r="A10" s="13"/>
      <c r="B10" s="13"/>
      <c r="C10" s="13"/>
      <c r="D10" s="13"/>
      <c r="E10" s="13"/>
      <c r="F10" s="17" t="s">
        <v>100</v>
      </c>
      <c r="G10" s="13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5">
        <f>VLOOKUP($F10,'Visu totale'!$D$3:$DT$129,Q$1,0)</f>
        <v>0</v>
      </c>
      <c r="R10" s="14">
        <f>VLOOKUP($F10,'Visu totale'!$D$3:$DT$129,R$1,0)</f>
        <v>0</v>
      </c>
      <c r="S10" s="13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5">
        <f>VLOOKUP($F10,'Visu totale'!$D$3:$DT$129,AC$1,0)</f>
        <v>0</v>
      </c>
      <c r="AD10" s="14">
        <f>VLOOKUP($F10,'Visu totale'!$D$3:$DT$129,AD$1,0)</f>
        <v>0</v>
      </c>
      <c r="AE10" s="13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5">
        <f>VLOOKUP($F10,'Visu totale'!$D$3:$DT$129,AO$1,0)</f>
        <v>0</v>
      </c>
      <c r="AP10" s="14">
        <f>VLOOKUP($F10,'Visu totale'!$D$3:$DT$129,AP$1,0)</f>
        <v>0</v>
      </c>
      <c r="AQ10" s="13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5">
        <f>VLOOKUP($F10,'Visu totale'!$D$3:$DT$129,BA$1,0)</f>
        <v>0</v>
      </c>
      <c r="BB10" s="14">
        <f>VLOOKUP($F10,'Visu totale'!$D$3:$DT$129,BB$1,0)</f>
        <v>0</v>
      </c>
      <c r="BC10" s="13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5">
        <f>VLOOKUP($F10,'Visu totale'!$D$3:$DT$129,BM$1,0)</f>
        <v>0</v>
      </c>
      <c r="BN10" s="14">
        <f>VLOOKUP($F10,'Visu totale'!$D$3:$DT$129,BN$1,0)</f>
        <v>0</v>
      </c>
      <c r="BO10" s="13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5">
        <f>VLOOKUP($F10,'Visu totale'!$D$3:$DT$129,BY$1,0)</f>
        <v>0</v>
      </c>
      <c r="BZ10" s="14">
        <f>VLOOKUP($F10,'Visu totale'!$D$3:$DT$129,BZ$1,0)</f>
        <v>0</v>
      </c>
      <c r="CA10" s="13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5">
        <f>VLOOKUP($F10,'Visu totale'!$D$3:$DT$129,CK$1,0)</f>
        <v>0</v>
      </c>
      <c r="CL10" s="14">
        <f>VLOOKUP($F10,'Visu totale'!$D$3:$DT$129,CL$1,0)</f>
        <v>0</v>
      </c>
      <c r="CM10" s="13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5">
        <f>VLOOKUP($F10,'Visu totale'!$D$3:$DT$129,CW$1,0)</f>
        <v>0</v>
      </c>
      <c r="CX10" s="14">
        <f>VLOOKUP($F10,'Visu totale'!$D$3:$DT$129,CX$1,0)</f>
        <v>0</v>
      </c>
      <c r="CY10" s="13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5">
        <f>VLOOKUP($F10,'Visu totale'!$D$3:$DT$129,DI$1,0)</f>
        <v>0</v>
      </c>
      <c r="DJ10" s="14">
        <f>VLOOKUP($F10,'Visu totale'!$D$3:$DT$129,DJ$1,0)</f>
        <v>0</v>
      </c>
      <c r="DK10" s="13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5">
        <f>VLOOKUP($F10,'Visu totale'!$D$3:$DT$129,DU$1,0)</f>
        <v>0</v>
      </c>
    </row>
    <row r="11" spans="1:1482" s="12" customFormat="1" x14ac:dyDescent="0.25">
      <c r="A11" s="13"/>
      <c r="B11" s="13"/>
      <c r="C11" s="13"/>
      <c r="D11" s="13"/>
      <c r="E11" s="13"/>
      <c r="F11" s="17" t="s">
        <v>101</v>
      </c>
      <c r="G11" s="13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5">
        <f>VLOOKUP($F11,'Visu totale'!$D$3:$DT$129,Q$1,0)</f>
        <v>0</v>
      </c>
      <c r="R11" s="14">
        <f>VLOOKUP($F11,'Visu totale'!$D$3:$DT$129,R$1,0)</f>
        <v>0</v>
      </c>
      <c r="S11" s="13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5">
        <f>VLOOKUP($F11,'Visu totale'!$D$3:$DT$129,AC$1,0)</f>
        <v>0</v>
      </c>
      <c r="AD11" s="14">
        <f>VLOOKUP($F11,'Visu totale'!$D$3:$DT$129,AD$1,0)</f>
        <v>0</v>
      </c>
      <c r="AE11" s="13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5">
        <f>VLOOKUP($F11,'Visu totale'!$D$3:$DT$129,AO$1,0)</f>
        <v>0</v>
      </c>
      <c r="AP11" s="14">
        <f>VLOOKUP($F11,'Visu totale'!$D$3:$DT$129,AP$1,0)</f>
        <v>0</v>
      </c>
      <c r="AQ11" s="13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5">
        <f>VLOOKUP($F11,'Visu totale'!$D$3:$DT$129,BA$1,0)</f>
        <v>0</v>
      </c>
      <c r="BB11" s="14">
        <f>VLOOKUP($F11,'Visu totale'!$D$3:$DT$129,BB$1,0)</f>
        <v>0</v>
      </c>
      <c r="BC11" s="13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5">
        <f>VLOOKUP($F11,'Visu totale'!$D$3:$DT$129,BM$1,0)</f>
        <v>0</v>
      </c>
      <c r="BN11" s="14">
        <f>VLOOKUP($F11,'Visu totale'!$D$3:$DT$129,BN$1,0)</f>
        <v>0</v>
      </c>
      <c r="BO11" s="13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5">
        <f>VLOOKUP($F11,'Visu totale'!$D$3:$DT$129,BY$1,0)</f>
        <v>0</v>
      </c>
      <c r="BZ11" s="14">
        <f>VLOOKUP($F11,'Visu totale'!$D$3:$DT$129,BZ$1,0)</f>
        <v>0</v>
      </c>
      <c r="CA11" s="13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5">
        <f>VLOOKUP($F11,'Visu totale'!$D$3:$DT$129,CK$1,0)</f>
        <v>0</v>
      </c>
      <c r="CL11" s="14">
        <f>VLOOKUP($F11,'Visu totale'!$D$3:$DT$129,CL$1,0)</f>
        <v>0</v>
      </c>
      <c r="CM11" s="13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5">
        <f>VLOOKUP($F11,'Visu totale'!$D$3:$DT$129,CW$1,0)</f>
        <v>0</v>
      </c>
      <c r="CX11" s="14">
        <f>VLOOKUP($F11,'Visu totale'!$D$3:$DT$129,CX$1,0)</f>
        <v>0</v>
      </c>
      <c r="CY11" s="13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5">
        <f>VLOOKUP($F11,'Visu totale'!$D$3:$DT$129,DI$1,0)</f>
        <v>0</v>
      </c>
      <c r="DJ11" s="14">
        <f>VLOOKUP($F11,'Visu totale'!$D$3:$DT$129,DJ$1,0)</f>
        <v>0</v>
      </c>
      <c r="DK11" s="13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5">
        <f>VLOOKUP($F11,'Visu totale'!$D$3:$DT$129,DU$1,0)</f>
        <v>0</v>
      </c>
    </row>
    <row r="12" spans="1:1482" s="12" customFormat="1" x14ac:dyDescent="0.25">
      <c r="A12" s="13"/>
      <c r="B12" s="13"/>
      <c r="C12" s="13"/>
      <c r="D12" s="13"/>
      <c r="E12" s="13"/>
      <c r="F12" s="17" t="s">
        <v>102</v>
      </c>
      <c r="G12" s="13">
        <f>VLOOKUP($F12,'Visu totale'!$D$3:$DT$129,G$1,0)</f>
        <v>0</v>
      </c>
      <c r="H12" s="13">
        <f>VLOOKUP($F12,'Visu totale'!$D$3:$DT$129,H$1,0)</f>
        <v>0</v>
      </c>
      <c r="I12" s="13">
        <f>VLOOKUP($F12,'Visu totale'!$D$3:$DT$129,I$1,0)</f>
        <v>0</v>
      </c>
      <c r="J12" s="13">
        <f>VLOOKUP($F12,'Visu totale'!$D$3:$DT$129,J$1,0)</f>
        <v>0</v>
      </c>
      <c r="K12" s="13">
        <f>VLOOKUP($F12,'Visu totale'!$D$3:$DT$129,K$1,0)</f>
        <v>0</v>
      </c>
      <c r="L12" s="13">
        <f>VLOOKUP($F12,'Visu totale'!$D$3:$DT$129,L$1,0)</f>
        <v>0</v>
      </c>
      <c r="M12" s="13">
        <f>VLOOKUP($F12,'Visu totale'!$D$3:$DT$129,M$1,0)</f>
        <v>0</v>
      </c>
      <c r="N12" s="13">
        <f>VLOOKUP($F12,'Visu totale'!$D$3:$DT$129,N$1,0)</f>
        <v>0</v>
      </c>
      <c r="O12" s="13">
        <f>VLOOKUP($F12,'Visu totale'!$D$3:$DT$129,O$1,0)</f>
        <v>0</v>
      </c>
      <c r="P12" s="13">
        <f>VLOOKUP($F12,'Visu totale'!$D$3:$DT$129,P$1,0)</f>
        <v>0</v>
      </c>
      <c r="Q12" s="15">
        <f>VLOOKUP($F12,'Visu totale'!$D$3:$DT$129,Q$1,0)</f>
        <v>0</v>
      </c>
      <c r="R12" s="14">
        <f>VLOOKUP($F12,'Visu totale'!$D$3:$DT$129,R$1,0)</f>
        <v>0</v>
      </c>
      <c r="S12" s="13">
        <f>VLOOKUP($F12,'Visu totale'!$D$3:$DT$129,S$1,0)</f>
        <v>0</v>
      </c>
      <c r="T12" s="13">
        <f>VLOOKUP($F12,'Visu totale'!$D$3:$DT$129,T$1,0)</f>
        <v>0</v>
      </c>
      <c r="U12" s="13">
        <f>VLOOKUP($F12,'Visu totale'!$D$3:$DT$129,U$1,0)</f>
        <v>0</v>
      </c>
      <c r="V12" s="13">
        <f>VLOOKUP($F12,'Visu totale'!$D$3:$DT$129,V$1,0)</f>
        <v>0</v>
      </c>
      <c r="W12" s="13">
        <f>VLOOKUP($F12,'Visu totale'!$D$3:$DT$129,W$1,0)</f>
        <v>0</v>
      </c>
      <c r="X12" s="13">
        <f>VLOOKUP($F12,'Visu totale'!$D$3:$DT$129,X$1,0)</f>
        <v>0</v>
      </c>
      <c r="Y12" s="13">
        <f>VLOOKUP($F12,'Visu totale'!$D$3:$DT$129,Y$1,0)</f>
        <v>0</v>
      </c>
      <c r="Z12" s="13">
        <f>VLOOKUP($F12,'Visu totale'!$D$3:$DT$129,Z$1,0)</f>
        <v>0</v>
      </c>
      <c r="AA12" s="13">
        <f>VLOOKUP($F12,'Visu totale'!$D$3:$DT$129,AA$1,0)</f>
        <v>0</v>
      </c>
      <c r="AB12" s="13">
        <f>VLOOKUP($F12,'Visu totale'!$D$3:$DT$129,AB$1,0)</f>
        <v>0</v>
      </c>
      <c r="AC12" s="15">
        <f>VLOOKUP($F12,'Visu totale'!$D$3:$DT$129,AC$1,0)</f>
        <v>0</v>
      </c>
      <c r="AD12" s="14">
        <f>VLOOKUP($F12,'Visu totale'!$D$3:$DT$129,AD$1,0)</f>
        <v>0</v>
      </c>
      <c r="AE12" s="13">
        <f>VLOOKUP($F12,'Visu totale'!$D$3:$DT$129,AE$1,0)</f>
        <v>0</v>
      </c>
      <c r="AF12" s="13">
        <f>VLOOKUP($F12,'Visu totale'!$D$3:$DT$129,AF$1,0)</f>
        <v>0</v>
      </c>
      <c r="AG12" s="13">
        <f>VLOOKUP($F12,'Visu totale'!$D$3:$DT$129,AG$1,0)</f>
        <v>0</v>
      </c>
      <c r="AH12" s="13">
        <f>VLOOKUP($F12,'Visu totale'!$D$3:$DT$129,AH$1,0)</f>
        <v>0</v>
      </c>
      <c r="AI12" s="13">
        <f>VLOOKUP($F12,'Visu totale'!$D$3:$DT$129,AI$1,0)</f>
        <v>0</v>
      </c>
      <c r="AJ12" s="13">
        <f>VLOOKUP($F12,'Visu totale'!$D$3:$DT$129,AJ$1,0)</f>
        <v>0</v>
      </c>
      <c r="AK12" s="13">
        <f>VLOOKUP($F12,'Visu totale'!$D$3:$DT$129,AK$1,0)</f>
        <v>0</v>
      </c>
      <c r="AL12" s="13">
        <f>VLOOKUP($F12,'Visu totale'!$D$3:$DT$129,AL$1,0)</f>
        <v>0</v>
      </c>
      <c r="AM12" s="13">
        <f>VLOOKUP($F12,'Visu totale'!$D$3:$DT$129,AM$1,0)</f>
        <v>0</v>
      </c>
      <c r="AN12" s="13">
        <f>VLOOKUP($F12,'Visu totale'!$D$3:$DT$129,AN$1,0)</f>
        <v>0</v>
      </c>
      <c r="AO12" s="15">
        <f>VLOOKUP($F12,'Visu totale'!$D$3:$DT$129,AO$1,0)</f>
        <v>0</v>
      </c>
      <c r="AP12" s="14">
        <f>VLOOKUP($F12,'Visu totale'!$D$3:$DT$129,AP$1,0)</f>
        <v>0</v>
      </c>
      <c r="AQ12" s="13">
        <f>VLOOKUP($F12,'Visu totale'!$D$3:$DT$129,AQ$1,0)</f>
        <v>0</v>
      </c>
      <c r="AR12" s="13">
        <f>VLOOKUP($F12,'Visu totale'!$D$3:$DT$129,AR$1,0)</f>
        <v>0</v>
      </c>
      <c r="AS12" s="13">
        <f>VLOOKUP($F12,'Visu totale'!$D$3:$DT$129,AS$1,0)</f>
        <v>0</v>
      </c>
      <c r="AT12" s="13">
        <f>VLOOKUP($F12,'Visu totale'!$D$3:$DT$129,AT$1,0)</f>
        <v>0</v>
      </c>
      <c r="AU12" s="13">
        <f>VLOOKUP($F12,'Visu totale'!$D$3:$DT$129,AU$1,0)</f>
        <v>0</v>
      </c>
      <c r="AV12" s="13">
        <f>VLOOKUP($F12,'Visu totale'!$D$3:$DT$129,AV$1,0)</f>
        <v>0</v>
      </c>
      <c r="AW12" s="13">
        <f>VLOOKUP($F12,'Visu totale'!$D$3:$DT$129,AW$1,0)</f>
        <v>0</v>
      </c>
      <c r="AX12" s="13">
        <f>VLOOKUP($F12,'Visu totale'!$D$3:$DT$129,AX$1,0)</f>
        <v>0</v>
      </c>
      <c r="AY12" s="13">
        <f>VLOOKUP($F12,'Visu totale'!$D$3:$DT$129,AY$1,0)</f>
        <v>0</v>
      </c>
      <c r="AZ12" s="13">
        <f>VLOOKUP($F12,'Visu totale'!$D$3:$DT$129,AZ$1,0)</f>
        <v>0</v>
      </c>
      <c r="BA12" s="15">
        <f>VLOOKUP($F12,'Visu totale'!$D$3:$DT$129,BA$1,0)</f>
        <v>0</v>
      </c>
      <c r="BB12" s="14">
        <f>VLOOKUP($F12,'Visu totale'!$D$3:$DT$129,BB$1,0)</f>
        <v>0</v>
      </c>
      <c r="BC12" s="13">
        <f>VLOOKUP($F12,'Visu totale'!$D$3:$DT$129,BC$1,0)</f>
        <v>0</v>
      </c>
      <c r="BD12" s="13">
        <f>VLOOKUP($F12,'Visu totale'!$D$3:$DT$129,BD$1,0)</f>
        <v>0</v>
      </c>
      <c r="BE12" s="13">
        <f>VLOOKUP($F12,'Visu totale'!$D$3:$DT$129,BE$1,0)</f>
        <v>0</v>
      </c>
      <c r="BF12" s="13">
        <f>VLOOKUP($F12,'Visu totale'!$D$3:$DT$129,BF$1,0)</f>
        <v>0</v>
      </c>
      <c r="BG12" s="13">
        <f>VLOOKUP($F12,'Visu totale'!$D$3:$DT$129,BG$1,0)</f>
        <v>0</v>
      </c>
      <c r="BH12" s="13">
        <f>VLOOKUP($F12,'Visu totale'!$D$3:$DT$129,BH$1,0)</f>
        <v>0</v>
      </c>
      <c r="BI12" s="13">
        <f>VLOOKUP($F12,'Visu totale'!$D$3:$DT$129,BI$1,0)</f>
        <v>0</v>
      </c>
      <c r="BJ12" s="13">
        <f>VLOOKUP($F12,'Visu totale'!$D$3:$DT$129,BJ$1,0)</f>
        <v>0</v>
      </c>
      <c r="BK12" s="13">
        <f>VLOOKUP($F12,'Visu totale'!$D$3:$DT$129,BK$1,0)</f>
        <v>0</v>
      </c>
      <c r="BL12" s="13">
        <f>VLOOKUP($F12,'Visu totale'!$D$3:$DT$129,BL$1,0)</f>
        <v>0</v>
      </c>
      <c r="BM12" s="15">
        <f>VLOOKUP($F12,'Visu totale'!$D$3:$DT$129,BM$1,0)</f>
        <v>0</v>
      </c>
      <c r="BN12" s="14">
        <f>VLOOKUP($F12,'Visu totale'!$D$3:$DT$129,BN$1,0)</f>
        <v>0</v>
      </c>
      <c r="BO12" s="13">
        <f>VLOOKUP($F12,'Visu totale'!$D$3:$DT$129,BO$1,0)</f>
        <v>0</v>
      </c>
      <c r="BP12" s="13">
        <f>VLOOKUP($F12,'Visu totale'!$D$3:$DT$129,BP$1,0)</f>
        <v>0</v>
      </c>
      <c r="BQ12" s="13">
        <f>VLOOKUP($F12,'Visu totale'!$D$3:$DT$129,BQ$1,0)</f>
        <v>0</v>
      </c>
      <c r="BR12" s="13">
        <f>VLOOKUP($F12,'Visu totale'!$D$3:$DT$129,BR$1,0)</f>
        <v>0</v>
      </c>
      <c r="BS12" s="13">
        <f>VLOOKUP($F12,'Visu totale'!$D$3:$DT$129,BS$1,0)</f>
        <v>0</v>
      </c>
      <c r="BT12" s="13">
        <f>VLOOKUP($F12,'Visu totale'!$D$3:$DT$129,BT$1,0)</f>
        <v>0</v>
      </c>
      <c r="BU12" s="13">
        <f>VLOOKUP($F12,'Visu totale'!$D$3:$DT$129,BU$1,0)</f>
        <v>0</v>
      </c>
      <c r="BV12" s="13">
        <f>VLOOKUP($F12,'Visu totale'!$D$3:$DT$129,BV$1,0)</f>
        <v>0</v>
      </c>
      <c r="BW12" s="13">
        <f>VLOOKUP($F12,'Visu totale'!$D$3:$DT$129,BW$1,0)</f>
        <v>0</v>
      </c>
      <c r="BX12" s="13">
        <f>VLOOKUP($F12,'Visu totale'!$D$3:$DT$129,BX$1,0)</f>
        <v>0</v>
      </c>
      <c r="BY12" s="15">
        <f>VLOOKUP($F12,'Visu totale'!$D$3:$DT$129,BY$1,0)</f>
        <v>0</v>
      </c>
      <c r="BZ12" s="14">
        <f>VLOOKUP($F12,'Visu totale'!$D$3:$DT$129,BZ$1,0)</f>
        <v>0</v>
      </c>
      <c r="CA12" s="13">
        <f>VLOOKUP($F12,'Visu totale'!$D$3:$DT$129,CA$1,0)</f>
        <v>0</v>
      </c>
      <c r="CB12" s="13">
        <f>VLOOKUP($F12,'Visu totale'!$D$3:$DT$129,CB$1,0)</f>
        <v>0</v>
      </c>
      <c r="CC12" s="13">
        <f>VLOOKUP($F12,'Visu totale'!$D$3:$DT$129,CC$1,0)</f>
        <v>0</v>
      </c>
      <c r="CD12" s="13">
        <f>VLOOKUP($F12,'Visu totale'!$D$3:$DT$129,CD$1,0)</f>
        <v>0</v>
      </c>
      <c r="CE12" s="13">
        <f>VLOOKUP($F12,'Visu totale'!$D$3:$DT$129,CE$1,0)</f>
        <v>0</v>
      </c>
      <c r="CF12" s="13">
        <f>VLOOKUP($F12,'Visu totale'!$D$3:$DT$129,CF$1,0)</f>
        <v>0</v>
      </c>
      <c r="CG12" s="13">
        <f>VLOOKUP($F12,'Visu totale'!$D$3:$DT$129,CG$1,0)</f>
        <v>0</v>
      </c>
      <c r="CH12" s="13">
        <f>VLOOKUP($F12,'Visu totale'!$D$3:$DT$129,CH$1,0)</f>
        <v>0</v>
      </c>
      <c r="CI12" s="13">
        <f>VLOOKUP($F12,'Visu totale'!$D$3:$DT$129,CI$1,0)</f>
        <v>0</v>
      </c>
      <c r="CJ12" s="13">
        <f>VLOOKUP($F12,'Visu totale'!$D$3:$DT$129,CJ$1,0)</f>
        <v>0</v>
      </c>
      <c r="CK12" s="15">
        <f>VLOOKUP($F12,'Visu totale'!$D$3:$DT$129,CK$1,0)</f>
        <v>0</v>
      </c>
      <c r="CL12" s="14">
        <f>VLOOKUP($F12,'Visu totale'!$D$3:$DT$129,CL$1,0)</f>
        <v>0</v>
      </c>
      <c r="CM12" s="13">
        <f>VLOOKUP($F12,'Visu totale'!$D$3:$DT$129,CM$1,0)</f>
        <v>0</v>
      </c>
      <c r="CN12" s="13">
        <f>VLOOKUP($F12,'Visu totale'!$D$3:$DT$129,CN$1,0)</f>
        <v>0</v>
      </c>
      <c r="CO12" s="13">
        <f>VLOOKUP($F12,'Visu totale'!$D$3:$DT$129,CO$1,0)</f>
        <v>0</v>
      </c>
      <c r="CP12" s="13">
        <f>VLOOKUP($F12,'Visu totale'!$D$3:$DT$129,CP$1,0)</f>
        <v>0</v>
      </c>
      <c r="CQ12" s="13">
        <f>VLOOKUP($F12,'Visu totale'!$D$3:$DT$129,CQ$1,0)</f>
        <v>0</v>
      </c>
      <c r="CR12" s="13">
        <f>VLOOKUP($F12,'Visu totale'!$D$3:$DT$129,CR$1,0)</f>
        <v>0</v>
      </c>
      <c r="CS12" s="13">
        <f>VLOOKUP($F12,'Visu totale'!$D$3:$DT$129,CS$1,0)</f>
        <v>0</v>
      </c>
      <c r="CT12" s="13">
        <f>VLOOKUP($F12,'Visu totale'!$D$3:$DT$129,CT$1,0)</f>
        <v>0</v>
      </c>
      <c r="CU12" s="13">
        <f>VLOOKUP($F12,'Visu totale'!$D$3:$DT$129,CU$1,0)</f>
        <v>0</v>
      </c>
      <c r="CV12" s="13">
        <f>VLOOKUP($F12,'Visu totale'!$D$3:$DT$129,CV$1,0)</f>
        <v>0</v>
      </c>
      <c r="CW12" s="15">
        <f>VLOOKUP($F12,'Visu totale'!$D$3:$DT$129,CW$1,0)</f>
        <v>0</v>
      </c>
      <c r="CX12" s="14">
        <f>VLOOKUP($F12,'Visu totale'!$D$3:$DT$129,CX$1,0)</f>
        <v>0</v>
      </c>
      <c r="CY12" s="13">
        <f>VLOOKUP($F12,'Visu totale'!$D$3:$DT$129,CY$1,0)</f>
        <v>0</v>
      </c>
      <c r="CZ12" s="13">
        <f>VLOOKUP($F12,'Visu totale'!$D$3:$DT$129,CZ$1,0)</f>
        <v>0</v>
      </c>
      <c r="DA12" s="13">
        <f>VLOOKUP($F12,'Visu totale'!$D$3:$DT$129,DA$1,0)</f>
        <v>0</v>
      </c>
      <c r="DB12" s="13">
        <f>VLOOKUP($F12,'Visu totale'!$D$3:$DT$129,DB$1,0)</f>
        <v>0</v>
      </c>
      <c r="DC12" s="13">
        <f>VLOOKUP($F12,'Visu totale'!$D$3:$DT$129,DC$1,0)</f>
        <v>0</v>
      </c>
      <c r="DD12" s="13">
        <f>VLOOKUP($F12,'Visu totale'!$D$3:$DT$129,DD$1,0)</f>
        <v>0</v>
      </c>
      <c r="DE12" s="13">
        <f>VLOOKUP($F12,'Visu totale'!$D$3:$DT$129,DE$1,0)</f>
        <v>0</v>
      </c>
      <c r="DF12" s="13">
        <f>VLOOKUP($F12,'Visu totale'!$D$3:$DT$129,DF$1,0)</f>
        <v>0</v>
      </c>
      <c r="DG12" s="13">
        <f>VLOOKUP($F12,'Visu totale'!$D$3:$DT$129,DG$1,0)</f>
        <v>0</v>
      </c>
      <c r="DH12" s="13">
        <f>VLOOKUP($F12,'Visu totale'!$D$3:$DT$129,DH$1,0)</f>
        <v>0</v>
      </c>
      <c r="DI12" s="15">
        <f>VLOOKUP($F12,'Visu totale'!$D$3:$DT$129,DI$1,0)</f>
        <v>0</v>
      </c>
      <c r="DJ12" s="14">
        <f>VLOOKUP($F12,'Visu totale'!$D$3:$DT$129,DJ$1,0)</f>
        <v>0</v>
      </c>
      <c r="DK12" s="13">
        <f>VLOOKUP($F12,'Visu totale'!$D$3:$DT$129,DK$1,0)</f>
        <v>0</v>
      </c>
      <c r="DL12" s="13">
        <f>VLOOKUP($F12,'Visu totale'!$D$3:$DT$129,DL$1,0)</f>
        <v>0</v>
      </c>
      <c r="DM12" s="13">
        <f>VLOOKUP($F12,'Visu totale'!$D$3:$DT$129,DM$1,0)</f>
        <v>0</v>
      </c>
      <c r="DN12" s="13">
        <f>VLOOKUP($F12,'Visu totale'!$D$3:$DT$129,DN$1,0)</f>
        <v>0</v>
      </c>
      <c r="DO12" s="13">
        <f>VLOOKUP($F12,'Visu totale'!$D$3:$DT$129,DO$1,0)</f>
        <v>0</v>
      </c>
      <c r="DP12" s="13">
        <f>VLOOKUP($F12,'Visu totale'!$D$3:$DT$129,DP$1,0)</f>
        <v>0</v>
      </c>
      <c r="DQ12" s="13">
        <f>VLOOKUP($F12,'Visu totale'!$D$3:$DT$129,DQ$1,0)</f>
        <v>0</v>
      </c>
      <c r="DR12" s="13">
        <f>VLOOKUP($F12,'Visu totale'!$D$3:$DT$129,DR$1,0)</f>
        <v>0</v>
      </c>
      <c r="DS12" s="13">
        <f>VLOOKUP($F12,'Visu totale'!$D$3:$DT$129,DS$1,0)</f>
        <v>0</v>
      </c>
      <c r="DT12" s="13">
        <f>VLOOKUP($F12,'Visu totale'!$D$3:$DT$129,DT$1,0)</f>
        <v>0</v>
      </c>
      <c r="DU12" s="15">
        <f>VLOOKUP($F12,'Visu totale'!$D$3:$DT$129,DU$1,0)</f>
        <v>0</v>
      </c>
    </row>
    <row r="13" spans="1:1482" s="12" customFormat="1" x14ac:dyDescent="0.25">
      <c r="A13" s="13"/>
      <c r="B13" s="13"/>
      <c r="C13" s="13"/>
      <c r="D13" s="13"/>
      <c r="E13" s="13"/>
      <c r="F13" s="17" t="s">
        <v>103</v>
      </c>
      <c r="G13" s="13">
        <f>VLOOKUP($F13,'Visu totale'!$D$3:$DT$129,G$1,0)</f>
        <v>0</v>
      </c>
      <c r="H13" s="13">
        <f>VLOOKUP($F13,'Visu totale'!$D$3:$DT$129,H$1,0)</f>
        <v>0</v>
      </c>
      <c r="I13" s="13">
        <f>VLOOKUP($F13,'Visu totale'!$D$3:$DT$129,I$1,0)</f>
        <v>0</v>
      </c>
      <c r="J13" s="13">
        <f>VLOOKUP($F13,'Visu totale'!$D$3:$DT$129,J$1,0)</f>
        <v>0</v>
      </c>
      <c r="K13" s="13">
        <f>VLOOKUP($F13,'Visu totale'!$D$3:$DT$129,K$1,0)</f>
        <v>0</v>
      </c>
      <c r="L13" s="13">
        <f>VLOOKUP($F13,'Visu totale'!$D$3:$DT$129,L$1,0)</f>
        <v>0</v>
      </c>
      <c r="M13" s="13">
        <f>VLOOKUP($F13,'Visu totale'!$D$3:$DT$129,M$1,0)</f>
        <v>0</v>
      </c>
      <c r="N13" s="13">
        <f>VLOOKUP($F13,'Visu totale'!$D$3:$DT$129,N$1,0)</f>
        <v>0</v>
      </c>
      <c r="O13" s="13">
        <f>VLOOKUP($F13,'Visu totale'!$D$3:$DT$129,O$1,0)</f>
        <v>0</v>
      </c>
      <c r="P13" s="13">
        <f>VLOOKUP($F13,'Visu totale'!$D$3:$DT$129,P$1,0)</f>
        <v>0</v>
      </c>
      <c r="Q13" s="15">
        <f>VLOOKUP($F13,'Visu totale'!$D$3:$DT$129,Q$1,0)</f>
        <v>0</v>
      </c>
      <c r="R13" s="14">
        <f>VLOOKUP($F13,'Visu totale'!$D$3:$DT$129,R$1,0)</f>
        <v>0</v>
      </c>
      <c r="S13" s="13">
        <f>VLOOKUP($F13,'Visu totale'!$D$3:$DT$129,S$1,0)</f>
        <v>0</v>
      </c>
      <c r="T13" s="13">
        <f>VLOOKUP($F13,'Visu totale'!$D$3:$DT$129,T$1,0)</f>
        <v>0</v>
      </c>
      <c r="U13" s="13">
        <f>VLOOKUP($F13,'Visu totale'!$D$3:$DT$129,U$1,0)</f>
        <v>0</v>
      </c>
      <c r="V13" s="13">
        <f>VLOOKUP($F13,'Visu totale'!$D$3:$DT$129,V$1,0)</f>
        <v>0</v>
      </c>
      <c r="W13" s="13">
        <f>VLOOKUP($F13,'Visu totale'!$D$3:$DT$129,W$1,0)</f>
        <v>0</v>
      </c>
      <c r="X13" s="13">
        <f>VLOOKUP($F13,'Visu totale'!$D$3:$DT$129,X$1,0)</f>
        <v>0</v>
      </c>
      <c r="Y13" s="13">
        <f>VLOOKUP($F13,'Visu totale'!$D$3:$DT$129,Y$1,0)</f>
        <v>0</v>
      </c>
      <c r="Z13" s="13">
        <f>VLOOKUP($F13,'Visu totale'!$D$3:$DT$129,Z$1,0)</f>
        <v>0</v>
      </c>
      <c r="AA13" s="13">
        <f>VLOOKUP($F13,'Visu totale'!$D$3:$DT$129,AA$1,0)</f>
        <v>0</v>
      </c>
      <c r="AB13" s="13">
        <f>VLOOKUP($F13,'Visu totale'!$D$3:$DT$129,AB$1,0)</f>
        <v>0</v>
      </c>
      <c r="AC13" s="15">
        <f>VLOOKUP($F13,'Visu totale'!$D$3:$DT$129,AC$1,0)</f>
        <v>0</v>
      </c>
      <c r="AD13" s="14">
        <f>VLOOKUP($F13,'Visu totale'!$D$3:$DT$129,AD$1,0)</f>
        <v>0</v>
      </c>
      <c r="AE13" s="13">
        <f>VLOOKUP($F13,'Visu totale'!$D$3:$DT$129,AE$1,0)</f>
        <v>0</v>
      </c>
      <c r="AF13" s="13">
        <f>VLOOKUP($F13,'Visu totale'!$D$3:$DT$129,AF$1,0)</f>
        <v>0</v>
      </c>
      <c r="AG13" s="13">
        <f>VLOOKUP($F13,'Visu totale'!$D$3:$DT$129,AG$1,0)</f>
        <v>0</v>
      </c>
      <c r="AH13" s="13">
        <f>VLOOKUP($F13,'Visu totale'!$D$3:$DT$129,AH$1,0)</f>
        <v>0</v>
      </c>
      <c r="AI13" s="13">
        <f>VLOOKUP($F13,'Visu totale'!$D$3:$DT$129,AI$1,0)</f>
        <v>0</v>
      </c>
      <c r="AJ13" s="13">
        <f>VLOOKUP($F13,'Visu totale'!$D$3:$DT$129,AJ$1,0)</f>
        <v>0</v>
      </c>
      <c r="AK13" s="13">
        <f>VLOOKUP($F13,'Visu totale'!$D$3:$DT$129,AK$1,0)</f>
        <v>0</v>
      </c>
      <c r="AL13" s="13">
        <f>VLOOKUP($F13,'Visu totale'!$D$3:$DT$129,AL$1,0)</f>
        <v>0</v>
      </c>
      <c r="AM13" s="13">
        <f>VLOOKUP($F13,'Visu totale'!$D$3:$DT$129,AM$1,0)</f>
        <v>0</v>
      </c>
      <c r="AN13" s="13">
        <f>VLOOKUP($F13,'Visu totale'!$D$3:$DT$129,AN$1,0)</f>
        <v>0</v>
      </c>
      <c r="AO13" s="15">
        <f>VLOOKUP($F13,'Visu totale'!$D$3:$DT$129,AO$1,0)</f>
        <v>0</v>
      </c>
      <c r="AP13" s="14">
        <f>VLOOKUP($F13,'Visu totale'!$D$3:$DT$129,AP$1,0)</f>
        <v>0</v>
      </c>
      <c r="AQ13" s="13">
        <f>VLOOKUP($F13,'Visu totale'!$D$3:$DT$129,AQ$1,0)</f>
        <v>0</v>
      </c>
      <c r="AR13" s="13">
        <f>VLOOKUP($F13,'Visu totale'!$D$3:$DT$129,AR$1,0)</f>
        <v>0</v>
      </c>
      <c r="AS13" s="13">
        <f>VLOOKUP($F13,'Visu totale'!$D$3:$DT$129,AS$1,0)</f>
        <v>0</v>
      </c>
      <c r="AT13" s="13">
        <f>VLOOKUP($F13,'Visu totale'!$D$3:$DT$129,AT$1,0)</f>
        <v>0</v>
      </c>
      <c r="AU13" s="13">
        <f>VLOOKUP($F13,'Visu totale'!$D$3:$DT$129,AU$1,0)</f>
        <v>0</v>
      </c>
      <c r="AV13" s="13">
        <f>VLOOKUP($F13,'Visu totale'!$D$3:$DT$129,AV$1,0)</f>
        <v>0</v>
      </c>
      <c r="AW13" s="13">
        <f>VLOOKUP($F13,'Visu totale'!$D$3:$DT$129,AW$1,0)</f>
        <v>0</v>
      </c>
      <c r="AX13" s="13">
        <f>VLOOKUP($F13,'Visu totale'!$D$3:$DT$129,AX$1,0)</f>
        <v>0</v>
      </c>
      <c r="AY13" s="13">
        <f>VLOOKUP($F13,'Visu totale'!$D$3:$DT$129,AY$1,0)</f>
        <v>0</v>
      </c>
      <c r="AZ13" s="13">
        <f>VLOOKUP($F13,'Visu totale'!$D$3:$DT$129,AZ$1,0)</f>
        <v>0</v>
      </c>
      <c r="BA13" s="15">
        <f>VLOOKUP($F13,'Visu totale'!$D$3:$DT$129,BA$1,0)</f>
        <v>0</v>
      </c>
      <c r="BB13" s="14">
        <f>VLOOKUP($F13,'Visu totale'!$D$3:$DT$129,BB$1,0)</f>
        <v>0</v>
      </c>
      <c r="BC13" s="13">
        <f>VLOOKUP($F13,'Visu totale'!$D$3:$DT$129,BC$1,0)</f>
        <v>0</v>
      </c>
      <c r="BD13" s="13">
        <f>VLOOKUP($F13,'Visu totale'!$D$3:$DT$129,BD$1,0)</f>
        <v>0</v>
      </c>
      <c r="BE13" s="13">
        <f>VLOOKUP($F13,'Visu totale'!$D$3:$DT$129,BE$1,0)</f>
        <v>0</v>
      </c>
      <c r="BF13" s="13">
        <f>VLOOKUP($F13,'Visu totale'!$D$3:$DT$129,BF$1,0)</f>
        <v>0</v>
      </c>
      <c r="BG13" s="13">
        <f>VLOOKUP($F13,'Visu totale'!$D$3:$DT$129,BG$1,0)</f>
        <v>0</v>
      </c>
      <c r="BH13" s="13">
        <f>VLOOKUP($F13,'Visu totale'!$D$3:$DT$129,BH$1,0)</f>
        <v>0</v>
      </c>
      <c r="BI13" s="13">
        <f>VLOOKUP($F13,'Visu totale'!$D$3:$DT$129,BI$1,0)</f>
        <v>0</v>
      </c>
      <c r="BJ13" s="13">
        <f>VLOOKUP($F13,'Visu totale'!$D$3:$DT$129,BJ$1,0)</f>
        <v>0</v>
      </c>
      <c r="BK13" s="13">
        <f>VLOOKUP($F13,'Visu totale'!$D$3:$DT$129,BK$1,0)</f>
        <v>0</v>
      </c>
      <c r="BL13" s="13">
        <f>VLOOKUP($F13,'Visu totale'!$D$3:$DT$129,BL$1,0)</f>
        <v>0</v>
      </c>
      <c r="BM13" s="15">
        <f>VLOOKUP($F13,'Visu totale'!$D$3:$DT$129,BM$1,0)</f>
        <v>0</v>
      </c>
      <c r="BN13" s="14">
        <f>VLOOKUP($F13,'Visu totale'!$D$3:$DT$129,BN$1,0)</f>
        <v>0</v>
      </c>
      <c r="BO13" s="13">
        <f>VLOOKUP($F13,'Visu totale'!$D$3:$DT$129,BO$1,0)</f>
        <v>0</v>
      </c>
      <c r="BP13" s="13">
        <f>VLOOKUP($F13,'Visu totale'!$D$3:$DT$129,BP$1,0)</f>
        <v>0</v>
      </c>
      <c r="BQ13" s="13">
        <f>VLOOKUP($F13,'Visu totale'!$D$3:$DT$129,BQ$1,0)</f>
        <v>0</v>
      </c>
      <c r="BR13" s="13">
        <f>VLOOKUP($F13,'Visu totale'!$D$3:$DT$129,BR$1,0)</f>
        <v>0</v>
      </c>
      <c r="BS13" s="13">
        <f>VLOOKUP($F13,'Visu totale'!$D$3:$DT$129,BS$1,0)</f>
        <v>0</v>
      </c>
      <c r="BT13" s="13">
        <f>VLOOKUP($F13,'Visu totale'!$D$3:$DT$129,BT$1,0)</f>
        <v>0</v>
      </c>
      <c r="BU13" s="13">
        <f>VLOOKUP($F13,'Visu totale'!$D$3:$DT$129,BU$1,0)</f>
        <v>0</v>
      </c>
      <c r="BV13" s="13">
        <f>VLOOKUP($F13,'Visu totale'!$D$3:$DT$129,BV$1,0)</f>
        <v>0</v>
      </c>
      <c r="BW13" s="13">
        <f>VLOOKUP($F13,'Visu totale'!$D$3:$DT$129,BW$1,0)</f>
        <v>0</v>
      </c>
      <c r="BX13" s="13">
        <f>VLOOKUP($F13,'Visu totale'!$D$3:$DT$129,BX$1,0)</f>
        <v>0</v>
      </c>
      <c r="BY13" s="15">
        <f>VLOOKUP($F13,'Visu totale'!$D$3:$DT$129,BY$1,0)</f>
        <v>0</v>
      </c>
      <c r="BZ13" s="14">
        <f>VLOOKUP($F13,'Visu totale'!$D$3:$DT$129,BZ$1,0)</f>
        <v>0</v>
      </c>
      <c r="CA13" s="13">
        <f>VLOOKUP($F13,'Visu totale'!$D$3:$DT$129,CA$1,0)</f>
        <v>0</v>
      </c>
      <c r="CB13" s="13">
        <f>VLOOKUP($F13,'Visu totale'!$D$3:$DT$129,CB$1,0)</f>
        <v>0</v>
      </c>
      <c r="CC13" s="13">
        <f>VLOOKUP($F13,'Visu totale'!$D$3:$DT$129,CC$1,0)</f>
        <v>0</v>
      </c>
      <c r="CD13" s="13">
        <f>VLOOKUP($F13,'Visu totale'!$D$3:$DT$129,CD$1,0)</f>
        <v>0</v>
      </c>
      <c r="CE13" s="13">
        <f>VLOOKUP($F13,'Visu totale'!$D$3:$DT$129,CE$1,0)</f>
        <v>0</v>
      </c>
      <c r="CF13" s="13">
        <f>VLOOKUP($F13,'Visu totale'!$D$3:$DT$129,CF$1,0)</f>
        <v>0</v>
      </c>
      <c r="CG13" s="13">
        <f>VLOOKUP($F13,'Visu totale'!$D$3:$DT$129,CG$1,0)</f>
        <v>0</v>
      </c>
      <c r="CH13" s="13">
        <f>VLOOKUP($F13,'Visu totale'!$D$3:$DT$129,CH$1,0)</f>
        <v>0</v>
      </c>
      <c r="CI13" s="13">
        <f>VLOOKUP($F13,'Visu totale'!$D$3:$DT$129,CI$1,0)</f>
        <v>0</v>
      </c>
      <c r="CJ13" s="13">
        <f>VLOOKUP($F13,'Visu totale'!$D$3:$DT$129,CJ$1,0)</f>
        <v>0</v>
      </c>
      <c r="CK13" s="15">
        <f>VLOOKUP($F13,'Visu totale'!$D$3:$DT$129,CK$1,0)</f>
        <v>0</v>
      </c>
      <c r="CL13" s="14">
        <f>VLOOKUP($F13,'Visu totale'!$D$3:$DT$129,CL$1,0)</f>
        <v>0</v>
      </c>
      <c r="CM13" s="13">
        <f>VLOOKUP($F13,'Visu totale'!$D$3:$DT$129,CM$1,0)</f>
        <v>0</v>
      </c>
      <c r="CN13" s="13">
        <f>VLOOKUP($F13,'Visu totale'!$D$3:$DT$129,CN$1,0)</f>
        <v>0</v>
      </c>
      <c r="CO13" s="13">
        <f>VLOOKUP($F13,'Visu totale'!$D$3:$DT$129,CO$1,0)</f>
        <v>0</v>
      </c>
      <c r="CP13" s="13">
        <f>VLOOKUP($F13,'Visu totale'!$D$3:$DT$129,CP$1,0)</f>
        <v>0</v>
      </c>
      <c r="CQ13" s="13">
        <f>VLOOKUP($F13,'Visu totale'!$D$3:$DT$129,CQ$1,0)</f>
        <v>0</v>
      </c>
      <c r="CR13" s="13">
        <f>VLOOKUP($F13,'Visu totale'!$D$3:$DT$129,CR$1,0)</f>
        <v>0</v>
      </c>
      <c r="CS13" s="13">
        <f>VLOOKUP($F13,'Visu totale'!$D$3:$DT$129,CS$1,0)</f>
        <v>0</v>
      </c>
      <c r="CT13" s="13">
        <f>VLOOKUP($F13,'Visu totale'!$D$3:$DT$129,CT$1,0)</f>
        <v>0</v>
      </c>
      <c r="CU13" s="13">
        <f>VLOOKUP($F13,'Visu totale'!$D$3:$DT$129,CU$1,0)</f>
        <v>0</v>
      </c>
      <c r="CV13" s="13">
        <f>VLOOKUP($F13,'Visu totale'!$D$3:$DT$129,CV$1,0)</f>
        <v>0</v>
      </c>
      <c r="CW13" s="15">
        <f>VLOOKUP($F13,'Visu totale'!$D$3:$DT$129,CW$1,0)</f>
        <v>0</v>
      </c>
      <c r="CX13" s="14">
        <f>VLOOKUP($F13,'Visu totale'!$D$3:$DT$129,CX$1,0)</f>
        <v>0</v>
      </c>
      <c r="CY13" s="13">
        <f>VLOOKUP($F13,'Visu totale'!$D$3:$DT$129,CY$1,0)</f>
        <v>0</v>
      </c>
      <c r="CZ13" s="13">
        <f>VLOOKUP($F13,'Visu totale'!$D$3:$DT$129,CZ$1,0)</f>
        <v>0</v>
      </c>
      <c r="DA13" s="13">
        <f>VLOOKUP($F13,'Visu totale'!$D$3:$DT$129,DA$1,0)</f>
        <v>0</v>
      </c>
      <c r="DB13" s="13">
        <f>VLOOKUP($F13,'Visu totale'!$D$3:$DT$129,DB$1,0)</f>
        <v>0</v>
      </c>
      <c r="DC13" s="13">
        <f>VLOOKUP($F13,'Visu totale'!$D$3:$DT$129,DC$1,0)</f>
        <v>0</v>
      </c>
      <c r="DD13" s="13">
        <f>VLOOKUP($F13,'Visu totale'!$D$3:$DT$129,DD$1,0)</f>
        <v>0</v>
      </c>
      <c r="DE13" s="13">
        <f>VLOOKUP($F13,'Visu totale'!$D$3:$DT$129,DE$1,0)</f>
        <v>0</v>
      </c>
      <c r="DF13" s="13">
        <f>VLOOKUP($F13,'Visu totale'!$D$3:$DT$129,DF$1,0)</f>
        <v>0</v>
      </c>
      <c r="DG13" s="13">
        <f>VLOOKUP($F13,'Visu totale'!$D$3:$DT$129,DG$1,0)</f>
        <v>0</v>
      </c>
      <c r="DH13" s="13">
        <f>VLOOKUP($F13,'Visu totale'!$D$3:$DT$129,DH$1,0)</f>
        <v>0</v>
      </c>
      <c r="DI13" s="15">
        <f>VLOOKUP($F13,'Visu totale'!$D$3:$DT$129,DI$1,0)</f>
        <v>0</v>
      </c>
      <c r="DJ13" s="14">
        <f>VLOOKUP($F13,'Visu totale'!$D$3:$DT$129,DJ$1,0)</f>
        <v>0</v>
      </c>
      <c r="DK13" s="13">
        <f>VLOOKUP($F13,'Visu totale'!$D$3:$DT$129,DK$1,0)</f>
        <v>0</v>
      </c>
      <c r="DL13" s="13">
        <f>VLOOKUP($F13,'Visu totale'!$D$3:$DT$129,DL$1,0)</f>
        <v>0</v>
      </c>
      <c r="DM13" s="13">
        <f>VLOOKUP($F13,'Visu totale'!$D$3:$DT$129,DM$1,0)</f>
        <v>0</v>
      </c>
      <c r="DN13" s="13">
        <f>VLOOKUP($F13,'Visu totale'!$D$3:$DT$129,DN$1,0)</f>
        <v>0</v>
      </c>
      <c r="DO13" s="13">
        <f>VLOOKUP($F13,'Visu totale'!$D$3:$DT$129,DO$1,0)</f>
        <v>0</v>
      </c>
      <c r="DP13" s="13">
        <f>VLOOKUP($F13,'Visu totale'!$D$3:$DT$129,DP$1,0)</f>
        <v>0</v>
      </c>
      <c r="DQ13" s="13">
        <f>VLOOKUP($F13,'Visu totale'!$D$3:$DT$129,DQ$1,0)</f>
        <v>0</v>
      </c>
      <c r="DR13" s="13">
        <f>VLOOKUP($F13,'Visu totale'!$D$3:$DT$129,DR$1,0)</f>
        <v>0</v>
      </c>
      <c r="DS13" s="13">
        <f>VLOOKUP($F13,'Visu totale'!$D$3:$DT$129,DS$1,0)</f>
        <v>0</v>
      </c>
      <c r="DT13" s="13">
        <f>VLOOKUP($F13,'Visu totale'!$D$3:$DT$129,DT$1,0)</f>
        <v>0</v>
      </c>
      <c r="DU13" s="15">
        <f>VLOOKUP($F13,'Visu totale'!$D$3:$DT$129,DU$1,0)</f>
        <v>0</v>
      </c>
    </row>
    <row r="14" spans="1:1482" s="12" customFormat="1" x14ac:dyDescent="0.25">
      <c r="A14" s="13"/>
      <c r="B14" s="13"/>
      <c r="C14" s="13"/>
      <c r="D14" s="13"/>
      <c r="E14" s="13"/>
      <c r="F14" s="17" t="s">
        <v>98</v>
      </c>
      <c r="G14" s="13">
        <f>VLOOKUP($F14,'Visu totale'!$D$3:$DT$129,G$1,0)</f>
        <v>0</v>
      </c>
      <c r="H14" s="13">
        <f>VLOOKUP($F14,'Visu totale'!$D$3:$DT$129,H$1,0)</f>
        <v>0</v>
      </c>
      <c r="I14" s="13">
        <f>VLOOKUP($F14,'Visu totale'!$D$3:$DT$129,I$1,0)</f>
        <v>0</v>
      </c>
      <c r="J14" s="13">
        <f>VLOOKUP($F14,'Visu totale'!$D$3:$DT$129,J$1,0)</f>
        <v>0</v>
      </c>
      <c r="K14" s="13">
        <f>VLOOKUP($F14,'Visu totale'!$D$3:$DT$129,K$1,0)</f>
        <v>0</v>
      </c>
      <c r="L14" s="13">
        <f>VLOOKUP($F14,'Visu totale'!$D$3:$DT$129,L$1,0)</f>
        <v>0</v>
      </c>
      <c r="M14" s="13">
        <f>VLOOKUP($F14,'Visu totale'!$D$3:$DT$129,M$1,0)</f>
        <v>0</v>
      </c>
      <c r="N14" s="13">
        <f>VLOOKUP($F14,'Visu totale'!$D$3:$DT$129,N$1,0)</f>
        <v>0</v>
      </c>
      <c r="O14" s="13">
        <f>VLOOKUP($F14,'Visu totale'!$D$3:$DT$129,O$1,0)</f>
        <v>0</v>
      </c>
      <c r="P14" s="13">
        <f>VLOOKUP($F14,'Visu totale'!$D$3:$DT$129,P$1,0)</f>
        <v>0</v>
      </c>
      <c r="Q14" s="15">
        <f>VLOOKUP($F14,'Visu totale'!$D$3:$DT$129,Q$1,0)</f>
        <v>0</v>
      </c>
      <c r="R14" s="14">
        <f>VLOOKUP($F14,'Visu totale'!$D$3:$DT$129,R$1,0)</f>
        <v>0</v>
      </c>
      <c r="S14" s="13">
        <f>VLOOKUP($F14,'Visu totale'!$D$3:$DT$129,S$1,0)</f>
        <v>0</v>
      </c>
      <c r="T14" s="13">
        <f>VLOOKUP($F14,'Visu totale'!$D$3:$DT$129,T$1,0)</f>
        <v>0</v>
      </c>
      <c r="U14" s="13">
        <f>VLOOKUP($F14,'Visu totale'!$D$3:$DT$129,U$1,0)</f>
        <v>0</v>
      </c>
      <c r="V14" s="13">
        <f>VLOOKUP($F14,'Visu totale'!$D$3:$DT$129,V$1,0)</f>
        <v>0</v>
      </c>
      <c r="W14" s="13">
        <f>VLOOKUP($F14,'Visu totale'!$D$3:$DT$129,W$1,0)</f>
        <v>0</v>
      </c>
      <c r="X14" s="13">
        <f>VLOOKUP($F14,'Visu totale'!$D$3:$DT$129,X$1,0)</f>
        <v>0</v>
      </c>
      <c r="Y14" s="13">
        <f>VLOOKUP($F14,'Visu totale'!$D$3:$DT$129,Y$1,0)</f>
        <v>0</v>
      </c>
      <c r="Z14" s="13">
        <f>VLOOKUP($F14,'Visu totale'!$D$3:$DT$129,Z$1,0)</f>
        <v>0</v>
      </c>
      <c r="AA14" s="13">
        <f>VLOOKUP($F14,'Visu totale'!$D$3:$DT$129,AA$1,0)</f>
        <v>0</v>
      </c>
      <c r="AB14" s="13">
        <f>VLOOKUP($F14,'Visu totale'!$D$3:$DT$129,AB$1,0)</f>
        <v>0</v>
      </c>
      <c r="AC14" s="15">
        <f>VLOOKUP($F14,'Visu totale'!$D$3:$DT$129,AC$1,0)</f>
        <v>0</v>
      </c>
      <c r="AD14" s="14">
        <f>VLOOKUP($F14,'Visu totale'!$D$3:$DT$129,AD$1,0)</f>
        <v>0</v>
      </c>
      <c r="AE14" s="13">
        <f>VLOOKUP($F14,'Visu totale'!$D$3:$DT$129,AE$1,0)</f>
        <v>0</v>
      </c>
      <c r="AF14" s="13">
        <f>VLOOKUP($F14,'Visu totale'!$D$3:$DT$129,AF$1,0)</f>
        <v>0</v>
      </c>
      <c r="AG14" s="13">
        <f>VLOOKUP($F14,'Visu totale'!$D$3:$DT$129,AG$1,0)</f>
        <v>0</v>
      </c>
      <c r="AH14" s="13">
        <f>VLOOKUP($F14,'Visu totale'!$D$3:$DT$129,AH$1,0)</f>
        <v>0</v>
      </c>
      <c r="AI14" s="13">
        <f>VLOOKUP($F14,'Visu totale'!$D$3:$DT$129,AI$1,0)</f>
        <v>0</v>
      </c>
      <c r="AJ14" s="13">
        <f>VLOOKUP($F14,'Visu totale'!$D$3:$DT$129,AJ$1,0)</f>
        <v>0</v>
      </c>
      <c r="AK14" s="13">
        <f>VLOOKUP($F14,'Visu totale'!$D$3:$DT$129,AK$1,0)</f>
        <v>0</v>
      </c>
      <c r="AL14" s="13">
        <f>VLOOKUP($F14,'Visu totale'!$D$3:$DT$129,AL$1,0)</f>
        <v>0</v>
      </c>
      <c r="AM14" s="13">
        <f>VLOOKUP($F14,'Visu totale'!$D$3:$DT$129,AM$1,0)</f>
        <v>0</v>
      </c>
      <c r="AN14" s="13">
        <f>VLOOKUP($F14,'Visu totale'!$D$3:$DT$129,AN$1,0)</f>
        <v>0</v>
      </c>
      <c r="AO14" s="15">
        <f>VLOOKUP($F14,'Visu totale'!$D$3:$DT$129,AO$1,0)</f>
        <v>0</v>
      </c>
      <c r="AP14" s="14">
        <f>VLOOKUP($F14,'Visu totale'!$D$3:$DT$129,AP$1,0)</f>
        <v>0</v>
      </c>
      <c r="AQ14" s="13">
        <f>VLOOKUP($F14,'Visu totale'!$D$3:$DT$129,AQ$1,0)</f>
        <v>0</v>
      </c>
      <c r="AR14" s="13">
        <f>VLOOKUP($F14,'Visu totale'!$D$3:$DT$129,AR$1,0)</f>
        <v>0</v>
      </c>
      <c r="AS14" s="13">
        <f>VLOOKUP($F14,'Visu totale'!$D$3:$DT$129,AS$1,0)</f>
        <v>0</v>
      </c>
      <c r="AT14" s="13">
        <f>VLOOKUP($F14,'Visu totale'!$D$3:$DT$129,AT$1,0)</f>
        <v>0</v>
      </c>
      <c r="AU14" s="13">
        <f>VLOOKUP($F14,'Visu totale'!$D$3:$DT$129,AU$1,0)</f>
        <v>0</v>
      </c>
      <c r="AV14" s="13">
        <f>VLOOKUP($F14,'Visu totale'!$D$3:$DT$129,AV$1,0)</f>
        <v>0</v>
      </c>
      <c r="AW14" s="13">
        <f>VLOOKUP($F14,'Visu totale'!$D$3:$DT$129,AW$1,0)</f>
        <v>0</v>
      </c>
      <c r="AX14" s="13">
        <f>VLOOKUP($F14,'Visu totale'!$D$3:$DT$129,AX$1,0)</f>
        <v>0</v>
      </c>
      <c r="AY14" s="13">
        <f>VLOOKUP($F14,'Visu totale'!$D$3:$DT$129,AY$1,0)</f>
        <v>0</v>
      </c>
      <c r="AZ14" s="13">
        <f>VLOOKUP($F14,'Visu totale'!$D$3:$DT$129,AZ$1,0)</f>
        <v>0</v>
      </c>
      <c r="BA14" s="15">
        <f>VLOOKUP($F14,'Visu totale'!$D$3:$DT$129,BA$1,0)</f>
        <v>0</v>
      </c>
      <c r="BB14" s="14">
        <f>VLOOKUP($F14,'Visu totale'!$D$3:$DT$129,BB$1,0)</f>
        <v>0</v>
      </c>
      <c r="BC14" s="13">
        <f>VLOOKUP($F14,'Visu totale'!$D$3:$DT$129,BC$1,0)</f>
        <v>0</v>
      </c>
      <c r="BD14" s="13">
        <f>VLOOKUP($F14,'Visu totale'!$D$3:$DT$129,BD$1,0)</f>
        <v>0</v>
      </c>
      <c r="BE14" s="13">
        <f>VLOOKUP($F14,'Visu totale'!$D$3:$DT$129,BE$1,0)</f>
        <v>0</v>
      </c>
      <c r="BF14" s="13">
        <f>VLOOKUP($F14,'Visu totale'!$D$3:$DT$129,BF$1,0)</f>
        <v>0</v>
      </c>
      <c r="BG14" s="13">
        <f>VLOOKUP($F14,'Visu totale'!$D$3:$DT$129,BG$1,0)</f>
        <v>0</v>
      </c>
      <c r="BH14" s="13">
        <f>VLOOKUP($F14,'Visu totale'!$D$3:$DT$129,BH$1,0)</f>
        <v>0</v>
      </c>
      <c r="BI14" s="13">
        <f>VLOOKUP($F14,'Visu totale'!$D$3:$DT$129,BI$1,0)</f>
        <v>0</v>
      </c>
      <c r="BJ14" s="13">
        <f>VLOOKUP($F14,'Visu totale'!$D$3:$DT$129,BJ$1,0)</f>
        <v>0</v>
      </c>
      <c r="BK14" s="13">
        <f>VLOOKUP($F14,'Visu totale'!$D$3:$DT$129,BK$1,0)</f>
        <v>0</v>
      </c>
      <c r="BL14" s="13">
        <f>VLOOKUP($F14,'Visu totale'!$D$3:$DT$129,BL$1,0)</f>
        <v>0</v>
      </c>
      <c r="BM14" s="15">
        <f>VLOOKUP($F14,'Visu totale'!$D$3:$DT$129,BM$1,0)</f>
        <v>0</v>
      </c>
      <c r="BN14" s="14">
        <f>VLOOKUP($F14,'Visu totale'!$D$3:$DT$129,BN$1,0)</f>
        <v>0</v>
      </c>
      <c r="BO14" s="13">
        <f>VLOOKUP($F14,'Visu totale'!$D$3:$DT$129,BO$1,0)</f>
        <v>0</v>
      </c>
      <c r="BP14" s="13">
        <f>VLOOKUP($F14,'Visu totale'!$D$3:$DT$129,BP$1,0)</f>
        <v>0</v>
      </c>
      <c r="BQ14" s="13">
        <f>VLOOKUP($F14,'Visu totale'!$D$3:$DT$129,BQ$1,0)</f>
        <v>0</v>
      </c>
      <c r="BR14" s="13">
        <f>VLOOKUP($F14,'Visu totale'!$D$3:$DT$129,BR$1,0)</f>
        <v>0</v>
      </c>
      <c r="BS14" s="13">
        <f>VLOOKUP($F14,'Visu totale'!$D$3:$DT$129,BS$1,0)</f>
        <v>0</v>
      </c>
      <c r="BT14" s="13">
        <f>VLOOKUP($F14,'Visu totale'!$D$3:$DT$129,BT$1,0)</f>
        <v>0</v>
      </c>
      <c r="BU14" s="13">
        <f>VLOOKUP($F14,'Visu totale'!$D$3:$DT$129,BU$1,0)</f>
        <v>0</v>
      </c>
      <c r="BV14" s="13">
        <f>VLOOKUP($F14,'Visu totale'!$D$3:$DT$129,BV$1,0)</f>
        <v>0</v>
      </c>
      <c r="BW14" s="13">
        <f>VLOOKUP($F14,'Visu totale'!$D$3:$DT$129,BW$1,0)</f>
        <v>0</v>
      </c>
      <c r="BX14" s="13">
        <f>VLOOKUP($F14,'Visu totale'!$D$3:$DT$129,BX$1,0)</f>
        <v>0</v>
      </c>
      <c r="BY14" s="15">
        <f>VLOOKUP($F14,'Visu totale'!$D$3:$DT$129,BY$1,0)</f>
        <v>0</v>
      </c>
      <c r="BZ14" s="14">
        <f>VLOOKUP($F14,'Visu totale'!$D$3:$DT$129,BZ$1,0)</f>
        <v>0</v>
      </c>
      <c r="CA14" s="13">
        <f>VLOOKUP($F14,'Visu totale'!$D$3:$DT$129,CA$1,0)</f>
        <v>0</v>
      </c>
      <c r="CB14" s="13">
        <f>VLOOKUP($F14,'Visu totale'!$D$3:$DT$129,CB$1,0)</f>
        <v>0</v>
      </c>
      <c r="CC14" s="13">
        <f>VLOOKUP($F14,'Visu totale'!$D$3:$DT$129,CC$1,0)</f>
        <v>0</v>
      </c>
      <c r="CD14" s="13">
        <f>VLOOKUP($F14,'Visu totale'!$D$3:$DT$129,CD$1,0)</f>
        <v>0</v>
      </c>
      <c r="CE14" s="13">
        <f>VLOOKUP($F14,'Visu totale'!$D$3:$DT$129,CE$1,0)</f>
        <v>0</v>
      </c>
      <c r="CF14" s="13">
        <f>VLOOKUP($F14,'Visu totale'!$D$3:$DT$129,CF$1,0)</f>
        <v>0</v>
      </c>
      <c r="CG14" s="13">
        <f>VLOOKUP($F14,'Visu totale'!$D$3:$DT$129,CG$1,0)</f>
        <v>0</v>
      </c>
      <c r="CH14" s="13">
        <f>VLOOKUP($F14,'Visu totale'!$D$3:$DT$129,CH$1,0)</f>
        <v>0</v>
      </c>
      <c r="CI14" s="13">
        <f>VLOOKUP($F14,'Visu totale'!$D$3:$DT$129,CI$1,0)</f>
        <v>0</v>
      </c>
      <c r="CJ14" s="13">
        <f>VLOOKUP($F14,'Visu totale'!$D$3:$DT$129,CJ$1,0)</f>
        <v>0</v>
      </c>
      <c r="CK14" s="15">
        <f>VLOOKUP($F14,'Visu totale'!$D$3:$DT$129,CK$1,0)</f>
        <v>0</v>
      </c>
      <c r="CL14" s="14">
        <f>VLOOKUP($F14,'Visu totale'!$D$3:$DT$129,CL$1,0)</f>
        <v>0</v>
      </c>
      <c r="CM14" s="13">
        <f>VLOOKUP($F14,'Visu totale'!$D$3:$DT$129,CM$1,0)</f>
        <v>0</v>
      </c>
      <c r="CN14" s="13">
        <f>VLOOKUP($F14,'Visu totale'!$D$3:$DT$129,CN$1,0)</f>
        <v>0</v>
      </c>
      <c r="CO14" s="13">
        <f>VLOOKUP($F14,'Visu totale'!$D$3:$DT$129,CO$1,0)</f>
        <v>0</v>
      </c>
      <c r="CP14" s="13">
        <f>VLOOKUP($F14,'Visu totale'!$D$3:$DT$129,CP$1,0)</f>
        <v>0</v>
      </c>
      <c r="CQ14" s="13">
        <f>VLOOKUP($F14,'Visu totale'!$D$3:$DT$129,CQ$1,0)</f>
        <v>0</v>
      </c>
      <c r="CR14" s="13">
        <f>VLOOKUP($F14,'Visu totale'!$D$3:$DT$129,CR$1,0)</f>
        <v>0</v>
      </c>
      <c r="CS14" s="13">
        <f>VLOOKUP($F14,'Visu totale'!$D$3:$DT$129,CS$1,0)</f>
        <v>0</v>
      </c>
      <c r="CT14" s="13">
        <f>VLOOKUP($F14,'Visu totale'!$D$3:$DT$129,CT$1,0)</f>
        <v>0</v>
      </c>
      <c r="CU14" s="13">
        <f>VLOOKUP($F14,'Visu totale'!$D$3:$DT$129,CU$1,0)</f>
        <v>0</v>
      </c>
      <c r="CV14" s="13">
        <f>VLOOKUP($F14,'Visu totale'!$D$3:$DT$129,CV$1,0)</f>
        <v>0</v>
      </c>
      <c r="CW14" s="15">
        <f>VLOOKUP($F14,'Visu totale'!$D$3:$DT$129,CW$1,0)</f>
        <v>0</v>
      </c>
      <c r="CX14" s="14">
        <f>VLOOKUP($F14,'Visu totale'!$D$3:$DT$129,CX$1,0)</f>
        <v>0</v>
      </c>
      <c r="CY14" s="13">
        <f>VLOOKUP($F14,'Visu totale'!$D$3:$DT$129,CY$1,0)</f>
        <v>0</v>
      </c>
      <c r="CZ14" s="13">
        <f>VLOOKUP($F14,'Visu totale'!$D$3:$DT$129,CZ$1,0)</f>
        <v>0</v>
      </c>
      <c r="DA14" s="13">
        <f>VLOOKUP($F14,'Visu totale'!$D$3:$DT$129,DA$1,0)</f>
        <v>0</v>
      </c>
      <c r="DB14" s="13">
        <f>VLOOKUP($F14,'Visu totale'!$D$3:$DT$129,DB$1,0)</f>
        <v>0</v>
      </c>
      <c r="DC14" s="13">
        <f>VLOOKUP($F14,'Visu totale'!$D$3:$DT$129,DC$1,0)</f>
        <v>0</v>
      </c>
      <c r="DD14" s="13">
        <f>VLOOKUP($F14,'Visu totale'!$D$3:$DT$129,DD$1,0)</f>
        <v>0</v>
      </c>
      <c r="DE14" s="13">
        <f>VLOOKUP($F14,'Visu totale'!$D$3:$DT$129,DE$1,0)</f>
        <v>0</v>
      </c>
      <c r="DF14" s="13">
        <f>VLOOKUP($F14,'Visu totale'!$D$3:$DT$129,DF$1,0)</f>
        <v>0</v>
      </c>
      <c r="DG14" s="13">
        <f>VLOOKUP($F14,'Visu totale'!$D$3:$DT$129,DG$1,0)</f>
        <v>0</v>
      </c>
      <c r="DH14" s="13">
        <f>VLOOKUP($F14,'Visu totale'!$D$3:$DT$129,DH$1,0)</f>
        <v>0</v>
      </c>
      <c r="DI14" s="15">
        <f>VLOOKUP($F14,'Visu totale'!$D$3:$DT$129,DI$1,0)</f>
        <v>0</v>
      </c>
      <c r="DJ14" s="14">
        <f>VLOOKUP($F14,'Visu totale'!$D$3:$DT$129,DJ$1,0)</f>
        <v>0</v>
      </c>
      <c r="DK14" s="13">
        <f>VLOOKUP($F14,'Visu totale'!$D$3:$DT$129,DK$1,0)</f>
        <v>0</v>
      </c>
      <c r="DL14" s="13">
        <f>VLOOKUP($F14,'Visu totale'!$D$3:$DT$129,DL$1,0)</f>
        <v>0</v>
      </c>
      <c r="DM14" s="13">
        <f>VLOOKUP($F14,'Visu totale'!$D$3:$DT$129,DM$1,0)</f>
        <v>0</v>
      </c>
      <c r="DN14" s="13">
        <f>VLOOKUP($F14,'Visu totale'!$D$3:$DT$129,DN$1,0)</f>
        <v>0</v>
      </c>
      <c r="DO14" s="13">
        <f>VLOOKUP($F14,'Visu totale'!$D$3:$DT$129,DO$1,0)</f>
        <v>0</v>
      </c>
      <c r="DP14" s="13">
        <f>VLOOKUP($F14,'Visu totale'!$D$3:$DT$129,DP$1,0)</f>
        <v>0</v>
      </c>
      <c r="DQ14" s="13">
        <f>VLOOKUP($F14,'Visu totale'!$D$3:$DT$129,DQ$1,0)</f>
        <v>0</v>
      </c>
      <c r="DR14" s="13">
        <f>VLOOKUP($F14,'Visu totale'!$D$3:$DT$129,DR$1,0)</f>
        <v>0</v>
      </c>
      <c r="DS14" s="13">
        <f>VLOOKUP($F14,'Visu totale'!$D$3:$DT$129,DS$1,0)</f>
        <v>0</v>
      </c>
      <c r="DT14" s="13">
        <f>VLOOKUP($F14,'Visu totale'!$D$3:$DT$129,DT$1,0)</f>
        <v>0</v>
      </c>
      <c r="DU14" s="15">
        <f>VLOOKUP($F14,'Visu totale'!$D$3:$DT$129,DU$1,0)</f>
        <v>0</v>
      </c>
    </row>
    <row r="15" spans="1:1482" s="12" customFormat="1" x14ac:dyDescent="0.25">
      <c r="A15" s="13"/>
      <c r="B15" s="13"/>
      <c r="C15" s="13"/>
      <c r="D15" s="13"/>
      <c r="E15" s="13"/>
      <c r="F15" s="17" t="s">
        <v>99</v>
      </c>
      <c r="G15" s="13">
        <f>VLOOKUP($F15,'Visu totale'!$D$3:$DT$129,G$1,0)</f>
        <v>0</v>
      </c>
      <c r="H15" s="13">
        <f>VLOOKUP($F15,'Visu totale'!$D$3:$DT$129,H$1,0)</f>
        <v>0</v>
      </c>
      <c r="I15" s="13">
        <f>VLOOKUP($F15,'Visu totale'!$D$3:$DT$129,I$1,0)</f>
        <v>0</v>
      </c>
      <c r="J15" s="13">
        <f>VLOOKUP($F15,'Visu totale'!$D$3:$DT$129,J$1,0)</f>
        <v>0</v>
      </c>
      <c r="K15" s="13">
        <f>VLOOKUP($F15,'Visu totale'!$D$3:$DT$129,K$1,0)</f>
        <v>0</v>
      </c>
      <c r="L15" s="13">
        <f>VLOOKUP($F15,'Visu totale'!$D$3:$DT$129,L$1,0)</f>
        <v>0</v>
      </c>
      <c r="M15" s="13">
        <f>VLOOKUP($F15,'Visu totale'!$D$3:$DT$129,M$1,0)</f>
        <v>0</v>
      </c>
      <c r="N15" s="13">
        <f>VLOOKUP($F15,'Visu totale'!$D$3:$DT$129,N$1,0)</f>
        <v>0</v>
      </c>
      <c r="O15" s="13">
        <f>VLOOKUP($F15,'Visu totale'!$D$3:$DT$129,O$1,0)</f>
        <v>0</v>
      </c>
      <c r="P15" s="13">
        <f>VLOOKUP($F15,'Visu totale'!$D$3:$DT$129,P$1,0)</f>
        <v>0</v>
      </c>
      <c r="Q15" s="15">
        <f>VLOOKUP($F15,'Visu totale'!$D$3:$DT$129,Q$1,0)</f>
        <v>0</v>
      </c>
      <c r="R15" s="14">
        <f>VLOOKUP($F15,'Visu totale'!$D$3:$DT$129,R$1,0)</f>
        <v>0</v>
      </c>
      <c r="S15" s="13">
        <f>VLOOKUP($F15,'Visu totale'!$D$3:$DT$129,S$1,0)</f>
        <v>0</v>
      </c>
      <c r="T15" s="13">
        <f>VLOOKUP($F15,'Visu totale'!$D$3:$DT$129,T$1,0)</f>
        <v>0</v>
      </c>
      <c r="U15" s="13">
        <f>VLOOKUP($F15,'Visu totale'!$D$3:$DT$129,U$1,0)</f>
        <v>0</v>
      </c>
      <c r="V15" s="13">
        <f>VLOOKUP($F15,'Visu totale'!$D$3:$DT$129,V$1,0)</f>
        <v>0</v>
      </c>
      <c r="W15" s="13">
        <f>VLOOKUP($F15,'Visu totale'!$D$3:$DT$129,W$1,0)</f>
        <v>0</v>
      </c>
      <c r="X15" s="13">
        <f>VLOOKUP($F15,'Visu totale'!$D$3:$DT$129,X$1,0)</f>
        <v>0</v>
      </c>
      <c r="Y15" s="13">
        <f>VLOOKUP($F15,'Visu totale'!$D$3:$DT$129,Y$1,0)</f>
        <v>0</v>
      </c>
      <c r="Z15" s="13">
        <f>VLOOKUP($F15,'Visu totale'!$D$3:$DT$129,Z$1,0)</f>
        <v>0</v>
      </c>
      <c r="AA15" s="13">
        <f>VLOOKUP($F15,'Visu totale'!$D$3:$DT$129,AA$1,0)</f>
        <v>0</v>
      </c>
      <c r="AB15" s="13">
        <f>VLOOKUP($F15,'Visu totale'!$D$3:$DT$129,AB$1,0)</f>
        <v>0</v>
      </c>
      <c r="AC15" s="15">
        <f>VLOOKUP($F15,'Visu totale'!$D$3:$DT$129,AC$1,0)</f>
        <v>0</v>
      </c>
      <c r="AD15" s="14">
        <f>VLOOKUP($F15,'Visu totale'!$D$3:$DT$129,AD$1,0)</f>
        <v>0</v>
      </c>
      <c r="AE15" s="13">
        <f>VLOOKUP($F15,'Visu totale'!$D$3:$DT$129,AE$1,0)</f>
        <v>0</v>
      </c>
      <c r="AF15" s="13">
        <f>VLOOKUP($F15,'Visu totale'!$D$3:$DT$129,AF$1,0)</f>
        <v>0</v>
      </c>
      <c r="AG15" s="13">
        <f>VLOOKUP($F15,'Visu totale'!$D$3:$DT$129,AG$1,0)</f>
        <v>0</v>
      </c>
      <c r="AH15" s="13">
        <f>VLOOKUP($F15,'Visu totale'!$D$3:$DT$129,AH$1,0)</f>
        <v>0</v>
      </c>
      <c r="AI15" s="13">
        <f>VLOOKUP($F15,'Visu totale'!$D$3:$DT$129,AI$1,0)</f>
        <v>0</v>
      </c>
      <c r="AJ15" s="13">
        <f>VLOOKUP($F15,'Visu totale'!$D$3:$DT$129,AJ$1,0)</f>
        <v>0</v>
      </c>
      <c r="AK15" s="13">
        <f>VLOOKUP($F15,'Visu totale'!$D$3:$DT$129,AK$1,0)</f>
        <v>0</v>
      </c>
      <c r="AL15" s="13">
        <f>VLOOKUP($F15,'Visu totale'!$D$3:$DT$129,AL$1,0)</f>
        <v>0</v>
      </c>
      <c r="AM15" s="13">
        <f>VLOOKUP($F15,'Visu totale'!$D$3:$DT$129,AM$1,0)</f>
        <v>0</v>
      </c>
      <c r="AN15" s="13">
        <f>VLOOKUP($F15,'Visu totale'!$D$3:$DT$129,AN$1,0)</f>
        <v>0</v>
      </c>
      <c r="AO15" s="15">
        <f>VLOOKUP($F15,'Visu totale'!$D$3:$DT$129,AO$1,0)</f>
        <v>0</v>
      </c>
      <c r="AP15" s="14">
        <f>VLOOKUP($F15,'Visu totale'!$D$3:$DT$129,AP$1,0)</f>
        <v>0</v>
      </c>
      <c r="AQ15" s="13">
        <f>VLOOKUP($F15,'Visu totale'!$D$3:$DT$129,AQ$1,0)</f>
        <v>0</v>
      </c>
      <c r="AR15" s="13">
        <f>VLOOKUP($F15,'Visu totale'!$D$3:$DT$129,AR$1,0)</f>
        <v>0</v>
      </c>
      <c r="AS15" s="13">
        <f>VLOOKUP($F15,'Visu totale'!$D$3:$DT$129,AS$1,0)</f>
        <v>0</v>
      </c>
      <c r="AT15" s="13">
        <f>VLOOKUP($F15,'Visu totale'!$D$3:$DT$129,AT$1,0)</f>
        <v>0</v>
      </c>
      <c r="AU15" s="13">
        <f>VLOOKUP($F15,'Visu totale'!$D$3:$DT$129,AU$1,0)</f>
        <v>0</v>
      </c>
      <c r="AV15" s="13">
        <f>VLOOKUP($F15,'Visu totale'!$D$3:$DT$129,AV$1,0)</f>
        <v>0</v>
      </c>
      <c r="AW15" s="13">
        <f>VLOOKUP($F15,'Visu totale'!$D$3:$DT$129,AW$1,0)</f>
        <v>0</v>
      </c>
      <c r="AX15" s="13">
        <f>VLOOKUP($F15,'Visu totale'!$D$3:$DT$129,AX$1,0)</f>
        <v>0</v>
      </c>
      <c r="AY15" s="13">
        <f>VLOOKUP($F15,'Visu totale'!$D$3:$DT$129,AY$1,0)</f>
        <v>0</v>
      </c>
      <c r="AZ15" s="13">
        <f>VLOOKUP($F15,'Visu totale'!$D$3:$DT$129,AZ$1,0)</f>
        <v>0</v>
      </c>
      <c r="BA15" s="15">
        <f>VLOOKUP($F15,'Visu totale'!$D$3:$DT$129,BA$1,0)</f>
        <v>0</v>
      </c>
      <c r="BB15" s="14">
        <f>VLOOKUP($F15,'Visu totale'!$D$3:$DT$129,BB$1,0)</f>
        <v>0</v>
      </c>
      <c r="BC15" s="13">
        <f>VLOOKUP($F15,'Visu totale'!$D$3:$DT$129,BC$1,0)</f>
        <v>0</v>
      </c>
      <c r="BD15" s="13">
        <f>VLOOKUP($F15,'Visu totale'!$D$3:$DT$129,BD$1,0)</f>
        <v>0</v>
      </c>
      <c r="BE15" s="13">
        <f>VLOOKUP($F15,'Visu totale'!$D$3:$DT$129,BE$1,0)</f>
        <v>0</v>
      </c>
      <c r="BF15" s="13">
        <f>VLOOKUP($F15,'Visu totale'!$D$3:$DT$129,BF$1,0)</f>
        <v>0</v>
      </c>
      <c r="BG15" s="13">
        <f>VLOOKUP($F15,'Visu totale'!$D$3:$DT$129,BG$1,0)</f>
        <v>0</v>
      </c>
      <c r="BH15" s="13">
        <f>VLOOKUP($F15,'Visu totale'!$D$3:$DT$129,BH$1,0)</f>
        <v>0</v>
      </c>
      <c r="BI15" s="13">
        <f>VLOOKUP($F15,'Visu totale'!$D$3:$DT$129,BI$1,0)</f>
        <v>0</v>
      </c>
      <c r="BJ15" s="13">
        <f>VLOOKUP($F15,'Visu totale'!$D$3:$DT$129,BJ$1,0)</f>
        <v>0</v>
      </c>
      <c r="BK15" s="13">
        <f>VLOOKUP($F15,'Visu totale'!$D$3:$DT$129,BK$1,0)</f>
        <v>0</v>
      </c>
      <c r="BL15" s="13">
        <f>VLOOKUP($F15,'Visu totale'!$D$3:$DT$129,BL$1,0)</f>
        <v>0</v>
      </c>
      <c r="BM15" s="15">
        <f>VLOOKUP($F15,'Visu totale'!$D$3:$DT$129,BM$1,0)</f>
        <v>0</v>
      </c>
      <c r="BN15" s="14">
        <f>VLOOKUP($F15,'Visu totale'!$D$3:$DT$129,BN$1,0)</f>
        <v>0</v>
      </c>
      <c r="BO15" s="13">
        <f>VLOOKUP($F15,'Visu totale'!$D$3:$DT$129,BO$1,0)</f>
        <v>0</v>
      </c>
      <c r="BP15" s="13">
        <f>VLOOKUP($F15,'Visu totale'!$D$3:$DT$129,BP$1,0)</f>
        <v>0</v>
      </c>
      <c r="BQ15" s="13">
        <f>VLOOKUP($F15,'Visu totale'!$D$3:$DT$129,BQ$1,0)</f>
        <v>0</v>
      </c>
      <c r="BR15" s="13">
        <f>VLOOKUP($F15,'Visu totale'!$D$3:$DT$129,BR$1,0)</f>
        <v>0</v>
      </c>
      <c r="BS15" s="13">
        <f>VLOOKUP($F15,'Visu totale'!$D$3:$DT$129,BS$1,0)</f>
        <v>0</v>
      </c>
      <c r="BT15" s="13">
        <f>VLOOKUP($F15,'Visu totale'!$D$3:$DT$129,BT$1,0)</f>
        <v>0</v>
      </c>
      <c r="BU15" s="13">
        <f>VLOOKUP($F15,'Visu totale'!$D$3:$DT$129,BU$1,0)</f>
        <v>0</v>
      </c>
      <c r="BV15" s="13">
        <f>VLOOKUP($F15,'Visu totale'!$D$3:$DT$129,BV$1,0)</f>
        <v>0</v>
      </c>
      <c r="BW15" s="13">
        <f>VLOOKUP($F15,'Visu totale'!$D$3:$DT$129,BW$1,0)</f>
        <v>0</v>
      </c>
      <c r="BX15" s="13">
        <f>VLOOKUP($F15,'Visu totale'!$D$3:$DT$129,BX$1,0)</f>
        <v>0</v>
      </c>
      <c r="BY15" s="15">
        <f>VLOOKUP($F15,'Visu totale'!$D$3:$DT$129,BY$1,0)</f>
        <v>0</v>
      </c>
      <c r="BZ15" s="14">
        <f>VLOOKUP($F15,'Visu totale'!$D$3:$DT$129,BZ$1,0)</f>
        <v>0</v>
      </c>
      <c r="CA15" s="13">
        <f>VLOOKUP($F15,'Visu totale'!$D$3:$DT$129,CA$1,0)</f>
        <v>0</v>
      </c>
      <c r="CB15" s="13">
        <f>VLOOKUP($F15,'Visu totale'!$D$3:$DT$129,CB$1,0)</f>
        <v>0</v>
      </c>
      <c r="CC15" s="13">
        <f>VLOOKUP($F15,'Visu totale'!$D$3:$DT$129,CC$1,0)</f>
        <v>0</v>
      </c>
      <c r="CD15" s="13">
        <f>VLOOKUP($F15,'Visu totale'!$D$3:$DT$129,CD$1,0)</f>
        <v>0</v>
      </c>
      <c r="CE15" s="13">
        <f>VLOOKUP($F15,'Visu totale'!$D$3:$DT$129,CE$1,0)</f>
        <v>0</v>
      </c>
      <c r="CF15" s="13">
        <f>VLOOKUP($F15,'Visu totale'!$D$3:$DT$129,CF$1,0)</f>
        <v>0</v>
      </c>
      <c r="CG15" s="13">
        <f>VLOOKUP($F15,'Visu totale'!$D$3:$DT$129,CG$1,0)</f>
        <v>0</v>
      </c>
      <c r="CH15" s="13">
        <f>VLOOKUP($F15,'Visu totale'!$D$3:$DT$129,CH$1,0)</f>
        <v>0</v>
      </c>
      <c r="CI15" s="13">
        <f>VLOOKUP($F15,'Visu totale'!$D$3:$DT$129,CI$1,0)</f>
        <v>0</v>
      </c>
      <c r="CJ15" s="13">
        <f>VLOOKUP($F15,'Visu totale'!$D$3:$DT$129,CJ$1,0)</f>
        <v>0</v>
      </c>
      <c r="CK15" s="15">
        <f>VLOOKUP($F15,'Visu totale'!$D$3:$DT$129,CK$1,0)</f>
        <v>0</v>
      </c>
      <c r="CL15" s="14">
        <f>VLOOKUP($F15,'Visu totale'!$D$3:$DT$129,CL$1,0)</f>
        <v>0</v>
      </c>
      <c r="CM15" s="13">
        <f>VLOOKUP($F15,'Visu totale'!$D$3:$DT$129,CM$1,0)</f>
        <v>0</v>
      </c>
      <c r="CN15" s="13">
        <f>VLOOKUP($F15,'Visu totale'!$D$3:$DT$129,CN$1,0)</f>
        <v>0</v>
      </c>
      <c r="CO15" s="13">
        <f>VLOOKUP($F15,'Visu totale'!$D$3:$DT$129,CO$1,0)</f>
        <v>0</v>
      </c>
      <c r="CP15" s="13">
        <f>VLOOKUP($F15,'Visu totale'!$D$3:$DT$129,CP$1,0)</f>
        <v>0</v>
      </c>
      <c r="CQ15" s="13">
        <f>VLOOKUP($F15,'Visu totale'!$D$3:$DT$129,CQ$1,0)</f>
        <v>0</v>
      </c>
      <c r="CR15" s="13">
        <f>VLOOKUP($F15,'Visu totale'!$D$3:$DT$129,CR$1,0)</f>
        <v>0</v>
      </c>
      <c r="CS15" s="13">
        <f>VLOOKUP($F15,'Visu totale'!$D$3:$DT$129,CS$1,0)</f>
        <v>0</v>
      </c>
      <c r="CT15" s="13">
        <f>VLOOKUP($F15,'Visu totale'!$D$3:$DT$129,CT$1,0)</f>
        <v>0</v>
      </c>
      <c r="CU15" s="13">
        <f>VLOOKUP($F15,'Visu totale'!$D$3:$DT$129,CU$1,0)</f>
        <v>0</v>
      </c>
      <c r="CV15" s="13">
        <f>VLOOKUP($F15,'Visu totale'!$D$3:$DT$129,CV$1,0)</f>
        <v>0</v>
      </c>
      <c r="CW15" s="15">
        <f>VLOOKUP($F15,'Visu totale'!$D$3:$DT$129,CW$1,0)</f>
        <v>0</v>
      </c>
      <c r="CX15" s="14">
        <f>VLOOKUP($F15,'Visu totale'!$D$3:$DT$129,CX$1,0)</f>
        <v>0</v>
      </c>
      <c r="CY15" s="13">
        <f>VLOOKUP($F15,'Visu totale'!$D$3:$DT$129,CY$1,0)</f>
        <v>0</v>
      </c>
      <c r="CZ15" s="13">
        <f>VLOOKUP($F15,'Visu totale'!$D$3:$DT$129,CZ$1,0)</f>
        <v>0</v>
      </c>
      <c r="DA15" s="13">
        <f>VLOOKUP($F15,'Visu totale'!$D$3:$DT$129,DA$1,0)</f>
        <v>0</v>
      </c>
      <c r="DB15" s="13">
        <f>VLOOKUP($F15,'Visu totale'!$D$3:$DT$129,DB$1,0)</f>
        <v>0</v>
      </c>
      <c r="DC15" s="13">
        <f>VLOOKUP($F15,'Visu totale'!$D$3:$DT$129,DC$1,0)</f>
        <v>0</v>
      </c>
      <c r="DD15" s="13">
        <f>VLOOKUP($F15,'Visu totale'!$D$3:$DT$129,DD$1,0)</f>
        <v>0</v>
      </c>
      <c r="DE15" s="13">
        <f>VLOOKUP($F15,'Visu totale'!$D$3:$DT$129,DE$1,0)</f>
        <v>0</v>
      </c>
      <c r="DF15" s="13">
        <f>VLOOKUP($F15,'Visu totale'!$D$3:$DT$129,DF$1,0)</f>
        <v>0</v>
      </c>
      <c r="DG15" s="13">
        <f>VLOOKUP($F15,'Visu totale'!$D$3:$DT$129,DG$1,0)</f>
        <v>0</v>
      </c>
      <c r="DH15" s="13">
        <f>VLOOKUP($F15,'Visu totale'!$D$3:$DT$129,DH$1,0)</f>
        <v>0</v>
      </c>
      <c r="DI15" s="15">
        <f>VLOOKUP($F15,'Visu totale'!$D$3:$DT$129,DI$1,0)</f>
        <v>0</v>
      </c>
      <c r="DJ15" s="14">
        <f>VLOOKUP($F15,'Visu totale'!$D$3:$DT$129,DJ$1,0)</f>
        <v>0</v>
      </c>
      <c r="DK15" s="13">
        <f>VLOOKUP($F15,'Visu totale'!$D$3:$DT$129,DK$1,0)</f>
        <v>0</v>
      </c>
      <c r="DL15" s="13">
        <f>VLOOKUP($F15,'Visu totale'!$D$3:$DT$129,DL$1,0)</f>
        <v>0</v>
      </c>
      <c r="DM15" s="13">
        <f>VLOOKUP($F15,'Visu totale'!$D$3:$DT$129,DM$1,0)</f>
        <v>0</v>
      </c>
      <c r="DN15" s="13">
        <f>VLOOKUP($F15,'Visu totale'!$D$3:$DT$129,DN$1,0)</f>
        <v>0</v>
      </c>
      <c r="DO15" s="13">
        <f>VLOOKUP($F15,'Visu totale'!$D$3:$DT$129,DO$1,0)</f>
        <v>0</v>
      </c>
      <c r="DP15" s="13">
        <f>VLOOKUP($F15,'Visu totale'!$D$3:$DT$129,DP$1,0)</f>
        <v>0</v>
      </c>
      <c r="DQ15" s="13">
        <f>VLOOKUP($F15,'Visu totale'!$D$3:$DT$129,DQ$1,0)</f>
        <v>0</v>
      </c>
      <c r="DR15" s="13">
        <f>VLOOKUP($F15,'Visu totale'!$D$3:$DT$129,DR$1,0)</f>
        <v>0</v>
      </c>
      <c r="DS15" s="13">
        <f>VLOOKUP($F15,'Visu totale'!$D$3:$DT$129,DS$1,0)</f>
        <v>0</v>
      </c>
      <c r="DT15" s="13">
        <f>VLOOKUP($F15,'Visu totale'!$D$3:$DT$129,DT$1,0)</f>
        <v>0</v>
      </c>
      <c r="DU15" s="15">
        <f>VLOOKUP($F15,'Visu totale'!$D$3:$DT$129,DU$1,0)</f>
        <v>0</v>
      </c>
    </row>
    <row r="16" spans="1:1482" s="12" customFormat="1" x14ac:dyDescent="0.25">
      <c r="A16" s="13"/>
      <c r="B16" s="13"/>
      <c r="C16" s="13"/>
      <c r="D16" s="13"/>
      <c r="E16" s="13"/>
      <c r="F16" s="17" t="s">
        <v>100</v>
      </c>
      <c r="G16" s="13">
        <f>VLOOKUP($F16,'Visu totale'!$D$3:$DT$129,G$1,0)</f>
        <v>0</v>
      </c>
      <c r="H16" s="13">
        <f>VLOOKUP($F16,'Visu totale'!$D$3:$DT$129,H$1,0)</f>
        <v>0</v>
      </c>
      <c r="I16" s="13">
        <f>VLOOKUP($F16,'Visu totale'!$D$3:$DT$129,I$1,0)</f>
        <v>0</v>
      </c>
      <c r="J16" s="13">
        <f>VLOOKUP($F16,'Visu totale'!$D$3:$DT$129,J$1,0)</f>
        <v>0</v>
      </c>
      <c r="K16" s="13">
        <f>VLOOKUP($F16,'Visu totale'!$D$3:$DT$129,K$1,0)</f>
        <v>0</v>
      </c>
      <c r="L16" s="13">
        <f>VLOOKUP($F16,'Visu totale'!$D$3:$DT$129,L$1,0)</f>
        <v>0</v>
      </c>
      <c r="M16" s="13">
        <f>VLOOKUP($F16,'Visu totale'!$D$3:$DT$129,M$1,0)</f>
        <v>0</v>
      </c>
      <c r="N16" s="13">
        <f>VLOOKUP($F16,'Visu totale'!$D$3:$DT$129,N$1,0)</f>
        <v>0</v>
      </c>
      <c r="O16" s="13">
        <f>VLOOKUP($F16,'Visu totale'!$D$3:$DT$129,O$1,0)</f>
        <v>0</v>
      </c>
      <c r="P16" s="13">
        <f>VLOOKUP($F16,'Visu totale'!$D$3:$DT$129,P$1,0)</f>
        <v>0</v>
      </c>
      <c r="Q16" s="15">
        <f>VLOOKUP($F16,'Visu totale'!$D$3:$DT$129,Q$1,0)</f>
        <v>0</v>
      </c>
      <c r="R16" s="14">
        <f>VLOOKUP($F16,'Visu totale'!$D$3:$DT$129,R$1,0)</f>
        <v>0</v>
      </c>
      <c r="S16" s="13">
        <f>VLOOKUP($F16,'Visu totale'!$D$3:$DT$129,S$1,0)</f>
        <v>0</v>
      </c>
      <c r="T16" s="13">
        <f>VLOOKUP($F16,'Visu totale'!$D$3:$DT$129,T$1,0)</f>
        <v>0</v>
      </c>
      <c r="U16" s="13">
        <f>VLOOKUP($F16,'Visu totale'!$D$3:$DT$129,U$1,0)</f>
        <v>0</v>
      </c>
      <c r="V16" s="13">
        <f>VLOOKUP($F16,'Visu totale'!$D$3:$DT$129,V$1,0)</f>
        <v>0</v>
      </c>
      <c r="W16" s="13">
        <f>VLOOKUP($F16,'Visu totale'!$D$3:$DT$129,W$1,0)</f>
        <v>0</v>
      </c>
      <c r="X16" s="13">
        <f>VLOOKUP($F16,'Visu totale'!$D$3:$DT$129,X$1,0)</f>
        <v>0</v>
      </c>
      <c r="Y16" s="13">
        <f>VLOOKUP($F16,'Visu totale'!$D$3:$DT$129,Y$1,0)</f>
        <v>0</v>
      </c>
      <c r="Z16" s="13">
        <f>VLOOKUP($F16,'Visu totale'!$D$3:$DT$129,Z$1,0)</f>
        <v>0</v>
      </c>
      <c r="AA16" s="13">
        <f>VLOOKUP($F16,'Visu totale'!$D$3:$DT$129,AA$1,0)</f>
        <v>0</v>
      </c>
      <c r="AB16" s="13">
        <f>VLOOKUP($F16,'Visu totale'!$D$3:$DT$129,AB$1,0)</f>
        <v>0</v>
      </c>
      <c r="AC16" s="15">
        <f>VLOOKUP($F16,'Visu totale'!$D$3:$DT$129,AC$1,0)</f>
        <v>0</v>
      </c>
      <c r="AD16" s="14">
        <f>VLOOKUP($F16,'Visu totale'!$D$3:$DT$129,AD$1,0)</f>
        <v>0</v>
      </c>
      <c r="AE16" s="13">
        <f>VLOOKUP($F16,'Visu totale'!$D$3:$DT$129,AE$1,0)</f>
        <v>0</v>
      </c>
      <c r="AF16" s="13">
        <f>VLOOKUP($F16,'Visu totale'!$D$3:$DT$129,AF$1,0)</f>
        <v>0</v>
      </c>
      <c r="AG16" s="13">
        <f>VLOOKUP($F16,'Visu totale'!$D$3:$DT$129,AG$1,0)</f>
        <v>0</v>
      </c>
      <c r="AH16" s="13">
        <f>VLOOKUP($F16,'Visu totale'!$D$3:$DT$129,AH$1,0)</f>
        <v>0</v>
      </c>
      <c r="AI16" s="13">
        <f>VLOOKUP($F16,'Visu totale'!$D$3:$DT$129,AI$1,0)</f>
        <v>0</v>
      </c>
      <c r="AJ16" s="13">
        <f>VLOOKUP($F16,'Visu totale'!$D$3:$DT$129,AJ$1,0)</f>
        <v>0</v>
      </c>
      <c r="AK16" s="13">
        <f>VLOOKUP($F16,'Visu totale'!$D$3:$DT$129,AK$1,0)</f>
        <v>0</v>
      </c>
      <c r="AL16" s="13">
        <f>VLOOKUP($F16,'Visu totale'!$D$3:$DT$129,AL$1,0)</f>
        <v>0</v>
      </c>
      <c r="AM16" s="13">
        <f>VLOOKUP($F16,'Visu totale'!$D$3:$DT$129,AM$1,0)</f>
        <v>0</v>
      </c>
      <c r="AN16" s="13">
        <f>VLOOKUP($F16,'Visu totale'!$D$3:$DT$129,AN$1,0)</f>
        <v>0</v>
      </c>
      <c r="AO16" s="15">
        <f>VLOOKUP($F16,'Visu totale'!$D$3:$DT$129,AO$1,0)</f>
        <v>0</v>
      </c>
      <c r="AP16" s="14">
        <f>VLOOKUP($F16,'Visu totale'!$D$3:$DT$129,AP$1,0)</f>
        <v>0</v>
      </c>
      <c r="AQ16" s="13">
        <f>VLOOKUP($F16,'Visu totale'!$D$3:$DT$129,AQ$1,0)</f>
        <v>0</v>
      </c>
      <c r="AR16" s="13">
        <f>VLOOKUP($F16,'Visu totale'!$D$3:$DT$129,AR$1,0)</f>
        <v>0</v>
      </c>
      <c r="AS16" s="13">
        <f>VLOOKUP($F16,'Visu totale'!$D$3:$DT$129,AS$1,0)</f>
        <v>0</v>
      </c>
      <c r="AT16" s="13">
        <f>VLOOKUP($F16,'Visu totale'!$D$3:$DT$129,AT$1,0)</f>
        <v>0</v>
      </c>
      <c r="AU16" s="13">
        <f>VLOOKUP($F16,'Visu totale'!$D$3:$DT$129,AU$1,0)</f>
        <v>0</v>
      </c>
      <c r="AV16" s="13">
        <f>VLOOKUP($F16,'Visu totale'!$D$3:$DT$129,AV$1,0)</f>
        <v>0</v>
      </c>
      <c r="AW16" s="13">
        <f>VLOOKUP($F16,'Visu totale'!$D$3:$DT$129,AW$1,0)</f>
        <v>0</v>
      </c>
      <c r="AX16" s="13">
        <f>VLOOKUP($F16,'Visu totale'!$D$3:$DT$129,AX$1,0)</f>
        <v>0</v>
      </c>
      <c r="AY16" s="13">
        <f>VLOOKUP($F16,'Visu totale'!$D$3:$DT$129,AY$1,0)</f>
        <v>0</v>
      </c>
      <c r="AZ16" s="13">
        <f>VLOOKUP($F16,'Visu totale'!$D$3:$DT$129,AZ$1,0)</f>
        <v>0</v>
      </c>
      <c r="BA16" s="15">
        <f>VLOOKUP($F16,'Visu totale'!$D$3:$DT$129,BA$1,0)</f>
        <v>0</v>
      </c>
      <c r="BB16" s="14">
        <f>VLOOKUP($F16,'Visu totale'!$D$3:$DT$129,BB$1,0)</f>
        <v>0</v>
      </c>
      <c r="BC16" s="13">
        <f>VLOOKUP($F16,'Visu totale'!$D$3:$DT$129,BC$1,0)</f>
        <v>0</v>
      </c>
      <c r="BD16" s="13">
        <f>VLOOKUP($F16,'Visu totale'!$D$3:$DT$129,BD$1,0)</f>
        <v>0</v>
      </c>
      <c r="BE16" s="13">
        <f>VLOOKUP($F16,'Visu totale'!$D$3:$DT$129,BE$1,0)</f>
        <v>0</v>
      </c>
      <c r="BF16" s="13">
        <f>VLOOKUP($F16,'Visu totale'!$D$3:$DT$129,BF$1,0)</f>
        <v>0</v>
      </c>
      <c r="BG16" s="13">
        <f>VLOOKUP($F16,'Visu totale'!$D$3:$DT$129,BG$1,0)</f>
        <v>0</v>
      </c>
      <c r="BH16" s="13">
        <f>VLOOKUP($F16,'Visu totale'!$D$3:$DT$129,BH$1,0)</f>
        <v>0</v>
      </c>
      <c r="BI16" s="13">
        <f>VLOOKUP($F16,'Visu totale'!$D$3:$DT$129,BI$1,0)</f>
        <v>0</v>
      </c>
      <c r="BJ16" s="13">
        <f>VLOOKUP($F16,'Visu totale'!$D$3:$DT$129,BJ$1,0)</f>
        <v>0</v>
      </c>
      <c r="BK16" s="13">
        <f>VLOOKUP($F16,'Visu totale'!$D$3:$DT$129,BK$1,0)</f>
        <v>0</v>
      </c>
      <c r="BL16" s="13">
        <f>VLOOKUP($F16,'Visu totale'!$D$3:$DT$129,BL$1,0)</f>
        <v>0</v>
      </c>
      <c r="BM16" s="15">
        <f>VLOOKUP($F16,'Visu totale'!$D$3:$DT$129,BM$1,0)</f>
        <v>0</v>
      </c>
      <c r="BN16" s="14">
        <f>VLOOKUP($F16,'Visu totale'!$D$3:$DT$129,BN$1,0)</f>
        <v>0</v>
      </c>
      <c r="BO16" s="13">
        <f>VLOOKUP($F16,'Visu totale'!$D$3:$DT$129,BO$1,0)</f>
        <v>0</v>
      </c>
      <c r="BP16" s="13">
        <f>VLOOKUP($F16,'Visu totale'!$D$3:$DT$129,BP$1,0)</f>
        <v>0</v>
      </c>
      <c r="BQ16" s="13">
        <f>VLOOKUP($F16,'Visu totale'!$D$3:$DT$129,BQ$1,0)</f>
        <v>0</v>
      </c>
      <c r="BR16" s="13">
        <f>VLOOKUP($F16,'Visu totale'!$D$3:$DT$129,BR$1,0)</f>
        <v>0</v>
      </c>
      <c r="BS16" s="13">
        <f>VLOOKUP($F16,'Visu totale'!$D$3:$DT$129,BS$1,0)</f>
        <v>0</v>
      </c>
      <c r="BT16" s="13">
        <f>VLOOKUP($F16,'Visu totale'!$D$3:$DT$129,BT$1,0)</f>
        <v>0</v>
      </c>
      <c r="BU16" s="13">
        <f>VLOOKUP($F16,'Visu totale'!$D$3:$DT$129,BU$1,0)</f>
        <v>0</v>
      </c>
      <c r="BV16" s="13">
        <f>VLOOKUP($F16,'Visu totale'!$D$3:$DT$129,BV$1,0)</f>
        <v>0</v>
      </c>
      <c r="BW16" s="13">
        <f>VLOOKUP($F16,'Visu totale'!$D$3:$DT$129,BW$1,0)</f>
        <v>0</v>
      </c>
      <c r="BX16" s="13">
        <f>VLOOKUP($F16,'Visu totale'!$D$3:$DT$129,BX$1,0)</f>
        <v>0</v>
      </c>
      <c r="BY16" s="15">
        <f>VLOOKUP($F16,'Visu totale'!$D$3:$DT$129,BY$1,0)</f>
        <v>0</v>
      </c>
      <c r="BZ16" s="14">
        <f>VLOOKUP($F16,'Visu totale'!$D$3:$DT$129,BZ$1,0)</f>
        <v>0</v>
      </c>
      <c r="CA16" s="13">
        <f>VLOOKUP($F16,'Visu totale'!$D$3:$DT$129,CA$1,0)</f>
        <v>0</v>
      </c>
      <c r="CB16" s="13">
        <f>VLOOKUP($F16,'Visu totale'!$D$3:$DT$129,CB$1,0)</f>
        <v>0</v>
      </c>
      <c r="CC16" s="13">
        <f>VLOOKUP($F16,'Visu totale'!$D$3:$DT$129,CC$1,0)</f>
        <v>0</v>
      </c>
      <c r="CD16" s="13">
        <f>VLOOKUP($F16,'Visu totale'!$D$3:$DT$129,CD$1,0)</f>
        <v>0</v>
      </c>
      <c r="CE16" s="13">
        <f>VLOOKUP($F16,'Visu totale'!$D$3:$DT$129,CE$1,0)</f>
        <v>0</v>
      </c>
      <c r="CF16" s="13">
        <f>VLOOKUP($F16,'Visu totale'!$D$3:$DT$129,CF$1,0)</f>
        <v>0</v>
      </c>
      <c r="CG16" s="13">
        <f>VLOOKUP($F16,'Visu totale'!$D$3:$DT$129,CG$1,0)</f>
        <v>0</v>
      </c>
      <c r="CH16" s="13">
        <f>VLOOKUP($F16,'Visu totale'!$D$3:$DT$129,CH$1,0)</f>
        <v>0</v>
      </c>
      <c r="CI16" s="13">
        <f>VLOOKUP($F16,'Visu totale'!$D$3:$DT$129,CI$1,0)</f>
        <v>0</v>
      </c>
      <c r="CJ16" s="13">
        <f>VLOOKUP($F16,'Visu totale'!$D$3:$DT$129,CJ$1,0)</f>
        <v>0</v>
      </c>
      <c r="CK16" s="15">
        <f>VLOOKUP($F16,'Visu totale'!$D$3:$DT$129,CK$1,0)</f>
        <v>0</v>
      </c>
      <c r="CL16" s="14">
        <f>VLOOKUP($F16,'Visu totale'!$D$3:$DT$129,CL$1,0)</f>
        <v>0</v>
      </c>
      <c r="CM16" s="13">
        <f>VLOOKUP($F16,'Visu totale'!$D$3:$DT$129,CM$1,0)</f>
        <v>0</v>
      </c>
      <c r="CN16" s="13">
        <f>VLOOKUP($F16,'Visu totale'!$D$3:$DT$129,CN$1,0)</f>
        <v>0</v>
      </c>
      <c r="CO16" s="13">
        <f>VLOOKUP($F16,'Visu totale'!$D$3:$DT$129,CO$1,0)</f>
        <v>0</v>
      </c>
      <c r="CP16" s="13">
        <f>VLOOKUP($F16,'Visu totale'!$D$3:$DT$129,CP$1,0)</f>
        <v>0</v>
      </c>
      <c r="CQ16" s="13">
        <f>VLOOKUP($F16,'Visu totale'!$D$3:$DT$129,CQ$1,0)</f>
        <v>0</v>
      </c>
      <c r="CR16" s="13">
        <f>VLOOKUP($F16,'Visu totale'!$D$3:$DT$129,CR$1,0)</f>
        <v>0</v>
      </c>
      <c r="CS16" s="13">
        <f>VLOOKUP($F16,'Visu totale'!$D$3:$DT$129,CS$1,0)</f>
        <v>0</v>
      </c>
      <c r="CT16" s="13">
        <f>VLOOKUP($F16,'Visu totale'!$D$3:$DT$129,CT$1,0)</f>
        <v>0</v>
      </c>
      <c r="CU16" s="13">
        <f>VLOOKUP($F16,'Visu totale'!$D$3:$DT$129,CU$1,0)</f>
        <v>0</v>
      </c>
      <c r="CV16" s="13">
        <f>VLOOKUP($F16,'Visu totale'!$D$3:$DT$129,CV$1,0)</f>
        <v>0</v>
      </c>
      <c r="CW16" s="15">
        <f>VLOOKUP($F16,'Visu totale'!$D$3:$DT$129,CW$1,0)</f>
        <v>0</v>
      </c>
      <c r="CX16" s="14">
        <f>VLOOKUP($F16,'Visu totale'!$D$3:$DT$129,CX$1,0)</f>
        <v>0</v>
      </c>
      <c r="CY16" s="13">
        <f>VLOOKUP($F16,'Visu totale'!$D$3:$DT$129,CY$1,0)</f>
        <v>0</v>
      </c>
      <c r="CZ16" s="13">
        <f>VLOOKUP($F16,'Visu totale'!$D$3:$DT$129,CZ$1,0)</f>
        <v>0</v>
      </c>
      <c r="DA16" s="13">
        <f>VLOOKUP($F16,'Visu totale'!$D$3:$DT$129,DA$1,0)</f>
        <v>0</v>
      </c>
      <c r="DB16" s="13">
        <f>VLOOKUP($F16,'Visu totale'!$D$3:$DT$129,DB$1,0)</f>
        <v>0</v>
      </c>
      <c r="DC16" s="13">
        <f>VLOOKUP($F16,'Visu totale'!$D$3:$DT$129,DC$1,0)</f>
        <v>0</v>
      </c>
      <c r="DD16" s="13">
        <f>VLOOKUP($F16,'Visu totale'!$D$3:$DT$129,DD$1,0)</f>
        <v>0</v>
      </c>
      <c r="DE16" s="13">
        <f>VLOOKUP($F16,'Visu totale'!$D$3:$DT$129,DE$1,0)</f>
        <v>0</v>
      </c>
      <c r="DF16" s="13">
        <f>VLOOKUP($F16,'Visu totale'!$D$3:$DT$129,DF$1,0)</f>
        <v>0</v>
      </c>
      <c r="DG16" s="13">
        <f>VLOOKUP($F16,'Visu totale'!$D$3:$DT$129,DG$1,0)</f>
        <v>0</v>
      </c>
      <c r="DH16" s="13">
        <f>VLOOKUP($F16,'Visu totale'!$D$3:$DT$129,DH$1,0)</f>
        <v>0</v>
      </c>
      <c r="DI16" s="15">
        <f>VLOOKUP($F16,'Visu totale'!$D$3:$DT$129,DI$1,0)</f>
        <v>0</v>
      </c>
      <c r="DJ16" s="14">
        <f>VLOOKUP($F16,'Visu totale'!$D$3:$DT$129,DJ$1,0)</f>
        <v>0</v>
      </c>
      <c r="DK16" s="13">
        <f>VLOOKUP($F16,'Visu totale'!$D$3:$DT$129,DK$1,0)</f>
        <v>0</v>
      </c>
      <c r="DL16" s="13">
        <f>VLOOKUP($F16,'Visu totale'!$D$3:$DT$129,DL$1,0)</f>
        <v>0</v>
      </c>
      <c r="DM16" s="13">
        <f>VLOOKUP($F16,'Visu totale'!$D$3:$DT$129,DM$1,0)</f>
        <v>0</v>
      </c>
      <c r="DN16" s="13">
        <f>VLOOKUP($F16,'Visu totale'!$D$3:$DT$129,DN$1,0)</f>
        <v>0</v>
      </c>
      <c r="DO16" s="13">
        <f>VLOOKUP($F16,'Visu totale'!$D$3:$DT$129,DO$1,0)</f>
        <v>0</v>
      </c>
      <c r="DP16" s="13">
        <f>VLOOKUP($F16,'Visu totale'!$D$3:$DT$129,DP$1,0)</f>
        <v>0</v>
      </c>
      <c r="DQ16" s="13">
        <f>VLOOKUP($F16,'Visu totale'!$D$3:$DT$129,DQ$1,0)</f>
        <v>0</v>
      </c>
      <c r="DR16" s="13">
        <f>VLOOKUP($F16,'Visu totale'!$D$3:$DT$129,DR$1,0)</f>
        <v>0</v>
      </c>
      <c r="DS16" s="13">
        <f>VLOOKUP($F16,'Visu totale'!$D$3:$DT$129,DS$1,0)</f>
        <v>0</v>
      </c>
      <c r="DT16" s="13">
        <f>VLOOKUP($F16,'Visu totale'!$D$3:$DT$129,DT$1,0)</f>
        <v>0</v>
      </c>
      <c r="DU16" s="15">
        <f>VLOOKUP($F16,'Visu totale'!$D$3:$DT$129,DU$1,0)</f>
        <v>0</v>
      </c>
    </row>
    <row r="17" spans="1:125" s="12" customFormat="1" x14ac:dyDescent="0.25">
      <c r="A17" s="13"/>
      <c r="B17" s="13"/>
      <c r="C17" s="13"/>
      <c r="D17" s="13"/>
      <c r="E17" s="13"/>
      <c r="F17" s="17" t="s">
        <v>101</v>
      </c>
      <c r="G17" s="13">
        <f>VLOOKUP($F17,'Visu totale'!$D$3:$DT$129,G$1,0)</f>
        <v>0</v>
      </c>
      <c r="H17" s="13">
        <f>VLOOKUP($F17,'Visu totale'!$D$3:$DT$129,H$1,0)</f>
        <v>0</v>
      </c>
      <c r="I17" s="13">
        <f>VLOOKUP($F17,'Visu totale'!$D$3:$DT$129,I$1,0)</f>
        <v>0</v>
      </c>
      <c r="J17" s="13">
        <f>VLOOKUP($F17,'Visu totale'!$D$3:$DT$129,J$1,0)</f>
        <v>0</v>
      </c>
      <c r="K17" s="13">
        <f>VLOOKUP($F17,'Visu totale'!$D$3:$DT$129,K$1,0)</f>
        <v>0</v>
      </c>
      <c r="L17" s="13">
        <f>VLOOKUP($F17,'Visu totale'!$D$3:$DT$129,L$1,0)</f>
        <v>0</v>
      </c>
      <c r="M17" s="13">
        <f>VLOOKUP($F17,'Visu totale'!$D$3:$DT$129,M$1,0)</f>
        <v>0</v>
      </c>
      <c r="N17" s="13">
        <f>VLOOKUP($F17,'Visu totale'!$D$3:$DT$129,N$1,0)</f>
        <v>0</v>
      </c>
      <c r="O17" s="13">
        <f>VLOOKUP($F17,'Visu totale'!$D$3:$DT$129,O$1,0)</f>
        <v>0</v>
      </c>
      <c r="P17" s="13">
        <f>VLOOKUP($F17,'Visu totale'!$D$3:$DT$129,P$1,0)</f>
        <v>0</v>
      </c>
      <c r="Q17" s="15">
        <f>VLOOKUP($F17,'Visu totale'!$D$3:$DT$129,Q$1,0)</f>
        <v>0</v>
      </c>
      <c r="R17" s="14">
        <f>VLOOKUP($F17,'Visu totale'!$D$3:$DT$129,R$1,0)</f>
        <v>0</v>
      </c>
      <c r="S17" s="13">
        <f>VLOOKUP($F17,'Visu totale'!$D$3:$DT$129,S$1,0)</f>
        <v>0</v>
      </c>
      <c r="T17" s="13">
        <f>VLOOKUP($F17,'Visu totale'!$D$3:$DT$129,T$1,0)</f>
        <v>0</v>
      </c>
      <c r="U17" s="13">
        <f>VLOOKUP($F17,'Visu totale'!$D$3:$DT$129,U$1,0)</f>
        <v>0</v>
      </c>
      <c r="V17" s="13">
        <f>VLOOKUP($F17,'Visu totale'!$D$3:$DT$129,V$1,0)</f>
        <v>0</v>
      </c>
      <c r="W17" s="13">
        <f>VLOOKUP($F17,'Visu totale'!$D$3:$DT$129,W$1,0)</f>
        <v>0</v>
      </c>
      <c r="X17" s="13">
        <f>VLOOKUP($F17,'Visu totale'!$D$3:$DT$129,X$1,0)</f>
        <v>0</v>
      </c>
      <c r="Y17" s="13">
        <f>VLOOKUP($F17,'Visu totale'!$D$3:$DT$129,Y$1,0)</f>
        <v>0</v>
      </c>
      <c r="Z17" s="13">
        <f>VLOOKUP($F17,'Visu totale'!$D$3:$DT$129,Z$1,0)</f>
        <v>0</v>
      </c>
      <c r="AA17" s="13">
        <f>VLOOKUP($F17,'Visu totale'!$D$3:$DT$129,AA$1,0)</f>
        <v>0</v>
      </c>
      <c r="AB17" s="13">
        <f>VLOOKUP($F17,'Visu totale'!$D$3:$DT$129,AB$1,0)</f>
        <v>0</v>
      </c>
      <c r="AC17" s="15">
        <f>VLOOKUP($F17,'Visu totale'!$D$3:$DT$129,AC$1,0)</f>
        <v>0</v>
      </c>
      <c r="AD17" s="14">
        <f>VLOOKUP($F17,'Visu totale'!$D$3:$DT$129,AD$1,0)</f>
        <v>0</v>
      </c>
      <c r="AE17" s="13">
        <f>VLOOKUP($F17,'Visu totale'!$D$3:$DT$129,AE$1,0)</f>
        <v>0</v>
      </c>
      <c r="AF17" s="13">
        <f>VLOOKUP($F17,'Visu totale'!$D$3:$DT$129,AF$1,0)</f>
        <v>0</v>
      </c>
      <c r="AG17" s="13">
        <f>VLOOKUP($F17,'Visu totale'!$D$3:$DT$129,AG$1,0)</f>
        <v>0</v>
      </c>
      <c r="AH17" s="13">
        <f>VLOOKUP($F17,'Visu totale'!$D$3:$DT$129,AH$1,0)</f>
        <v>0</v>
      </c>
      <c r="AI17" s="13">
        <f>VLOOKUP($F17,'Visu totale'!$D$3:$DT$129,AI$1,0)</f>
        <v>0</v>
      </c>
      <c r="AJ17" s="13">
        <f>VLOOKUP($F17,'Visu totale'!$D$3:$DT$129,AJ$1,0)</f>
        <v>0</v>
      </c>
      <c r="AK17" s="13">
        <f>VLOOKUP($F17,'Visu totale'!$D$3:$DT$129,AK$1,0)</f>
        <v>0</v>
      </c>
      <c r="AL17" s="13">
        <f>VLOOKUP($F17,'Visu totale'!$D$3:$DT$129,AL$1,0)</f>
        <v>0</v>
      </c>
      <c r="AM17" s="13">
        <f>VLOOKUP($F17,'Visu totale'!$D$3:$DT$129,AM$1,0)</f>
        <v>0</v>
      </c>
      <c r="AN17" s="13">
        <f>VLOOKUP($F17,'Visu totale'!$D$3:$DT$129,AN$1,0)</f>
        <v>0</v>
      </c>
      <c r="AO17" s="15">
        <f>VLOOKUP($F17,'Visu totale'!$D$3:$DT$129,AO$1,0)</f>
        <v>0</v>
      </c>
      <c r="AP17" s="14">
        <f>VLOOKUP($F17,'Visu totale'!$D$3:$DT$129,AP$1,0)</f>
        <v>0</v>
      </c>
      <c r="AQ17" s="13">
        <f>VLOOKUP($F17,'Visu totale'!$D$3:$DT$129,AQ$1,0)</f>
        <v>0</v>
      </c>
      <c r="AR17" s="13">
        <f>VLOOKUP($F17,'Visu totale'!$D$3:$DT$129,AR$1,0)</f>
        <v>0</v>
      </c>
      <c r="AS17" s="13">
        <f>VLOOKUP($F17,'Visu totale'!$D$3:$DT$129,AS$1,0)</f>
        <v>0</v>
      </c>
      <c r="AT17" s="13">
        <f>VLOOKUP($F17,'Visu totale'!$D$3:$DT$129,AT$1,0)</f>
        <v>0</v>
      </c>
      <c r="AU17" s="13">
        <f>VLOOKUP($F17,'Visu totale'!$D$3:$DT$129,AU$1,0)</f>
        <v>0</v>
      </c>
      <c r="AV17" s="13">
        <f>VLOOKUP($F17,'Visu totale'!$D$3:$DT$129,AV$1,0)</f>
        <v>0</v>
      </c>
      <c r="AW17" s="13">
        <f>VLOOKUP($F17,'Visu totale'!$D$3:$DT$129,AW$1,0)</f>
        <v>0</v>
      </c>
      <c r="AX17" s="13">
        <f>VLOOKUP($F17,'Visu totale'!$D$3:$DT$129,AX$1,0)</f>
        <v>0</v>
      </c>
      <c r="AY17" s="13">
        <f>VLOOKUP($F17,'Visu totale'!$D$3:$DT$129,AY$1,0)</f>
        <v>0</v>
      </c>
      <c r="AZ17" s="13">
        <f>VLOOKUP($F17,'Visu totale'!$D$3:$DT$129,AZ$1,0)</f>
        <v>0</v>
      </c>
      <c r="BA17" s="15">
        <f>VLOOKUP($F17,'Visu totale'!$D$3:$DT$129,BA$1,0)</f>
        <v>0</v>
      </c>
      <c r="BB17" s="14">
        <f>VLOOKUP($F17,'Visu totale'!$D$3:$DT$129,BB$1,0)</f>
        <v>0</v>
      </c>
      <c r="BC17" s="13">
        <f>VLOOKUP($F17,'Visu totale'!$D$3:$DT$129,BC$1,0)</f>
        <v>0</v>
      </c>
      <c r="BD17" s="13">
        <f>VLOOKUP($F17,'Visu totale'!$D$3:$DT$129,BD$1,0)</f>
        <v>0</v>
      </c>
      <c r="BE17" s="13">
        <f>VLOOKUP($F17,'Visu totale'!$D$3:$DT$129,BE$1,0)</f>
        <v>0</v>
      </c>
      <c r="BF17" s="13">
        <f>VLOOKUP($F17,'Visu totale'!$D$3:$DT$129,BF$1,0)</f>
        <v>0</v>
      </c>
      <c r="BG17" s="13">
        <f>VLOOKUP($F17,'Visu totale'!$D$3:$DT$129,BG$1,0)</f>
        <v>0</v>
      </c>
      <c r="BH17" s="13">
        <f>VLOOKUP($F17,'Visu totale'!$D$3:$DT$129,BH$1,0)</f>
        <v>0</v>
      </c>
      <c r="BI17" s="13">
        <f>VLOOKUP($F17,'Visu totale'!$D$3:$DT$129,BI$1,0)</f>
        <v>0</v>
      </c>
      <c r="BJ17" s="13">
        <f>VLOOKUP($F17,'Visu totale'!$D$3:$DT$129,BJ$1,0)</f>
        <v>0</v>
      </c>
      <c r="BK17" s="13">
        <f>VLOOKUP($F17,'Visu totale'!$D$3:$DT$129,BK$1,0)</f>
        <v>0</v>
      </c>
      <c r="BL17" s="13">
        <f>VLOOKUP($F17,'Visu totale'!$D$3:$DT$129,BL$1,0)</f>
        <v>0</v>
      </c>
      <c r="BM17" s="15">
        <f>VLOOKUP($F17,'Visu totale'!$D$3:$DT$129,BM$1,0)</f>
        <v>0</v>
      </c>
      <c r="BN17" s="14">
        <f>VLOOKUP($F17,'Visu totale'!$D$3:$DT$129,BN$1,0)</f>
        <v>0</v>
      </c>
      <c r="BO17" s="13">
        <f>VLOOKUP($F17,'Visu totale'!$D$3:$DT$129,BO$1,0)</f>
        <v>0</v>
      </c>
      <c r="BP17" s="13">
        <f>VLOOKUP($F17,'Visu totale'!$D$3:$DT$129,BP$1,0)</f>
        <v>0</v>
      </c>
      <c r="BQ17" s="13">
        <f>VLOOKUP($F17,'Visu totale'!$D$3:$DT$129,BQ$1,0)</f>
        <v>0</v>
      </c>
      <c r="BR17" s="13">
        <f>VLOOKUP($F17,'Visu totale'!$D$3:$DT$129,BR$1,0)</f>
        <v>0</v>
      </c>
      <c r="BS17" s="13">
        <f>VLOOKUP($F17,'Visu totale'!$D$3:$DT$129,BS$1,0)</f>
        <v>0</v>
      </c>
      <c r="BT17" s="13">
        <f>VLOOKUP($F17,'Visu totale'!$D$3:$DT$129,BT$1,0)</f>
        <v>0</v>
      </c>
      <c r="BU17" s="13">
        <f>VLOOKUP($F17,'Visu totale'!$D$3:$DT$129,BU$1,0)</f>
        <v>0</v>
      </c>
      <c r="BV17" s="13">
        <f>VLOOKUP($F17,'Visu totale'!$D$3:$DT$129,BV$1,0)</f>
        <v>0</v>
      </c>
      <c r="BW17" s="13">
        <f>VLOOKUP($F17,'Visu totale'!$D$3:$DT$129,BW$1,0)</f>
        <v>0</v>
      </c>
      <c r="BX17" s="13">
        <f>VLOOKUP($F17,'Visu totale'!$D$3:$DT$129,BX$1,0)</f>
        <v>0</v>
      </c>
      <c r="BY17" s="15">
        <f>VLOOKUP($F17,'Visu totale'!$D$3:$DT$129,BY$1,0)</f>
        <v>0</v>
      </c>
      <c r="BZ17" s="14">
        <f>VLOOKUP($F17,'Visu totale'!$D$3:$DT$129,BZ$1,0)</f>
        <v>0</v>
      </c>
      <c r="CA17" s="13">
        <f>VLOOKUP($F17,'Visu totale'!$D$3:$DT$129,CA$1,0)</f>
        <v>0</v>
      </c>
      <c r="CB17" s="13">
        <f>VLOOKUP($F17,'Visu totale'!$D$3:$DT$129,CB$1,0)</f>
        <v>0</v>
      </c>
      <c r="CC17" s="13">
        <f>VLOOKUP($F17,'Visu totale'!$D$3:$DT$129,CC$1,0)</f>
        <v>0</v>
      </c>
      <c r="CD17" s="13">
        <f>VLOOKUP($F17,'Visu totale'!$D$3:$DT$129,CD$1,0)</f>
        <v>0</v>
      </c>
      <c r="CE17" s="13">
        <f>VLOOKUP($F17,'Visu totale'!$D$3:$DT$129,CE$1,0)</f>
        <v>0</v>
      </c>
      <c r="CF17" s="13">
        <f>VLOOKUP($F17,'Visu totale'!$D$3:$DT$129,CF$1,0)</f>
        <v>0</v>
      </c>
      <c r="CG17" s="13">
        <f>VLOOKUP($F17,'Visu totale'!$D$3:$DT$129,CG$1,0)</f>
        <v>0</v>
      </c>
      <c r="CH17" s="13">
        <f>VLOOKUP($F17,'Visu totale'!$D$3:$DT$129,CH$1,0)</f>
        <v>0</v>
      </c>
      <c r="CI17" s="13">
        <f>VLOOKUP($F17,'Visu totale'!$D$3:$DT$129,CI$1,0)</f>
        <v>0</v>
      </c>
      <c r="CJ17" s="13">
        <f>VLOOKUP($F17,'Visu totale'!$D$3:$DT$129,CJ$1,0)</f>
        <v>0</v>
      </c>
      <c r="CK17" s="15">
        <f>VLOOKUP($F17,'Visu totale'!$D$3:$DT$129,CK$1,0)</f>
        <v>0</v>
      </c>
      <c r="CL17" s="14">
        <f>VLOOKUP($F17,'Visu totale'!$D$3:$DT$129,CL$1,0)</f>
        <v>0</v>
      </c>
      <c r="CM17" s="13">
        <f>VLOOKUP($F17,'Visu totale'!$D$3:$DT$129,CM$1,0)</f>
        <v>0</v>
      </c>
      <c r="CN17" s="13">
        <f>VLOOKUP($F17,'Visu totale'!$D$3:$DT$129,CN$1,0)</f>
        <v>0</v>
      </c>
      <c r="CO17" s="13">
        <f>VLOOKUP($F17,'Visu totale'!$D$3:$DT$129,CO$1,0)</f>
        <v>0</v>
      </c>
      <c r="CP17" s="13">
        <f>VLOOKUP($F17,'Visu totale'!$D$3:$DT$129,CP$1,0)</f>
        <v>0</v>
      </c>
      <c r="CQ17" s="13">
        <f>VLOOKUP($F17,'Visu totale'!$D$3:$DT$129,CQ$1,0)</f>
        <v>0</v>
      </c>
      <c r="CR17" s="13">
        <f>VLOOKUP($F17,'Visu totale'!$D$3:$DT$129,CR$1,0)</f>
        <v>0</v>
      </c>
      <c r="CS17" s="13">
        <f>VLOOKUP($F17,'Visu totale'!$D$3:$DT$129,CS$1,0)</f>
        <v>0</v>
      </c>
      <c r="CT17" s="13">
        <f>VLOOKUP($F17,'Visu totale'!$D$3:$DT$129,CT$1,0)</f>
        <v>0</v>
      </c>
      <c r="CU17" s="13">
        <f>VLOOKUP($F17,'Visu totale'!$D$3:$DT$129,CU$1,0)</f>
        <v>0</v>
      </c>
      <c r="CV17" s="13">
        <f>VLOOKUP($F17,'Visu totale'!$D$3:$DT$129,CV$1,0)</f>
        <v>0</v>
      </c>
      <c r="CW17" s="15">
        <f>VLOOKUP($F17,'Visu totale'!$D$3:$DT$129,CW$1,0)</f>
        <v>0</v>
      </c>
      <c r="CX17" s="14">
        <f>VLOOKUP($F17,'Visu totale'!$D$3:$DT$129,CX$1,0)</f>
        <v>0</v>
      </c>
      <c r="CY17" s="13">
        <f>VLOOKUP($F17,'Visu totale'!$D$3:$DT$129,CY$1,0)</f>
        <v>0</v>
      </c>
      <c r="CZ17" s="13">
        <f>VLOOKUP($F17,'Visu totale'!$D$3:$DT$129,CZ$1,0)</f>
        <v>0</v>
      </c>
      <c r="DA17" s="13">
        <f>VLOOKUP($F17,'Visu totale'!$D$3:$DT$129,DA$1,0)</f>
        <v>0</v>
      </c>
      <c r="DB17" s="13">
        <f>VLOOKUP($F17,'Visu totale'!$D$3:$DT$129,DB$1,0)</f>
        <v>0</v>
      </c>
      <c r="DC17" s="13">
        <f>VLOOKUP($F17,'Visu totale'!$D$3:$DT$129,DC$1,0)</f>
        <v>0</v>
      </c>
      <c r="DD17" s="13">
        <f>VLOOKUP($F17,'Visu totale'!$D$3:$DT$129,DD$1,0)</f>
        <v>0</v>
      </c>
      <c r="DE17" s="13">
        <f>VLOOKUP($F17,'Visu totale'!$D$3:$DT$129,DE$1,0)</f>
        <v>0</v>
      </c>
      <c r="DF17" s="13">
        <f>VLOOKUP($F17,'Visu totale'!$D$3:$DT$129,DF$1,0)</f>
        <v>0</v>
      </c>
      <c r="DG17" s="13">
        <f>VLOOKUP($F17,'Visu totale'!$D$3:$DT$129,DG$1,0)</f>
        <v>0</v>
      </c>
      <c r="DH17" s="13">
        <f>VLOOKUP($F17,'Visu totale'!$D$3:$DT$129,DH$1,0)</f>
        <v>0</v>
      </c>
      <c r="DI17" s="15">
        <f>VLOOKUP($F17,'Visu totale'!$D$3:$DT$129,DI$1,0)</f>
        <v>0</v>
      </c>
      <c r="DJ17" s="14">
        <f>VLOOKUP($F17,'Visu totale'!$D$3:$DT$129,DJ$1,0)</f>
        <v>0</v>
      </c>
      <c r="DK17" s="13">
        <f>VLOOKUP($F17,'Visu totale'!$D$3:$DT$129,DK$1,0)</f>
        <v>0</v>
      </c>
      <c r="DL17" s="13">
        <f>VLOOKUP($F17,'Visu totale'!$D$3:$DT$129,DL$1,0)</f>
        <v>0</v>
      </c>
      <c r="DM17" s="13">
        <f>VLOOKUP($F17,'Visu totale'!$D$3:$DT$129,DM$1,0)</f>
        <v>0</v>
      </c>
      <c r="DN17" s="13">
        <f>VLOOKUP($F17,'Visu totale'!$D$3:$DT$129,DN$1,0)</f>
        <v>0</v>
      </c>
      <c r="DO17" s="13">
        <f>VLOOKUP($F17,'Visu totale'!$D$3:$DT$129,DO$1,0)</f>
        <v>0</v>
      </c>
      <c r="DP17" s="13">
        <f>VLOOKUP($F17,'Visu totale'!$D$3:$DT$129,DP$1,0)</f>
        <v>0</v>
      </c>
      <c r="DQ17" s="13">
        <f>VLOOKUP($F17,'Visu totale'!$D$3:$DT$129,DQ$1,0)</f>
        <v>0</v>
      </c>
      <c r="DR17" s="13">
        <f>VLOOKUP($F17,'Visu totale'!$D$3:$DT$129,DR$1,0)</f>
        <v>0</v>
      </c>
      <c r="DS17" s="13">
        <f>VLOOKUP($F17,'Visu totale'!$D$3:$DT$129,DS$1,0)</f>
        <v>0</v>
      </c>
      <c r="DT17" s="13">
        <f>VLOOKUP($F17,'Visu totale'!$D$3:$DT$129,DT$1,0)</f>
        <v>0</v>
      </c>
      <c r="DU17" s="15">
        <f>VLOOKUP($F17,'Visu totale'!$D$3:$DT$129,DU$1,0)</f>
        <v>0</v>
      </c>
    </row>
    <row r="18" spans="1:125" s="12" customFormat="1" x14ac:dyDescent="0.25">
      <c r="A18" s="13"/>
      <c r="B18" s="13"/>
      <c r="C18" s="13"/>
      <c r="D18" s="13"/>
      <c r="E18" s="13"/>
      <c r="F18" s="17" t="s">
        <v>102</v>
      </c>
      <c r="G18" s="13">
        <f>VLOOKUP($F18,'Visu totale'!$D$3:$DT$129,G$1,0)</f>
        <v>0</v>
      </c>
      <c r="H18" s="13">
        <f>VLOOKUP($F18,'Visu totale'!$D$3:$DT$129,H$1,0)</f>
        <v>0</v>
      </c>
      <c r="I18" s="13">
        <f>VLOOKUP($F18,'Visu totale'!$D$3:$DT$129,I$1,0)</f>
        <v>0</v>
      </c>
      <c r="J18" s="13">
        <f>VLOOKUP($F18,'Visu totale'!$D$3:$DT$129,J$1,0)</f>
        <v>0</v>
      </c>
      <c r="K18" s="13">
        <f>VLOOKUP($F18,'Visu totale'!$D$3:$DT$129,K$1,0)</f>
        <v>0</v>
      </c>
      <c r="L18" s="13">
        <f>VLOOKUP($F18,'Visu totale'!$D$3:$DT$129,L$1,0)</f>
        <v>0</v>
      </c>
      <c r="M18" s="13">
        <f>VLOOKUP($F18,'Visu totale'!$D$3:$DT$129,M$1,0)</f>
        <v>0</v>
      </c>
      <c r="N18" s="13">
        <f>VLOOKUP($F18,'Visu totale'!$D$3:$DT$129,N$1,0)</f>
        <v>0</v>
      </c>
      <c r="O18" s="13">
        <f>VLOOKUP($F18,'Visu totale'!$D$3:$DT$129,O$1,0)</f>
        <v>0</v>
      </c>
      <c r="P18" s="13">
        <f>VLOOKUP($F18,'Visu totale'!$D$3:$DT$129,P$1,0)</f>
        <v>0</v>
      </c>
      <c r="Q18" s="15">
        <f>VLOOKUP($F18,'Visu totale'!$D$3:$DT$129,Q$1,0)</f>
        <v>0</v>
      </c>
      <c r="R18" s="14">
        <f>VLOOKUP($F18,'Visu totale'!$D$3:$DT$129,R$1,0)</f>
        <v>0</v>
      </c>
      <c r="S18" s="13">
        <f>VLOOKUP($F18,'Visu totale'!$D$3:$DT$129,S$1,0)</f>
        <v>0</v>
      </c>
      <c r="T18" s="13">
        <f>VLOOKUP($F18,'Visu totale'!$D$3:$DT$129,T$1,0)</f>
        <v>0</v>
      </c>
      <c r="U18" s="13">
        <f>VLOOKUP($F18,'Visu totale'!$D$3:$DT$129,U$1,0)</f>
        <v>0</v>
      </c>
      <c r="V18" s="13">
        <f>VLOOKUP($F18,'Visu totale'!$D$3:$DT$129,V$1,0)</f>
        <v>0</v>
      </c>
      <c r="W18" s="13">
        <f>VLOOKUP($F18,'Visu totale'!$D$3:$DT$129,W$1,0)</f>
        <v>0</v>
      </c>
      <c r="X18" s="13">
        <f>VLOOKUP($F18,'Visu totale'!$D$3:$DT$129,X$1,0)</f>
        <v>0</v>
      </c>
      <c r="Y18" s="13">
        <f>VLOOKUP($F18,'Visu totale'!$D$3:$DT$129,Y$1,0)</f>
        <v>0</v>
      </c>
      <c r="Z18" s="13">
        <f>VLOOKUP($F18,'Visu totale'!$D$3:$DT$129,Z$1,0)</f>
        <v>0</v>
      </c>
      <c r="AA18" s="13">
        <f>VLOOKUP($F18,'Visu totale'!$D$3:$DT$129,AA$1,0)</f>
        <v>0</v>
      </c>
      <c r="AB18" s="13">
        <f>VLOOKUP($F18,'Visu totale'!$D$3:$DT$129,AB$1,0)</f>
        <v>0</v>
      </c>
      <c r="AC18" s="15">
        <f>VLOOKUP($F18,'Visu totale'!$D$3:$DT$129,AC$1,0)</f>
        <v>0</v>
      </c>
      <c r="AD18" s="14">
        <f>VLOOKUP($F18,'Visu totale'!$D$3:$DT$129,AD$1,0)</f>
        <v>0</v>
      </c>
      <c r="AE18" s="13">
        <f>VLOOKUP($F18,'Visu totale'!$D$3:$DT$129,AE$1,0)</f>
        <v>0</v>
      </c>
      <c r="AF18" s="13">
        <f>VLOOKUP($F18,'Visu totale'!$D$3:$DT$129,AF$1,0)</f>
        <v>0</v>
      </c>
      <c r="AG18" s="13">
        <f>VLOOKUP($F18,'Visu totale'!$D$3:$DT$129,AG$1,0)</f>
        <v>0</v>
      </c>
      <c r="AH18" s="13">
        <f>VLOOKUP($F18,'Visu totale'!$D$3:$DT$129,AH$1,0)</f>
        <v>0</v>
      </c>
      <c r="AI18" s="13">
        <f>VLOOKUP($F18,'Visu totale'!$D$3:$DT$129,AI$1,0)</f>
        <v>0</v>
      </c>
      <c r="AJ18" s="13">
        <f>VLOOKUP($F18,'Visu totale'!$D$3:$DT$129,AJ$1,0)</f>
        <v>0</v>
      </c>
      <c r="AK18" s="13">
        <f>VLOOKUP($F18,'Visu totale'!$D$3:$DT$129,AK$1,0)</f>
        <v>0</v>
      </c>
      <c r="AL18" s="13">
        <f>VLOOKUP($F18,'Visu totale'!$D$3:$DT$129,AL$1,0)</f>
        <v>0</v>
      </c>
      <c r="AM18" s="13">
        <f>VLOOKUP($F18,'Visu totale'!$D$3:$DT$129,AM$1,0)</f>
        <v>0</v>
      </c>
      <c r="AN18" s="13">
        <f>VLOOKUP($F18,'Visu totale'!$D$3:$DT$129,AN$1,0)</f>
        <v>0</v>
      </c>
      <c r="AO18" s="15">
        <f>VLOOKUP($F18,'Visu totale'!$D$3:$DT$129,AO$1,0)</f>
        <v>0</v>
      </c>
      <c r="AP18" s="14">
        <f>VLOOKUP($F18,'Visu totale'!$D$3:$DT$129,AP$1,0)</f>
        <v>0</v>
      </c>
      <c r="AQ18" s="13">
        <f>VLOOKUP($F18,'Visu totale'!$D$3:$DT$129,AQ$1,0)</f>
        <v>0</v>
      </c>
      <c r="AR18" s="13">
        <f>VLOOKUP($F18,'Visu totale'!$D$3:$DT$129,AR$1,0)</f>
        <v>0</v>
      </c>
      <c r="AS18" s="13">
        <f>VLOOKUP($F18,'Visu totale'!$D$3:$DT$129,AS$1,0)</f>
        <v>0</v>
      </c>
      <c r="AT18" s="13">
        <f>VLOOKUP($F18,'Visu totale'!$D$3:$DT$129,AT$1,0)</f>
        <v>0</v>
      </c>
      <c r="AU18" s="13">
        <f>VLOOKUP($F18,'Visu totale'!$D$3:$DT$129,AU$1,0)</f>
        <v>0</v>
      </c>
      <c r="AV18" s="13">
        <f>VLOOKUP($F18,'Visu totale'!$D$3:$DT$129,AV$1,0)</f>
        <v>0</v>
      </c>
      <c r="AW18" s="13">
        <f>VLOOKUP($F18,'Visu totale'!$D$3:$DT$129,AW$1,0)</f>
        <v>0</v>
      </c>
      <c r="AX18" s="13">
        <f>VLOOKUP($F18,'Visu totale'!$D$3:$DT$129,AX$1,0)</f>
        <v>0</v>
      </c>
      <c r="AY18" s="13">
        <f>VLOOKUP($F18,'Visu totale'!$D$3:$DT$129,AY$1,0)</f>
        <v>0</v>
      </c>
      <c r="AZ18" s="13">
        <f>VLOOKUP($F18,'Visu totale'!$D$3:$DT$129,AZ$1,0)</f>
        <v>0</v>
      </c>
      <c r="BA18" s="15">
        <f>VLOOKUP($F18,'Visu totale'!$D$3:$DT$129,BA$1,0)</f>
        <v>0</v>
      </c>
      <c r="BB18" s="14">
        <f>VLOOKUP($F18,'Visu totale'!$D$3:$DT$129,BB$1,0)</f>
        <v>0</v>
      </c>
      <c r="BC18" s="13">
        <f>VLOOKUP($F18,'Visu totale'!$D$3:$DT$129,BC$1,0)</f>
        <v>0</v>
      </c>
      <c r="BD18" s="13">
        <f>VLOOKUP($F18,'Visu totale'!$D$3:$DT$129,BD$1,0)</f>
        <v>0</v>
      </c>
      <c r="BE18" s="13">
        <f>VLOOKUP($F18,'Visu totale'!$D$3:$DT$129,BE$1,0)</f>
        <v>0</v>
      </c>
      <c r="BF18" s="13">
        <f>VLOOKUP($F18,'Visu totale'!$D$3:$DT$129,BF$1,0)</f>
        <v>0</v>
      </c>
      <c r="BG18" s="13">
        <f>VLOOKUP($F18,'Visu totale'!$D$3:$DT$129,BG$1,0)</f>
        <v>0</v>
      </c>
      <c r="BH18" s="13">
        <f>VLOOKUP($F18,'Visu totale'!$D$3:$DT$129,BH$1,0)</f>
        <v>0</v>
      </c>
      <c r="BI18" s="13">
        <f>VLOOKUP($F18,'Visu totale'!$D$3:$DT$129,BI$1,0)</f>
        <v>0</v>
      </c>
      <c r="BJ18" s="13">
        <f>VLOOKUP($F18,'Visu totale'!$D$3:$DT$129,BJ$1,0)</f>
        <v>0</v>
      </c>
      <c r="BK18" s="13">
        <f>VLOOKUP($F18,'Visu totale'!$D$3:$DT$129,BK$1,0)</f>
        <v>0</v>
      </c>
      <c r="BL18" s="13">
        <f>VLOOKUP($F18,'Visu totale'!$D$3:$DT$129,BL$1,0)</f>
        <v>0</v>
      </c>
      <c r="BM18" s="15">
        <f>VLOOKUP($F18,'Visu totale'!$D$3:$DT$129,BM$1,0)</f>
        <v>0</v>
      </c>
      <c r="BN18" s="14">
        <f>VLOOKUP($F18,'Visu totale'!$D$3:$DT$129,BN$1,0)</f>
        <v>0</v>
      </c>
      <c r="BO18" s="13">
        <f>VLOOKUP($F18,'Visu totale'!$D$3:$DT$129,BO$1,0)</f>
        <v>0</v>
      </c>
      <c r="BP18" s="13">
        <f>VLOOKUP($F18,'Visu totale'!$D$3:$DT$129,BP$1,0)</f>
        <v>0</v>
      </c>
      <c r="BQ18" s="13">
        <f>VLOOKUP($F18,'Visu totale'!$D$3:$DT$129,BQ$1,0)</f>
        <v>0</v>
      </c>
      <c r="BR18" s="13">
        <f>VLOOKUP($F18,'Visu totale'!$D$3:$DT$129,BR$1,0)</f>
        <v>0</v>
      </c>
      <c r="BS18" s="13">
        <f>VLOOKUP($F18,'Visu totale'!$D$3:$DT$129,BS$1,0)</f>
        <v>0</v>
      </c>
      <c r="BT18" s="13">
        <f>VLOOKUP($F18,'Visu totale'!$D$3:$DT$129,BT$1,0)</f>
        <v>0</v>
      </c>
      <c r="BU18" s="13">
        <f>VLOOKUP($F18,'Visu totale'!$D$3:$DT$129,BU$1,0)</f>
        <v>0</v>
      </c>
      <c r="BV18" s="13">
        <f>VLOOKUP($F18,'Visu totale'!$D$3:$DT$129,BV$1,0)</f>
        <v>0</v>
      </c>
      <c r="BW18" s="13">
        <f>VLOOKUP($F18,'Visu totale'!$D$3:$DT$129,BW$1,0)</f>
        <v>0</v>
      </c>
      <c r="BX18" s="13">
        <f>VLOOKUP($F18,'Visu totale'!$D$3:$DT$129,BX$1,0)</f>
        <v>0</v>
      </c>
      <c r="BY18" s="15">
        <f>VLOOKUP($F18,'Visu totale'!$D$3:$DT$129,BY$1,0)</f>
        <v>0</v>
      </c>
      <c r="BZ18" s="14">
        <f>VLOOKUP($F18,'Visu totale'!$D$3:$DT$129,BZ$1,0)</f>
        <v>0</v>
      </c>
      <c r="CA18" s="13">
        <f>VLOOKUP($F18,'Visu totale'!$D$3:$DT$129,CA$1,0)</f>
        <v>0</v>
      </c>
      <c r="CB18" s="13">
        <f>VLOOKUP($F18,'Visu totale'!$D$3:$DT$129,CB$1,0)</f>
        <v>0</v>
      </c>
      <c r="CC18" s="13">
        <f>VLOOKUP($F18,'Visu totale'!$D$3:$DT$129,CC$1,0)</f>
        <v>0</v>
      </c>
      <c r="CD18" s="13">
        <f>VLOOKUP($F18,'Visu totale'!$D$3:$DT$129,CD$1,0)</f>
        <v>0</v>
      </c>
      <c r="CE18" s="13">
        <f>VLOOKUP($F18,'Visu totale'!$D$3:$DT$129,CE$1,0)</f>
        <v>0</v>
      </c>
      <c r="CF18" s="13">
        <f>VLOOKUP($F18,'Visu totale'!$D$3:$DT$129,CF$1,0)</f>
        <v>0</v>
      </c>
      <c r="CG18" s="13">
        <f>VLOOKUP($F18,'Visu totale'!$D$3:$DT$129,CG$1,0)</f>
        <v>0</v>
      </c>
      <c r="CH18" s="13">
        <f>VLOOKUP($F18,'Visu totale'!$D$3:$DT$129,CH$1,0)</f>
        <v>0</v>
      </c>
      <c r="CI18" s="13">
        <f>VLOOKUP($F18,'Visu totale'!$D$3:$DT$129,CI$1,0)</f>
        <v>0</v>
      </c>
      <c r="CJ18" s="13">
        <f>VLOOKUP($F18,'Visu totale'!$D$3:$DT$129,CJ$1,0)</f>
        <v>0</v>
      </c>
      <c r="CK18" s="15">
        <f>VLOOKUP($F18,'Visu totale'!$D$3:$DT$129,CK$1,0)</f>
        <v>0</v>
      </c>
      <c r="CL18" s="14">
        <f>VLOOKUP($F18,'Visu totale'!$D$3:$DT$129,CL$1,0)</f>
        <v>0</v>
      </c>
      <c r="CM18" s="13">
        <f>VLOOKUP($F18,'Visu totale'!$D$3:$DT$129,CM$1,0)</f>
        <v>0</v>
      </c>
      <c r="CN18" s="13">
        <f>VLOOKUP($F18,'Visu totale'!$D$3:$DT$129,CN$1,0)</f>
        <v>0</v>
      </c>
      <c r="CO18" s="13">
        <f>VLOOKUP($F18,'Visu totale'!$D$3:$DT$129,CO$1,0)</f>
        <v>0</v>
      </c>
      <c r="CP18" s="13">
        <f>VLOOKUP($F18,'Visu totale'!$D$3:$DT$129,CP$1,0)</f>
        <v>0</v>
      </c>
      <c r="CQ18" s="13">
        <f>VLOOKUP($F18,'Visu totale'!$D$3:$DT$129,CQ$1,0)</f>
        <v>0</v>
      </c>
      <c r="CR18" s="13">
        <f>VLOOKUP($F18,'Visu totale'!$D$3:$DT$129,CR$1,0)</f>
        <v>0</v>
      </c>
      <c r="CS18" s="13">
        <f>VLOOKUP($F18,'Visu totale'!$D$3:$DT$129,CS$1,0)</f>
        <v>0</v>
      </c>
      <c r="CT18" s="13">
        <f>VLOOKUP($F18,'Visu totale'!$D$3:$DT$129,CT$1,0)</f>
        <v>0</v>
      </c>
      <c r="CU18" s="13">
        <f>VLOOKUP($F18,'Visu totale'!$D$3:$DT$129,CU$1,0)</f>
        <v>0</v>
      </c>
      <c r="CV18" s="13">
        <f>VLOOKUP($F18,'Visu totale'!$D$3:$DT$129,CV$1,0)</f>
        <v>0</v>
      </c>
      <c r="CW18" s="15">
        <f>VLOOKUP($F18,'Visu totale'!$D$3:$DT$129,CW$1,0)</f>
        <v>0</v>
      </c>
      <c r="CX18" s="14">
        <f>VLOOKUP($F18,'Visu totale'!$D$3:$DT$129,CX$1,0)</f>
        <v>0</v>
      </c>
      <c r="CY18" s="13">
        <f>VLOOKUP($F18,'Visu totale'!$D$3:$DT$129,CY$1,0)</f>
        <v>0</v>
      </c>
      <c r="CZ18" s="13">
        <f>VLOOKUP($F18,'Visu totale'!$D$3:$DT$129,CZ$1,0)</f>
        <v>0</v>
      </c>
      <c r="DA18" s="13">
        <f>VLOOKUP($F18,'Visu totale'!$D$3:$DT$129,DA$1,0)</f>
        <v>0</v>
      </c>
      <c r="DB18" s="13">
        <f>VLOOKUP($F18,'Visu totale'!$D$3:$DT$129,DB$1,0)</f>
        <v>0</v>
      </c>
      <c r="DC18" s="13">
        <f>VLOOKUP($F18,'Visu totale'!$D$3:$DT$129,DC$1,0)</f>
        <v>0</v>
      </c>
      <c r="DD18" s="13">
        <f>VLOOKUP($F18,'Visu totale'!$D$3:$DT$129,DD$1,0)</f>
        <v>0</v>
      </c>
      <c r="DE18" s="13">
        <f>VLOOKUP($F18,'Visu totale'!$D$3:$DT$129,DE$1,0)</f>
        <v>0</v>
      </c>
      <c r="DF18" s="13">
        <f>VLOOKUP($F18,'Visu totale'!$D$3:$DT$129,DF$1,0)</f>
        <v>0</v>
      </c>
      <c r="DG18" s="13">
        <f>VLOOKUP($F18,'Visu totale'!$D$3:$DT$129,DG$1,0)</f>
        <v>0</v>
      </c>
      <c r="DH18" s="13">
        <f>VLOOKUP($F18,'Visu totale'!$D$3:$DT$129,DH$1,0)</f>
        <v>0</v>
      </c>
      <c r="DI18" s="15">
        <f>VLOOKUP($F18,'Visu totale'!$D$3:$DT$129,DI$1,0)</f>
        <v>0</v>
      </c>
      <c r="DJ18" s="14">
        <f>VLOOKUP($F18,'Visu totale'!$D$3:$DT$129,DJ$1,0)</f>
        <v>0</v>
      </c>
      <c r="DK18" s="13">
        <f>VLOOKUP($F18,'Visu totale'!$D$3:$DT$129,DK$1,0)</f>
        <v>0</v>
      </c>
      <c r="DL18" s="13">
        <f>VLOOKUP($F18,'Visu totale'!$D$3:$DT$129,DL$1,0)</f>
        <v>0</v>
      </c>
      <c r="DM18" s="13">
        <f>VLOOKUP($F18,'Visu totale'!$D$3:$DT$129,DM$1,0)</f>
        <v>0</v>
      </c>
      <c r="DN18" s="13">
        <f>VLOOKUP($F18,'Visu totale'!$D$3:$DT$129,DN$1,0)</f>
        <v>0</v>
      </c>
      <c r="DO18" s="13">
        <f>VLOOKUP($F18,'Visu totale'!$D$3:$DT$129,DO$1,0)</f>
        <v>0</v>
      </c>
      <c r="DP18" s="13">
        <f>VLOOKUP($F18,'Visu totale'!$D$3:$DT$129,DP$1,0)</f>
        <v>0</v>
      </c>
      <c r="DQ18" s="13">
        <f>VLOOKUP($F18,'Visu totale'!$D$3:$DT$129,DQ$1,0)</f>
        <v>0</v>
      </c>
      <c r="DR18" s="13">
        <f>VLOOKUP($F18,'Visu totale'!$D$3:$DT$129,DR$1,0)</f>
        <v>0</v>
      </c>
      <c r="DS18" s="13">
        <f>VLOOKUP($F18,'Visu totale'!$D$3:$DT$129,DS$1,0)</f>
        <v>0</v>
      </c>
      <c r="DT18" s="13">
        <f>VLOOKUP($F18,'Visu totale'!$D$3:$DT$129,DT$1,0)</f>
        <v>0</v>
      </c>
      <c r="DU18" s="15">
        <f>VLOOKUP($F18,'Visu totale'!$D$3:$DT$129,DU$1,0)</f>
        <v>0</v>
      </c>
    </row>
    <row r="19" spans="1:125" s="12" customFormat="1" x14ac:dyDescent="0.25">
      <c r="A19" s="13"/>
      <c r="B19" s="13"/>
      <c r="C19" s="13"/>
      <c r="D19" s="13"/>
      <c r="E19" s="13"/>
      <c r="F19" s="17" t="s">
        <v>103</v>
      </c>
      <c r="G19" s="13">
        <f>VLOOKUP($F19,'Visu totale'!$D$3:$DT$129,G$1,0)</f>
        <v>0</v>
      </c>
      <c r="H19" s="13">
        <f>VLOOKUP($F19,'Visu totale'!$D$3:$DT$129,H$1,0)</f>
        <v>0</v>
      </c>
      <c r="I19" s="13">
        <f>VLOOKUP($F19,'Visu totale'!$D$3:$DT$129,I$1,0)</f>
        <v>0</v>
      </c>
      <c r="J19" s="13">
        <f>VLOOKUP($F19,'Visu totale'!$D$3:$DT$129,J$1,0)</f>
        <v>0</v>
      </c>
      <c r="K19" s="13">
        <f>VLOOKUP($F19,'Visu totale'!$D$3:$DT$129,K$1,0)</f>
        <v>0</v>
      </c>
      <c r="L19" s="13">
        <f>VLOOKUP($F19,'Visu totale'!$D$3:$DT$129,L$1,0)</f>
        <v>0</v>
      </c>
      <c r="M19" s="13">
        <f>VLOOKUP($F19,'Visu totale'!$D$3:$DT$129,M$1,0)</f>
        <v>0</v>
      </c>
      <c r="N19" s="13">
        <f>VLOOKUP($F19,'Visu totale'!$D$3:$DT$129,N$1,0)</f>
        <v>0</v>
      </c>
      <c r="O19" s="13">
        <f>VLOOKUP($F19,'Visu totale'!$D$3:$DT$129,O$1,0)</f>
        <v>0</v>
      </c>
      <c r="P19" s="13">
        <f>VLOOKUP($F19,'Visu totale'!$D$3:$DT$129,P$1,0)</f>
        <v>0</v>
      </c>
      <c r="Q19" s="15">
        <f>VLOOKUP($F19,'Visu totale'!$D$3:$DT$129,Q$1,0)</f>
        <v>0</v>
      </c>
      <c r="R19" s="14">
        <f>VLOOKUP($F19,'Visu totale'!$D$3:$DT$129,R$1,0)</f>
        <v>0</v>
      </c>
      <c r="S19" s="13">
        <f>VLOOKUP($F19,'Visu totale'!$D$3:$DT$129,S$1,0)</f>
        <v>0</v>
      </c>
      <c r="T19" s="13">
        <f>VLOOKUP($F19,'Visu totale'!$D$3:$DT$129,T$1,0)</f>
        <v>0</v>
      </c>
      <c r="U19" s="13">
        <f>VLOOKUP($F19,'Visu totale'!$D$3:$DT$129,U$1,0)</f>
        <v>0</v>
      </c>
      <c r="V19" s="13">
        <f>VLOOKUP($F19,'Visu totale'!$D$3:$DT$129,V$1,0)</f>
        <v>0</v>
      </c>
      <c r="W19" s="13">
        <f>VLOOKUP($F19,'Visu totale'!$D$3:$DT$129,W$1,0)</f>
        <v>0</v>
      </c>
      <c r="X19" s="13">
        <f>VLOOKUP($F19,'Visu totale'!$D$3:$DT$129,X$1,0)</f>
        <v>0</v>
      </c>
      <c r="Y19" s="13">
        <f>VLOOKUP($F19,'Visu totale'!$D$3:$DT$129,Y$1,0)</f>
        <v>0</v>
      </c>
      <c r="Z19" s="13">
        <f>VLOOKUP($F19,'Visu totale'!$D$3:$DT$129,Z$1,0)</f>
        <v>0</v>
      </c>
      <c r="AA19" s="13">
        <f>VLOOKUP($F19,'Visu totale'!$D$3:$DT$129,AA$1,0)</f>
        <v>0</v>
      </c>
      <c r="AB19" s="13">
        <f>VLOOKUP($F19,'Visu totale'!$D$3:$DT$129,AB$1,0)</f>
        <v>0</v>
      </c>
      <c r="AC19" s="15">
        <f>VLOOKUP($F19,'Visu totale'!$D$3:$DT$129,AC$1,0)</f>
        <v>0</v>
      </c>
      <c r="AD19" s="14">
        <f>VLOOKUP($F19,'Visu totale'!$D$3:$DT$129,AD$1,0)</f>
        <v>0</v>
      </c>
      <c r="AE19" s="13">
        <f>VLOOKUP($F19,'Visu totale'!$D$3:$DT$129,AE$1,0)</f>
        <v>0</v>
      </c>
      <c r="AF19" s="13">
        <f>VLOOKUP($F19,'Visu totale'!$D$3:$DT$129,AF$1,0)</f>
        <v>0</v>
      </c>
      <c r="AG19" s="13">
        <f>VLOOKUP($F19,'Visu totale'!$D$3:$DT$129,AG$1,0)</f>
        <v>0</v>
      </c>
      <c r="AH19" s="13">
        <f>VLOOKUP($F19,'Visu totale'!$D$3:$DT$129,AH$1,0)</f>
        <v>0</v>
      </c>
      <c r="AI19" s="13">
        <f>VLOOKUP($F19,'Visu totale'!$D$3:$DT$129,AI$1,0)</f>
        <v>0</v>
      </c>
      <c r="AJ19" s="13">
        <f>VLOOKUP($F19,'Visu totale'!$D$3:$DT$129,AJ$1,0)</f>
        <v>0</v>
      </c>
      <c r="AK19" s="13">
        <f>VLOOKUP($F19,'Visu totale'!$D$3:$DT$129,AK$1,0)</f>
        <v>0</v>
      </c>
      <c r="AL19" s="13">
        <f>VLOOKUP($F19,'Visu totale'!$D$3:$DT$129,AL$1,0)</f>
        <v>0</v>
      </c>
      <c r="AM19" s="13">
        <f>VLOOKUP($F19,'Visu totale'!$D$3:$DT$129,AM$1,0)</f>
        <v>0</v>
      </c>
      <c r="AN19" s="13">
        <f>VLOOKUP($F19,'Visu totale'!$D$3:$DT$129,AN$1,0)</f>
        <v>0</v>
      </c>
      <c r="AO19" s="15">
        <f>VLOOKUP($F19,'Visu totale'!$D$3:$DT$129,AO$1,0)</f>
        <v>0</v>
      </c>
      <c r="AP19" s="14">
        <f>VLOOKUP($F19,'Visu totale'!$D$3:$DT$129,AP$1,0)</f>
        <v>0</v>
      </c>
      <c r="AQ19" s="13">
        <f>VLOOKUP($F19,'Visu totale'!$D$3:$DT$129,AQ$1,0)</f>
        <v>0</v>
      </c>
      <c r="AR19" s="13">
        <f>VLOOKUP($F19,'Visu totale'!$D$3:$DT$129,AR$1,0)</f>
        <v>0</v>
      </c>
      <c r="AS19" s="13">
        <f>VLOOKUP($F19,'Visu totale'!$D$3:$DT$129,AS$1,0)</f>
        <v>0</v>
      </c>
      <c r="AT19" s="13">
        <f>VLOOKUP($F19,'Visu totale'!$D$3:$DT$129,AT$1,0)</f>
        <v>0</v>
      </c>
      <c r="AU19" s="13">
        <f>VLOOKUP($F19,'Visu totale'!$D$3:$DT$129,AU$1,0)</f>
        <v>0</v>
      </c>
      <c r="AV19" s="13">
        <f>VLOOKUP($F19,'Visu totale'!$D$3:$DT$129,AV$1,0)</f>
        <v>0</v>
      </c>
      <c r="AW19" s="13">
        <f>VLOOKUP($F19,'Visu totale'!$D$3:$DT$129,AW$1,0)</f>
        <v>0</v>
      </c>
      <c r="AX19" s="13">
        <f>VLOOKUP($F19,'Visu totale'!$D$3:$DT$129,AX$1,0)</f>
        <v>0</v>
      </c>
      <c r="AY19" s="13">
        <f>VLOOKUP($F19,'Visu totale'!$D$3:$DT$129,AY$1,0)</f>
        <v>0</v>
      </c>
      <c r="AZ19" s="13">
        <f>VLOOKUP($F19,'Visu totale'!$D$3:$DT$129,AZ$1,0)</f>
        <v>0</v>
      </c>
      <c r="BA19" s="15">
        <f>VLOOKUP($F19,'Visu totale'!$D$3:$DT$129,BA$1,0)</f>
        <v>0</v>
      </c>
      <c r="BB19" s="14">
        <f>VLOOKUP($F19,'Visu totale'!$D$3:$DT$129,BB$1,0)</f>
        <v>0</v>
      </c>
      <c r="BC19" s="13">
        <f>VLOOKUP($F19,'Visu totale'!$D$3:$DT$129,BC$1,0)</f>
        <v>0</v>
      </c>
      <c r="BD19" s="13">
        <f>VLOOKUP($F19,'Visu totale'!$D$3:$DT$129,BD$1,0)</f>
        <v>0</v>
      </c>
      <c r="BE19" s="13">
        <f>VLOOKUP($F19,'Visu totale'!$D$3:$DT$129,BE$1,0)</f>
        <v>0</v>
      </c>
      <c r="BF19" s="13">
        <f>VLOOKUP($F19,'Visu totale'!$D$3:$DT$129,BF$1,0)</f>
        <v>0</v>
      </c>
      <c r="BG19" s="13">
        <f>VLOOKUP($F19,'Visu totale'!$D$3:$DT$129,BG$1,0)</f>
        <v>0</v>
      </c>
      <c r="BH19" s="13">
        <f>VLOOKUP($F19,'Visu totale'!$D$3:$DT$129,BH$1,0)</f>
        <v>0</v>
      </c>
      <c r="BI19" s="13">
        <f>VLOOKUP($F19,'Visu totale'!$D$3:$DT$129,BI$1,0)</f>
        <v>0</v>
      </c>
      <c r="BJ19" s="13">
        <f>VLOOKUP($F19,'Visu totale'!$D$3:$DT$129,BJ$1,0)</f>
        <v>0</v>
      </c>
      <c r="BK19" s="13">
        <f>VLOOKUP($F19,'Visu totale'!$D$3:$DT$129,BK$1,0)</f>
        <v>0</v>
      </c>
      <c r="BL19" s="13">
        <f>VLOOKUP($F19,'Visu totale'!$D$3:$DT$129,BL$1,0)</f>
        <v>0</v>
      </c>
      <c r="BM19" s="15">
        <f>VLOOKUP($F19,'Visu totale'!$D$3:$DT$129,BM$1,0)</f>
        <v>0</v>
      </c>
      <c r="BN19" s="14">
        <f>VLOOKUP($F19,'Visu totale'!$D$3:$DT$129,BN$1,0)</f>
        <v>0</v>
      </c>
      <c r="BO19" s="13">
        <f>VLOOKUP($F19,'Visu totale'!$D$3:$DT$129,BO$1,0)</f>
        <v>0</v>
      </c>
      <c r="BP19" s="13">
        <f>VLOOKUP($F19,'Visu totale'!$D$3:$DT$129,BP$1,0)</f>
        <v>0</v>
      </c>
      <c r="BQ19" s="13">
        <f>VLOOKUP($F19,'Visu totale'!$D$3:$DT$129,BQ$1,0)</f>
        <v>0</v>
      </c>
      <c r="BR19" s="13">
        <f>VLOOKUP($F19,'Visu totale'!$D$3:$DT$129,BR$1,0)</f>
        <v>0</v>
      </c>
      <c r="BS19" s="13">
        <f>VLOOKUP($F19,'Visu totale'!$D$3:$DT$129,BS$1,0)</f>
        <v>0</v>
      </c>
      <c r="BT19" s="13">
        <f>VLOOKUP($F19,'Visu totale'!$D$3:$DT$129,BT$1,0)</f>
        <v>0</v>
      </c>
      <c r="BU19" s="13">
        <f>VLOOKUP($F19,'Visu totale'!$D$3:$DT$129,BU$1,0)</f>
        <v>0</v>
      </c>
      <c r="BV19" s="13">
        <f>VLOOKUP($F19,'Visu totale'!$D$3:$DT$129,BV$1,0)</f>
        <v>0</v>
      </c>
      <c r="BW19" s="13">
        <f>VLOOKUP($F19,'Visu totale'!$D$3:$DT$129,BW$1,0)</f>
        <v>0</v>
      </c>
      <c r="BX19" s="13">
        <f>VLOOKUP($F19,'Visu totale'!$D$3:$DT$129,BX$1,0)</f>
        <v>0</v>
      </c>
      <c r="BY19" s="15">
        <f>VLOOKUP($F19,'Visu totale'!$D$3:$DT$129,BY$1,0)</f>
        <v>0</v>
      </c>
      <c r="BZ19" s="14">
        <f>VLOOKUP($F19,'Visu totale'!$D$3:$DT$129,BZ$1,0)</f>
        <v>0</v>
      </c>
      <c r="CA19" s="13">
        <f>VLOOKUP($F19,'Visu totale'!$D$3:$DT$129,CA$1,0)</f>
        <v>0</v>
      </c>
      <c r="CB19" s="13">
        <f>VLOOKUP($F19,'Visu totale'!$D$3:$DT$129,CB$1,0)</f>
        <v>0</v>
      </c>
      <c r="CC19" s="13">
        <f>VLOOKUP($F19,'Visu totale'!$D$3:$DT$129,CC$1,0)</f>
        <v>0</v>
      </c>
      <c r="CD19" s="13">
        <f>VLOOKUP($F19,'Visu totale'!$D$3:$DT$129,CD$1,0)</f>
        <v>0</v>
      </c>
      <c r="CE19" s="13">
        <f>VLOOKUP($F19,'Visu totale'!$D$3:$DT$129,CE$1,0)</f>
        <v>0</v>
      </c>
      <c r="CF19" s="13">
        <f>VLOOKUP($F19,'Visu totale'!$D$3:$DT$129,CF$1,0)</f>
        <v>0</v>
      </c>
      <c r="CG19" s="13">
        <f>VLOOKUP($F19,'Visu totale'!$D$3:$DT$129,CG$1,0)</f>
        <v>0</v>
      </c>
      <c r="CH19" s="13">
        <f>VLOOKUP($F19,'Visu totale'!$D$3:$DT$129,CH$1,0)</f>
        <v>0</v>
      </c>
      <c r="CI19" s="13">
        <f>VLOOKUP($F19,'Visu totale'!$D$3:$DT$129,CI$1,0)</f>
        <v>0</v>
      </c>
      <c r="CJ19" s="13">
        <f>VLOOKUP($F19,'Visu totale'!$D$3:$DT$129,CJ$1,0)</f>
        <v>0</v>
      </c>
      <c r="CK19" s="15">
        <f>VLOOKUP($F19,'Visu totale'!$D$3:$DT$129,CK$1,0)</f>
        <v>0</v>
      </c>
      <c r="CL19" s="14">
        <f>VLOOKUP($F19,'Visu totale'!$D$3:$DT$129,CL$1,0)</f>
        <v>0</v>
      </c>
      <c r="CM19" s="13">
        <f>VLOOKUP($F19,'Visu totale'!$D$3:$DT$129,CM$1,0)</f>
        <v>0</v>
      </c>
      <c r="CN19" s="13">
        <f>VLOOKUP($F19,'Visu totale'!$D$3:$DT$129,CN$1,0)</f>
        <v>0</v>
      </c>
      <c r="CO19" s="13">
        <f>VLOOKUP($F19,'Visu totale'!$D$3:$DT$129,CO$1,0)</f>
        <v>0</v>
      </c>
      <c r="CP19" s="13">
        <f>VLOOKUP($F19,'Visu totale'!$D$3:$DT$129,CP$1,0)</f>
        <v>0</v>
      </c>
      <c r="CQ19" s="13">
        <f>VLOOKUP($F19,'Visu totale'!$D$3:$DT$129,CQ$1,0)</f>
        <v>0</v>
      </c>
      <c r="CR19" s="13">
        <f>VLOOKUP($F19,'Visu totale'!$D$3:$DT$129,CR$1,0)</f>
        <v>0</v>
      </c>
      <c r="CS19" s="13">
        <f>VLOOKUP($F19,'Visu totale'!$D$3:$DT$129,CS$1,0)</f>
        <v>0</v>
      </c>
      <c r="CT19" s="13">
        <f>VLOOKUP($F19,'Visu totale'!$D$3:$DT$129,CT$1,0)</f>
        <v>0</v>
      </c>
      <c r="CU19" s="13">
        <f>VLOOKUP($F19,'Visu totale'!$D$3:$DT$129,CU$1,0)</f>
        <v>0</v>
      </c>
      <c r="CV19" s="13">
        <f>VLOOKUP($F19,'Visu totale'!$D$3:$DT$129,CV$1,0)</f>
        <v>0</v>
      </c>
      <c r="CW19" s="15">
        <f>VLOOKUP($F19,'Visu totale'!$D$3:$DT$129,CW$1,0)</f>
        <v>0</v>
      </c>
      <c r="CX19" s="14">
        <f>VLOOKUP($F19,'Visu totale'!$D$3:$DT$129,CX$1,0)</f>
        <v>0</v>
      </c>
      <c r="CY19" s="13">
        <f>VLOOKUP($F19,'Visu totale'!$D$3:$DT$129,CY$1,0)</f>
        <v>0</v>
      </c>
      <c r="CZ19" s="13">
        <f>VLOOKUP($F19,'Visu totale'!$D$3:$DT$129,CZ$1,0)</f>
        <v>0</v>
      </c>
      <c r="DA19" s="13">
        <f>VLOOKUP($F19,'Visu totale'!$D$3:$DT$129,DA$1,0)</f>
        <v>0</v>
      </c>
      <c r="DB19" s="13">
        <f>VLOOKUP($F19,'Visu totale'!$D$3:$DT$129,DB$1,0)</f>
        <v>0</v>
      </c>
      <c r="DC19" s="13">
        <f>VLOOKUP($F19,'Visu totale'!$D$3:$DT$129,DC$1,0)</f>
        <v>0</v>
      </c>
      <c r="DD19" s="13">
        <f>VLOOKUP($F19,'Visu totale'!$D$3:$DT$129,DD$1,0)</f>
        <v>0</v>
      </c>
      <c r="DE19" s="13">
        <f>VLOOKUP($F19,'Visu totale'!$D$3:$DT$129,DE$1,0)</f>
        <v>0</v>
      </c>
      <c r="DF19" s="13">
        <f>VLOOKUP($F19,'Visu totale'!$D$3:$DT$129,DF$1,0)</f>
        <v>0</v>
      </c>
      <c r="DG19" s="13">
        <f>VLOOKUP($F19,'Visu totale'!$D$3:$DT$129,DG$1,0)</f>
        <v>0</v>
      </c>
      <c r="DH19" s="13">
        <f>VLOOKUP($F19,'Visu totale'!$D$3:$DT$129,DH$1,0)</f>
        <v>0</v>
      </c>
      <c r="DI19" s="15">
        <f>VLOOKUP($F19,'Visu totale'!$D$3:$DT$129,DI$1,0)</f>
        <v>0</v>
      </c>
      <c r="DJ19" s="14">
        <f>VLOOKUP($F19,'Visu totale'!$D$3:$DT$129,DJ$1,0)</f>
        <v>0</v>
      </c>
      <c r="DK19" s="13">
        <f>VLOOKUP($F19,'Visu totale'!$D$3:$DT$129,DK$1,0)</f>
        <v>0</v>
      </c>
      <c r="DL19" s="13">
        <f>VLOOKUP($F19,'Visu totale'!$D$3:$DT$129,DL$1,0)</f>
        <v>0</v>
      </c>
      <c r="DM19" s="13">
        <f>VLOOKUP($F19,'Visu totale'!$D$3:$DT$129,DM$1,0)</f>
        <v>0</v>
      </c>
      <c r="DN19" s="13">
        <f>VLOOKUP($F19,'Visu totale'!$D$3:$DT$129,DN$1,0)</f>
        <v>0</v>
      </c>
      <c r="DO19" s="13">
        <f>VLOOKUP($F19,'Visu totale'!$D$3:$DT$129,DO$1,0)</f>
        <v>0</v>
      </c>
      <c r="DP19" s="13">
        <f>VLOOKUP($F19,'Visu totale'!$D$3:$DT$129,DP$1,0)</f>
        <v>0</v>
      </c>
      <c r="DQ19" s="13">
        <f>VLOOKUP($F19,'Visu totale'!$D$3:$DT$129,DQ$1,0)</f>
        <v>0</v>
      </c>
      <c r="DR19" s="13">
        <f>VLOOKUP($F19,'Visu totale'!$D$3:$DT$129,DR$1,0)</f>
        <v>0</v>
      </c>
      <c r="DS19" s="13">
        <f>VLOOKUP($F19,'Visu totale'!$D$3:$DT$129,DS$1,0)</f>
        <v>0</v>
      </c>
      <c r="DT19" s="13">
        <f>VLOOKUP($F19,'Visu totale'!$D$3:$DT$129,DT$1,0)</f>
        <v>0</v>
      </c>
      <c r="DU19" s="15">
        <f>VLOOKUP($F19,'Visu totale'!$D$3:$DT$129,DU$1,0)</f>
        <v>0</v>
      </c>
    </row>
    <row r="86" spans="6:6" x14ac:dyDescent="0.25">
      <c r="F86" t="s">
        <v>88</v>
      </c>
    </row>
    <row r="87" spans="6:6" x14ac:dyDescent="0.25">
      <c r="F87" t="s">
        <v>89</v>
      </c>
    </row>
    <row r="88" spans="6:6" x14ac:dyDescent="0.25">
      <c r="F88" t="s">
        <v>90</v>
      </c>
    </row>
    <row r="89" spans="6:6" x14ac:dyDescent="0.25">
      <c r="F89" t="s">
        <v>91</v>
      </c>
    </row>
    <row r="90" spans="6:6" x14ac:dyDescent="0.25">
      <c r="F90" t="s">
        <v>92</v>
      </c>
    </row>
    <row r="91" spans="6:6" x14ac:dyDescent="0.25">
      <c r="F91" t="s">
        <v>93</v>
      </c>
    </row>
    <row r="92" spans="6:6" x14ac:dyDescent="0.25">
      <c r="F92" t="s">
        <v>94</v>
      </c>
    </row>
    <row r="93" spans="6:6" x14ac:dyDescent="0.25">
      <c r="F93" t="s">
        <v>95</v>
      </c>
    </row>
    <row r="94" spans="6:6" x14ac:dyDescent="0.25">
      <c r="F94" t="s">
        <v>96</v>
      </c>
    </row>
    <row r="95" spans="6:6" x14ac:dyDescent="0.25">
      <c r="F95" t="s">
        <v>97</v>
      </c>
    </row>
    <row r="96" spans="6:6" x14ac:dyDescent="0.25">
      <c r="F96" t="s">
        <v>98</v>
      </c>
    </row>
    <row r="97" spans="6:6" x14ac:dyDescent="0.25">
      <c r="F97" t="s">
        <v>99</v>
      </c>
    </row>
    <row r="98" spans="6:6" x14ac:dyDescent="0.25">
      <c r="F98" t="s">
        <v>100</v>
      </c>
    </row>
    <row r="99" spans="6:6" x14ac:dyDescent="0.25">
      <c r="F99" t="s">
        <v>101</v>
      </c>
    </row>
    <row r="100" spans="6:6" x14ac:dyDescent="0.25">
      <c r="F100" t="s">
        <v>102</v>
      </c>
    </row>
    <row r="101" spans="6:6" x14ac:dyDescent="0.25">
      <c r="F101" t="s">
        <v>103</v>
      </c>
    </row>
  </sheetData>
  <mergeCells count="10">
    <mergeCell ref="BZ2:CK2"/>
    <mergeCell ref="CL2:CW2"/>
    <mergeCell ref="CX2:DI2"/>
    <mergeCell ref="DJ2:DU2"/>
    <mergeCell ref="G2:Q2"/>
    <mergeCell ref="R2:AC2"/>
    <mergeCell ref="AD2:AO2"/>
    <mergeCell ref="AP2:BA2"/>
    <mergeCell ref="BB2:BM2"/>
    <mergeCell ref="BN2:BY2"/>
  </mergeCells>
  <conditionalFormatting sqref="G4:DU19">
    <cfRule type="beginsWith" dxfId="11" priority="1" operator="beginsWith" text="S">
      <formula>LEFT(G4,LEN("S"))="S"</formula>
    </cfRule>
    <cfRule type="cellIs" dxfId="10" priority="2" operator="equal">
      <formula>"x"</formula>
    </cfRule>
    <cfRule type="beginsWith" dxfId="9" priority="3" operator="beginsWith" text="V">
      <formula>LEFT(G4,LEN("V"))="V"</formula>
    </cfRule>
    <cfRule type="cellIs" dxfId="8" priority="4" operator="greaterThan">
      <formula>25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EA77"/>
  <sheetViews>
    <sheetView tabSelected="1" zoomScale="55" zoomScaleNormal="55" workbookViewId="0">
      <pane xSplit="7" ySplit="3" topLeftCell="AX4" activePane="bottomRight" state="frozen"/>
      <selection pane="topRight" activeCell="E1" sqref="E1"/>
      <selection pane="bottomLeft" activeCell="A3" sqref="A3"/>
      <selection pane="bottomRight" activeCell="BO2" sqref="BO2:BZ2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7.140625" bestFit="1" customWidth="1"/>
    <col min="5" max="5" width="9" customWidth="1"/>
    <col min="6" max="6" width="13.85546875" customWidth="1"/>
    <col min="7" max="7" width="8.710937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570312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9" width="6.5703125" bestFit="1" customWidth="1"/>
    <col min="50" max="50" width="6.85546875" bestFit="1" customWidth="1"/>
    <col min="51" max="52" width="6.5703125" bestFit="1" customWidth="1"/>
    <col min="53" max="53" width="6.85546875" bestFit="1" customWidth="1"/>
    <col min="54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85546875" bestFit="1" customWidth="1"/>
    <col min="74" max="74" width="6.85546875" bestFit="1" customWidth="1"/>
    <col min="75" max="76" width="6.5703125" bestFit="1" customWidth="1"/>
    <col min="77" max="77" width="6.85546875" bestFit="1" customWidth="1"/>
    <col min="78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5" width="6.5703125" bestFit="1" customWidth="1"/>
    <col min="86" max="86" width="6.85546875" bestFit="1" customWidth="1"/>
    <col min="87" max="88" width="6.5703125" bestFit="1" customWidth="1"/>
    <col min="89" max="89" width="6.85546875" bestFit="1" customWidth="1"/>
    <col min="90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6" width="6.140625" bestFit="1" customWidth="1"/>
    <col min="97" max="97" width="5.8554687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9" width="6.5703125" bestFit="1" customWidth="1"/>
    <col min="110" max="110" width="6.85546875" bestFit="1" customWidth="1"/>
    <col min="111" max="112" width="6.5703125" bestFit="1" customWidth="1"/>
    <col min="113" max="113" width="6.85546875" bestFit="1" customWidth="1"/>
    <col min="114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483" ht="15.75" thickBot="1" x14ac:dyDescent="0.3"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483" ht="20.25" x14ac:dyDescent="0.25">
      <c r="A2" s="11"/>
      <c r="B2" s="11"/>
      <c r="C2" s="11"/>
      <c r="D2" s="11"/>
      <c r="E2" s="11"/>
      <c r="F2" s="11"/>
      <c r="G2" s="11"/>
      <c r="H2" s="25">
        <f>YEAR(DATE(2018,1,1))</f>
        <v>2018</v>
      </c>
      <c r="I2" s="25"/>
      <c r="J2" s="25"/>
      <c r="K2" s="25"/>
      <c r="L2" s="25"/>
      <c r="M2" s="25"/>
      <c r="N2" s="25"/>
      <c r="O2" s="25"/>
      <c r="P2" s="25"/>
      <c r="Q2" s="25"/>
      <c r="R2" s="26"/>
      <c r="S2" s="24">
        <f>YEAR(DATE(2018,13,1))</f>
        <v>2019</v>
      </c>
      <c r="T2" s="25"/>
      <c r="U2" s="25"/>
      <c r="V2" s="25"/>
      <c r="W2" s="25"/>
      <c r="X2" s="25"/>
      <c r="Y2" s="25"/>
      <c r="Z2" s="25"/>
      <c r="AA2" s="25"/>
      <c r="AB2" s="25"/>
      <c r="AC2" s="25"/>
      <c r="AD2" s="26"/>
      <c r="AE2" s="24">
        <f>YEAR(DATE(2018,25,1))</f>
        <v>2020</v>
      </c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6"/>
      <c r="AQ2" s="24">
        <f>YEAR(DATE(2018,37,1))</f>
        <v>2021</v>
      </c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6"/>
      <c r="BC2" s="24">
        <f>YEAR(DATE(2018,49,1))</f>
        <v>2022</v>
      </c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6"/>
      <c r="BO2" s="24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6"/>
      <c r="CA2" s="24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6"/>
      <c r="CM2" s="24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6"/>
      <c r="CY2" s="24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6"/>
      <c r="DK2" s="24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6"/>
    </row>
    <row r="3" spans="1:1483" x14ac:dyDescent="0.25">
      <c r="A3" s="7" t="s">
        <v>141</v>
      </c>
      <c r="B3" s="7" t="s">
        <v>145</v>
      </c>
      <c r="C3" s="7" t="s">
        <v>146</v>
      </c>
      <c r="D3" s="7" t="s">
        <v>147</v>
      </c>
      <c r="E3" s="7" t="s">
        <v>142</v>
      </c>
      <c r="F3" s="7" t="s">
        <v>143</v>
      </c>
      <c r="G3" s="7" t="s">
        <v>144</v>
      </c>
      <c r="H3" s="9">
        <f>DATE(2018,1,1)</f>
        <v>43101</v>
      </c>
      <c r="I3" s="9">
        <f>DATE(2018,2,1)</f>
        <v>43132</v>
      </c>
      <c r="J3" s="9">
        <f>DATE(2018,3,1)</f>
        <v>43160</v>
      </c>
      <c r="K3" s="9">
        <f>DATE(2018,4,1)</f>
        <v>43191</v>
      </c>
      <c r="L3" s="9">
        <f>DATE(2018,5,1)</f>
        <v>43221</v>
      </c>
      <c r="M3" s="9">
        <f>DATE(2018,6,1)</f>
        <v>43252</v>
      </c>
      <c r="N3" s="9">
        <f>DATE(2018,7,1)</f>
        <v>43282</v>
      </c>
      <c r="O3" s="9">
        <f>DATE(2018,8,1)</f>
        <v>43313</v>
      </c>
      <c r="P3" s="9">
        <f>DATE(2018,9,1)</f>
        <v>43344</v>
      </c>
      <c r="Q3" s="9">
        <f>DATE(2018,10,1)</f>
        <v>43374</v>
      </c>
      <c r="R3" s="10">
        <f>DATE(2018,11,1)</f>
        <v>43405</v>
      </c>
      <c r="S3" s="8">
        <f>DATE(2018,12,1)</f>
        <v>43435</v>
      </c>
      <c r="T3" s="9">
        <f>DATE(2018,13,1)</f>
        <v>43466</v>
      </c>
      <c r="U3" s="9">
        <f>DATE(2018,14,1)</f>
        <v>43497</v>
      </c>
      <c r="V3" s="9">
        <f>DATE(2018,15,1)</f>
        <v>43525</v>
      </c>
      <c r="W3" s="9">
        <f>DATE(2018,16,1)</f>
        <v>43556</v>
      </c>
      <c r="X3" s="9">
        <f>DATE(2018,17,1)</f>
        <v>43586</v>
      </c>
      <c r="Y3" s="9">
        <f>DATE(2018,18,1)</f>
        <v>43617</v>
      </c>
      <c r="Z3" s="9">
        <f>DATE(2018,19,1)</f>
        <v>43647</v>
      </c>
      <c r="AA3" s="9">
        <f>DATE(2018,20,1)</f>
        <v>43678</v>
      </c>
      <c r="AB3" s="9">
        <f>DATE(2018,21,1)</f>
        <v>43709</v>
      </c>
      <c r="AC3" s="9">
        <f>DATE(2018,22,1)</f>
        <v>43739</v>
      </c>
      <c r="AD3" s="10">
        <f>DATE(2018,23,1)</f>
        <v>43770</v>
      </c>
      <c r="AE3" s="8">
        <f>DATE(2018,24,1)</f>
        <v>43800</v>
      </c>
      <c r="AF3" s="9">
        <f>DATE(2018,25,1)</f>
        <v>43831</v>
      </c>
      <c r="AG3" s="9">
        <f>DATE(2018,26,1)</f>
        <v>43862</v>
      </c>
      <c r="AH3" s="9">
        <f>DATE(2018,27,1)</f>
        <v>43891</v>
      </c>
      <c r="AI3" s="9">
        <f>DATE(2018,28,1)</f>
        <v>43922</v>
      </c>
      <c r="AJ3" s="9">
        <f>DATE(2018,29,1)</f>
        <v>43952</v>
      </c>
      <c r="AK3" s="9">
        <f>DATE(2018,30,1)</f>
        <v>43983</v>
      </c>
      <c r="AL3" s="9">
        <f>DATE(2018,31,1)</f>
        <v>44013</v>
      </c>
      <c r="AM3" s="9">
        <f>DATE(2018,32,1)</f>
        <v>44044</v>
      </c>
      <c r="AN3" s="9">
        <f>DATE(2018,33,1)</f>
        <v>44075</v>
      </c>
      <c r="AO3" s="9">
        <f>DATE(2018,34,1)</f>
        <v>44105</v>
      </c>
      <c r="AP3" s="10">
        <f>DATE(2018,35,1)</f>
        <v>44136</v>
      </c>
      <c r="AQ3" s="8">
        <f>DATE(2018,36,1)</f>
        <v>44166</v>
      </c>
      <c r="AR3" s="9">
        <f>DATE(2018,37,1)</f>
        <v>44197</v>
      </c>
      <c r="AS3" s="9">
        <f>DATE(2018,38,1)</f>
        <v>44228</v>
      </c>
      <c r="AT3" s="9">
        <f>DATE(2018,39,1)</f>
        <v>44256</v>
      </c>
      <c r="AU3" s="9">
        <f>DATE(2018,40,1)</f>
        <v>44287</v>
      </c>
      <c r="AV3" s="9">
        <f>DATE(2018,41,1)</f>
        <v>44317</v>
      </c>
      <c r="AW3" s="9">
        <f>DATE(2018,42,1)</f>
        <v>44348</v>
      </c>
      <c r="AX3" s="9">
        <f>DATE(2018,43,1)</f>
        <v>44378</v>
      </c>
      <c r="AY3" s="9">
        <f>DATE(2018,44,1)</f>
        <v>44409</v>
      </c>
      <c r="AZ3" s="9">
        <f>DATE(2018,45,1)</f>
        <v>44440</v>
      </c>
      <c r="BA3" s="9">
        <f>DATE(2018,46,1)</f>
        <v>44470</v>
      </c>
      <c r="BB3" s="10">
        <f>DATE(2018,47,1)</f>
        <v>44501</v>
      </c>
      <c r="BC3" s="8">
        <f>DATE(2018,48,1)</f>
        <v>44531</v>
      </c>
      <c r="BD3" s="9">
        <f>DATE(2018,49,1)</f>
        <v>44562</v>
      </c>
      <c r="BE3" s="9">
        <f>DATE(2018,50,1)</f>
        <v>44593</v>
      </c>
      <c r="BF3" s="9">
        <f>DATE(2018,51,1)</f>
        <v>44621</v>
      </c>
      <c r="BG3" s="9">
        <f>DATE(2018,52,1)</f>
        <v>44652</v>
      </c>
      <c r="BH3" s="9">
        <f>DATE(2018,53,1)</f>
        <v>44682</v>
      </c>
      <c r="BI3" s="9">
        <f>DATE(2018,54,1)</f>
        <v>44713</v>
      </c>
      <c r="BJ3" s="9">
        <f>DATE(2018,55,1)</f>
        <v>44743</v>
      </c>
      <c r="BK3" s="9">
        <f>DATE(2018,56,1)</f>
        <v>44774</v>
      </c>
      <c r="BL3" s="9">
        <f>DATE(2018,57,1)</f>
        <v>44805</v>
      </c>
      <c r="BM3" s="9">
        <f>DATE(2018,58,1)</f>
        <v>44835</v>
      </c>
      <c r="BN3" s="10">
        <f>DATE(2018,59,1)</f>
        <v>44866</v>
      </c>
      <c r="BO3" s="8">
        <f>DATE(2018,60,1)</f>
        <v>44896</v>
      </c>
      <c r="BP3" s="9"/>
      <c r="BQ3" s="9"/>
      <c r="BR3" s="9"/>
      <c r="BS3" s="9"/>
      <c r="BT3" s="9"/>
      <c r="BU3" s="9"/>
      <c r="BV3" s="9"/>
      <c r="BW3" s="9"/>
      <c r="BX3" s="9"/>
      <c r="BY3" s="9"/>
      <c r="BZ3" s="10"/>
      <c r="CA3" s="8"/>
      <c r="CB3" s="9"/>
      <c r="CC3" s="9"/>
      <c r="CD3" s="9"/>
      <c r="CE3" s="9"/>
      <c r="CF3" s="9"/>
      <c r="CG3" s="9"/>
      <c r="CH3" s="9"/>
      <c r="CI3" s="9"/>
      <c r="CJ3" s="9"/>
      <c r="CK3" s="9"/>
      <c r="CL3" s="10"/>
      <c r="CM3" s="8"/>
      <c r="CN3" s="9"/>
      <c r="CO3" s="9"/>
      <c r="CP3" s="9"/>
      <c r="CQ3" s="9"/>
      <c r="CR3" s="9"/>
      <c r="CS3" s="9"/>
      <c r="CT3" s="9"/>
      <c r="CU3" s="9"/>
      <c r="CV3" s="9"/>
      <c r="CW3" s="9"/>
      <c r="CX3" s="10"/>
      <c r="CY3" s="8"/>
      <c r="CZ3" s="9"/>
      <c r="DA3" s="9"/>
      <c r="DB3" s="9"/>
      <c r="DC3" s="9"/>
      <c r="DD3" s="9"/>
      <c r="DE3" s="9"/>
      <c r="DF3" s="9"/>
      <c r="DG3" s="9"/>
      <c r="DH3" s="9"/>
      <c r="DI3" s="9"/>
      <c r="DJ3" s="10"/>
      <c r="DK3" s="8"/>
      <c r="DL3" s="9"/>
      <c r="DM3" s="9"/>
      <c r="DN3" s="9"/>
      <c r="DO3" s="9"/>
      <c r="DP3" s="9"/>
      <c r="DQ3" s="9"/>
      <c r="DR3" s="9"/>
      <c r="DS3" s="9"/>
      <c r="DT3" s="9"/>
      <c r="DU3" s="9"/>
      <c r="DV3" s="10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  <c r="LR3" s="21"/>
      <c r="LS3" s="21"/>
      <c r="LT3" s="21"/>
      <c r="LU3" s="21"/>
      <c r="LV3" s="21"/>
      <c r="LW3" s="21"/>
      <c r="LX3" s="21"/>
      <c r="LY3" s="21"/>
      <c r="LZ3" s="21"/>
      <c r="MA3" s="21"/>
      <c r="MB3" s="21"/>
      <c r="MC3" s="21"/>
      <c r="MD3" s="21"/>
      <c r="ME3" s="21"/>
      <c r="MF3" s="21"/>
      <c r="MG3" s="21"/>
      <c r="MH3" s="21"/>
      <c r="MI3" s="21"/>
      <c r="MJ3" s="21"/>
      <c r="MK3" s="21"/>
      <c r="ML3" s="21"/>
      <c r="MM3" s="21"/>
      <c r="MN3" s="21"/>
      <c r="MO3" s="21"/>
      <c r="MP3" s="21"/>
      <c r="MQ3" s="21"/>
      <c r="MR3" s="21"/>
      <c r="MS3" s="21"/>
      <c r="MT3" s="21"/>
      <c r="MU3" s="21"/>
      <c r="MV3" s="21"/>
      <c r="MW3" s="21"/>
      <c r="MX3" s="21"/>
      <c r="MY3" s="21"/>
      <c r="MZ3" s="21"/>
      <c r="NA3" s="21"/>
      <c r="NB3" s="21"/>
      <c r="NC3" s="21"/>
      <c r="ND3" s="21"/>
      <c r="NE3" s="21"/>
      <c r="NF3" s="21"/>
      <c r="NG3" s="21"/>
      <c r="NH3" s="21"/>
      <c r="NI3" s="21"/>
      <c r="NJ3" s="21"/>
      <c r="NK3" s="21"/>
      <c r="NL3" s="21"/>
      <c r="NM3" s="21"/>
      <c r="NN3" s="21"/>
      <c r="NO3" s="21"/>
      <c r="NP3" s="21"/>
      <c r="NQ3" s="21"/>
      <c r="NR3" s="21"/>
      <c r="NS3" s="21"/>
      <c r="NT3" s="21"/>
      <c r="NU3" s="21"/>
      <c r="NV3" s="21"/>
      <c r="NW3" s="21"/>
      <c r="NX3" s="21"/>
      <c r="NY3" s="21"/>
      <c r="NZ3" s="21"/>
      <c r="OA3" s="21"/>
      <c r="OB3" s="21"/>
      <c r="OC3" s="21"/>
      <c r="OD3" s="21"/>
      <c r="OE3" s="21"/>
      <c r="OF3" s="21"/>
      <c r="OG3" s="21"/>
      <c r="OH3" s="21"/>
      <c r="OI3" s="21"/>
      <c r="OJ3" s="21"/>
      <c r="OK3" s="21"/>
      <c r="OL3" s="21"/>
      <c r="OM3" s="21"/>
      <c r="ON3" s="21"/>
      <c r="OO3" s="21"/>
      <c r="OP3" s="21"/>
      <c r="OQ3" s="21"/>
      <c r="OR3" s="21"/>
      <c r="OS3" s="21"/>
      <c r="OT3" s="21"/>
      <c r="OU3" s="21"/>
      <c r="OV3" s="21"/>
      <c r="OW3" s="21"/>
      <c r="OX3" s="21"/>
      <c r="OY3" s="21"/>
      <c r="OZ3" s="21"/>
      <c r="PA3" s="21"/>
      <c r="PB3" s="21"/>
      <c r="PC3" s="21"/>
      <c r="PD3" s="21"/>
      <c r="PE3" s="21"/>
      <c r="PF3" s="21"/>
      <c r="PG3" s="21"/>
      <c r="PH3" s="21"/>
      <c r="PI3" s="21"/>
      <c r="PJ3" s="21"/>
      <c r="PK3" s="21"/>
      <c r="PL3" s="21"/>
      <c r="PM3" s="21"/>
      <c r="PN3" s="21"/>
      <c r="PO3" s="21"/>
      <c r="PP3" s="21"/>
      <c r="PQ3" s="21"/>
      <c r="PR3" s="21"/>
      <c r="PS3" s="21"/>
      <c r="PT3" s="21"/>
      <c r="PU3" s="21"/>
      <c r="PV3" s="21"/>
      <c r="PW3" s="21"/>
      <c r="PX3" s="21"/>
      <c r="PY3" s="21"/>
      <c r="PZ3" s="21"/>
      <c r="QA3" s="21"/>
      <c r="QB3" s="21"/>
      <c r="QC3" s="21"/>
      <c r="QD3" s="21"/>
      <c r="QE3" s="21"/>
      <c r="QF3" s="21"/>
      <c r="QG3" s="21"/>
      <c r="QH3" s="21"/>
      <c r="QI3" s="21"/>
      <c r="QJ3" s="21"/>
      <c r="QK3" s="21"/>
      <c r="QL3" s="21"/>
      <c r="QM3" s="21"/>
      <c r="QN3" s="21"/>
      <c r="QO3" s="21"/>
      <c r="QP3" s="21"/>
      <c r="QQ3" s="21"/>
      <c r="QR3" s="21"/>
      <c r="QS3" s="21"/>
      <c r="QT3" s="21"/>
      <c r="QU3" s="21"/>
      <c r="QV3" s="21"/>
      <c r="QW3" s="21"/>
      <c r="QX3" s="21"/>
      <c r="QY3" s="21"/>
      <c r="QZ3" s="21"/>
      <c r="RA3" s="21"/>
      <c r="RB3" s="21"/>
      <c r="RC3" s="21"/>
      <c r="RD3" s="21"/>
      <c r="RE3" s="21"/>
      <c r="RF3" s="21"/>
      <c r="RG3" s="21"/>
      <c r="RH3" s="21"/>
      <c r="RI3" s="21"/>
      <c r="RJ3" s="21"/>
      <c r="RK3" s="21"/>
      <c r="RL3" s="21"/>
      <c r="RM3" s="21"/>
      <c r="RN3" s="21"/>
      <c r="RO3" s="21"/>
      <c r="RP3" s="21"/>
      <c r="RQ3" s="21"/>
      <c r="RR3" s="21"/>
      <c r="RS3" s="21"/>
      <c r="RT3" s="21"/>
      <c r="RU3" s="21"/>
      <c r="RV3" s="21"/>
      <c r="RW3" s="21"/>
      <c r="RX3" s="21"/>
      <c r="RY3" s="21"/>
      <c r="RZ3" s="21"/>
      <c r="SA3" s="21"/>
      <c r="SB3" s="21"/>
      <c r="SC3" s="21"/>
      <c r="SD3" s="21"/>
      <c r="SE3" s="21"/>
      <c r="SF3" s="21"/>
      <c r="SG3" s="21"/>
      <c r="SH3" s="21"/>
      <c r="SI3" s="21"/>
      <c r="SJ3" s="21"/>
      <c r="SK3" s="21"/>
      <c r="SL3" s="21"/>
      <c r="SM3" s="21"/>
      <c r="SN3" s="21"/>
      <c r="SO3" s="21"/>
      <c r="SP3" s="21"/>
      <c r="SQ3" s="21"/>
      <c r="SR3" s="21"/>
      <c r="SS3" s="21"/>
      <c r="ST3" s="21"/>
      <c r="SU3" s="21"/>
      <c r="SV3" s="21"/>
      <c r="SW3" s="21"/>
      <c r="SX3" s="21"/>
      <c r="SY3" s="21"/>
      <c r="SZ3" s="21"/>
      <c r="TA3" s="21"/>
      <c r="TB3" s="21"/>
      <c r="TC3" s="21"/>
      <c r="TD3" s="21"/>
      <c r="TE3" s="21"/>
      <c r="TF3" s="21"/>
      <c r="TG3" s="21"/>
      <c r="TH3" s="21"/>
      <c r="TI3" s="21"/>
      <c r="TJ3" s="21"/>
      <c r="TK3" s="21"/>
      <c r="TL3" s="21"/>
      <c r="TM3" s="21"/>
      <c r="TN3" s="21"/>
      <c r="TO3" s="21"/>
      <c r="TP3" s="21"/>
      <c r="TQ3" s="21"/>
      <c r="TR3" s="21"/>
      <c r="TS3" s="21"/>
      <c r="TT3" s="21"/>
      <c r="TU3" s="21"/>
      <c r="TV3" s="21"/>
      <c r="TW3" s="21"/>
      <c r="TX3" s="21"/>
      <c r="TY3" s="21"/>
      <c r="TZ3" s="21"/>
      <c r="UA3" s="21"/>
      <c r="UB3" s="21"/>
      <c r="UC3" s="21"/>
      <c r="UD3" s="21"/>
      <c r="UE3" s="21"/>
      <c r="UF3" s="21"/>
      <c r="UG3" s="21"/>
      <c r="UH3" s="21"/>
      <c r="UI3" s="21"/>
      <c r="UJ3" s="21"/>
      <c r="UK3" s="21"/>
      <c r="UL3" s="21"/>
      <c r="UM3" s="21"/>
      <c r="UN3" s="21"/>
      <c r="UO3" s="21"/>
      <c r="UP3" s="21"/>
      <c r="UQ3" s="21"/>
      <c r="UR3" s="21"/>
      <c r="US3" s="21"/>
      <c r="UT3" s="21"/>
      <c r="UU3" s="21"/>
      <c r="UV3" s="21"/>
      <c r="UW3" s="21"/>
      <c r="UX3" s="21"/>
      <c r="UY3" s="21"/>
      <c r="UZ3" s="21"/>
      <c r="VA3" s="21"/>
      <c r="VB3" s="21"/>
      <c r="VC3" s="21"/>
      <c r="VD3" s="21"/>
      <c r="VE3" s="21"/>
      <c r="VF3" s="21"/>
      <c r="VG3" s="21"/>
      <c r="VH3" s="21"/>
      <c r="VI3" s="21"/>
      <c r="VJ3" s="21"/>
      <c r="VK3" s="21"/>
      <c r="VL3" s="21"/>
      <c r="VM3" s="21"/>
      <c r="VN3" s="21"/>
      <c r="VO3" s="21"/>
      <c r="VP3" s="21"/>
      <c r="VQ3" s="21"/>
      <c r="VR3" s="21"/>
      <c r="VS3" s="21"/>
      <c r="VT3" s="21"/>
      <c r="VU3" s="21"/>
      <c r="VV3" s="21"/>
      <c r="VW3" s="21"/>
      <c r="VX3" s="21"/>
      <c r="VY3" s="21"/>
      <c r="VZ3" s="21"/>
      <c r="WA3" s="21"/>
      <c r="WB3" s="21"/>
      <c r="WC3" s="21"/>
      <c r="WD3" s="21"/>
      <c r="WE3" s="21"/>
      <c r="WF3" s="21"/>
      <c r="WG3" s="21"/>
      <c r="WH3" s="21"/>
      <c r="WI3" s="21"/>
      <c r="WJ3" s="21"/>
      <c r="WK3" s="21"/>
      <c r="WL3" s="21"/>
      <c r="WM3" s="21"/>
      <c r="WN3" s="21"/>
      <c r="WO3" s="21"/>
      <c r="WP3" s="21"/>
      <c r="WQ3" s="21"/>
      <c r="WR3" s="21"/>
      <c r="WS3" s="21"/>
      <c r="WT3" s="21"/>
      <c r="WU3" s="21"/>
      <c r="WV3" s="21"/>
      <c r="WW3" s="21"/>
      <c r="WX3" s="21"/>
      <c r="WY3" s="21"/>
      <c r="WZ3" s="21"/>
      <c r="XA3" s="21"/>
      <c r="XB3" s="21"/>
      <c r="XC3" s="21"/>
      <c r="XD3" s="21"/>
      <c r="XE3" s="21"/>
      <c r="XF3" s="21"/>
      <c r="XG3" s="21"/>
      <c r="XH3" s="21"/>
      <c r="XI3" s="21"/>
      <c r="XJ3" s="21"/>
      <c r="XK3" s="21"/>
      <c r="XL3" s="21"/>
      <c r="XM3" s="21"/>
      <c r="XN3" s="21"/>
      <c r="XO3" s="21"/>
      <c r="XP3" s="21"/>
      <c r="XQ3" s="21"/>
      <c r="XR3" s="21"/>
      <c r="XS3" s="21"/>
      <c r="XT3" s="21"/>
      <c r="XU3" s="21"/>
      <c r="XV3" s="21"/>
      <c r="XW3" s="21"/>
      <c r="XX3" s="21"/>
      <c r="XY3" s="21"/>
      <c r="XZ3" s="21"/>
      <c r="YA3" s="21"/>
      <c r="YB3" s="21"/>
      <c r="YC3" s="21"/>
      <c r="YD3" s="21"/>
      <c r="YE3" s="21"/>
      <c r="YF3" s="21"/>
      <c r="YG3" s="21"/>
      <c r="YH3" s="21"/>
      <c r="YI3" s="21"/>
      <c r="YJ3" s="21"/>
      <c r="YK3" s="21"/>
      <c r="YL3" s="21"/>
      <c r="YM3" s="21"/>
      <c r="YN3" s="21"/>
      <c r="YO3" s="21"/>
      <c r="YP3" s="21"/>
      <c r="YQ3" s="21"/>
      <c r="YR3" s="21"/>
      <c r="YS3" s="21"/>
      <c r="YT3" s="21"/>
      <c r="YU3" s="21"/>
      <c r="YV3" s="21"/>
      <c r="YW3" s="21"/>
      <c r="YX3" s="21"/>
      <c r="YY3" s="21"/>
      <c r="YZ3" s="21"/>
      <c r="ZA3" s="21"/>
      <c r="ZB3" s="21"/>
      <c r="ZC3" s="21"/>
      <c r="ZD3" s="21"/>
      <c r="ZE3" s="21"/>
      <c r="ZF3" s="21"/>
      <c r="ZG3" s="21"/>
      <c r="ZH3" s="21"/>
      <c r="ZI3" s="21"/>
      <c r="ZJ3" s="21"/>
      <c r="ZK3" s="21"/>
      <c r="ZL3" s="21"/>
      <c r="ZM3" s="21"/>
      <c r="ZN3" s="21"/>
      <c r="ZO3" s="21"/>
      <c r="ZP3" s="21"/>
      <c r="ZQ3" s="21"/>
      <c r="ZR3" s="21"/>
      <c r="ZS3" s="21"/>
      <c r="ZT3" s="21"/>
      <c r="ZU3" s="21"/>
      <c r="ZV3" s="21"/>
      <c r="ZW3" s="21"/>
      <c r="ZX3" s="21"/>
      <c r="ZY3" s="21"/>
      <c r="ZZ3" s="21"/>
      <c r="AAA3" s="21"/>
      <c r="AAB3" s="21"/>
      <c r="AAC3" s="21"/>
      <c r="AAD3" s="21"/>
      <c r="AAE3" s="21"/>
      <c r="AAF3" s="21"/>
      <c r="AAG3" s="21"/>
      <c r="AAH3" s="21"/>
      <c r="AAI3" s="21"/>
      <c r="AAJ3" s="21"/>
      <c r="AAK3" s="21"/>
      <c r="AAL3" s="21"/>
      <c r="AAM3" s="21"/>
      <c r="AAN3" s="21"/>
      <c r="AAO3" s="21"/>
      <c r="AAP3" s="21"/>
      <c r="AAQ3" s="21"/>
      <c r="AAR3" s="21"/>
      <c r="AAS3" s="21"/>
      <c r="AAT3" s="21"/>
      <c r="AAU3" s="21"/>
      <c r="AAV3" s="21"/>
      <c r="AAW3" s="21"/>
      <c r="AAX3" s="21"/>
      <c r="AAY3" s="21"/>
      <c r="AAZ3" s="21"/>
      <c r="ABA3" s="21"/>
      <c r="ABB3" s="21"/>
      <c r="ABC3" s="21"/>
      <c r="ABD3" s="21"/>
      <c r="ABE3" s="21"/>
      <c r="ABF3" s="21"/>
      <c r="ABG3" s="21"/>
      <c r="ABH3" s="21"/>
      <c r="ABI3" s="21"/>
      <c r="ABJ3" s="21"/>
      <c r="ABK3" s="21"/>
      <c r="ABL3" s="21"/>
      <c r="ABM3" s="21"/>
      <c r="ABN3" s="21"/>
      <c r="ABO3" s="21"/>
      <c r="ABP3" s="21"/>
      <c r="ABQ3" s="21"/>
      <c r="ABR3" s="21"/>
      <c r="ABS3" s="21"/>
      <c r="ABT3" s="21"/>
      <c r="ABU3" s="21"/>
      <c r="ABV3" s="21"/>
      <c r="ABW3" s="21"/>
      <c r="ABX3" s="21"/>
      <c r="ABY3" s="21"/>
      <c r="ABZ3" s="21"/>
      <c r="ACA3" s="21"/>
      <c r="ACB3" s="21"/>
      <c r="ACC3" s="21"/>
      <c r="ACD3" s="21"/>
      <c r="ACE3" s="21"/>
      <c r="ACF3" s="21"/>
      <c r="ACG3" s="21"/>
      <c r="ACH3" s="21"/>
      <c r="ACI3" s="21"/>
      <c r="ACJ3" s="21"/>
      <c r="ACK3" s="21"/>
      <c r="ACL3" s="21"/>
      <c r="ACM3" s="21"/>
      <c r="ACN3" s="21"/>
      <c r="ACO3" s="21"/>
      <c r="ACP3" s="21"/>
      <c r="ACQ3" s="21"/>
      <c r="ACR3" s="21"/>
      <c r="ACS3" s="21"/>
      <c r="ACT3" s="21"/>
      <c r="ACU3" s="21"/>
      <c r="ACV3" s="21"/>
      <c r="ACW3" s="21"/>
      <c r="ACX3" s="21"/>
      <c r="ACY3" s="21"/>
      <c r="ACZ3" s="21"/>
      <c r="ADA3" s="21"/>
      <c r="ADB3" s="21"/>
      <c r="ADC3" s="21"/>
      <c r="ADD3" s="21"/>
      <c r="ADE3" s="21"/>
      <c r="ADF3" s="21"/>
      <c r="ADG3" s="21"/>
      <c r="ADH3" s="21"/>
      <c r="ADI3" s="21"/>
      <c r="ADJ3" s="21"/>
      <c r="ADK3" s="21"/>
      <c r="ADL3" s="21"/>
      <c r="ADM3" s="21"/>
      <c r="ADN3" s="21"/>
      <c r="ADO3" s="21"/>
      <c r="ADP3" s="21"/>
      <c r="ADQ3" s="21"/>
      <c r="ADR3" s="21"/>
      <c r="ADS3" s="21"/>
      <c r="ADT3" s="21"/>
      <c r="ADU3" s="21"/>
      <c r="ADV3" s="21"/>
      <c r="ADW3" s="21"/>
      <c r="ADX3" s="21"/>
      <c r="ADY3" s="21"/>
      <c r="ADZ3" s="21"/>
      <c r="AEA3" s="21"/>
      <c r="AEB3" s="21"/>
      <c r="AEC3" s="21"/>
      <c r="AED3" s="21"/>
      <c r="AEE3" s="21"/>
      <c r="AEF3" s="21"/>
      <c r="AEG3" s="21"/>
      <c r="AEH3" s="21"/>
      <c r="AEI3" s="21"/>
      <c r="AEJ3" s="21"/>
      <c r="AEK3" s="21"/>
      <c r="AEL3" s="21"/>
      <c r="AEM3" s="21"/>
      <c r="AEN3" s="21"/>
      <c r="AEO3" s="21"/>
      <c r="AEP3" s="21"/>
      <c r="AEQ3" s="21"/>
      <c r="AER3" s="21"/>
      <c r="AES3" s="21"/>
      <c r="AET3" s="21"/>
      <c r="AEU3" s="21"/>
      <c r="AEV3" s="21"/>
      <c r="AEW3" s="21"/>
      <c r="AEX3" s="21"/>
      <c r="AEY3" s="21"/>
      <c r="AEZ3" s="21"/>
      <c r="AFA3" s="21"/>
      <c r="AFB3" s="21"/>
      <c r="AFC3" s="21"/>
      <c r="AFD3" s="21"/>
      <c r="AFE3" s="21"/>
      <c r="AFF3" s="21"/>
      <c r="AFG3" s="21"/>
      <c r="AFH3" s="21"/>
      <c r="AFI3" s="21"/>
      <c r="AFJ3" s="21"/>
      <c r="AFK3" s="21"/>
      <c r="AFL3" s="21"/>
      <c r="AFM3" s="21"/>
      <c r="AFN3" s="21"/>
      <c r="AFO3" s="21"/>
      <c r="AFP3" s="21"/>
      <c r="AFQ3" s="21"/>
      <c r="AFR3" s="21"/>
      <c r="AFS3" s="21"/>
      <c r="AFT3" s="21"/>
      <c r="AFU3" s="21"/>
      <c r="AFV3" s="21"/>
      <c r="AFW3" s="21"/>
      <c r="AFX3" s="21"/>
      <c r="AFY3" s="21"/>
      <c r="AFZ3" s="21"/>
      <c r="AGA3" s="21"/>
      <c r="AGB3" s="21"/>
      <c r="AGC3" s="21"/>
      <c r="AGD3" s="21"/>
      <c r="AGE3" s="21"/>
      <c r="AGF3" s="21"/>
      <c r="AGG3" s="21"/>
      <c r="AGH3" s="21"/>
      <c r="AGI3" s="21"/>
      <c r="AGJ3" s="21"/>
      <c r="AGK3" s="21"/>
      <c r="AGL3" s="21"/>
      <c r="AGM3" s="21"/>
      <c r="AGN3" s="21"/>
      <c r="AGO3" s="21"/>
      <c r="AGP3" s="21"/>
      <c r="AGQ3" s="21"/>
      <c r="AGR3" s="21"/>
      <c r="AGS3" s="21"/>
      <c r="AGT3" s="21"/>
      <c r="AGU3" s="21"/>
      <c r="AGV3" s="21"/>
      <c r="AGW3" s="21"/>
      <c r="AGX3" s="21"/>
      <c r="AGY3" s="21"/>
      <c r="AGZ3" s="21"/>
      <c r="AHA3" s="21"/>
      <c r="AHB3" s="21"/>
      <c r="AHC3" s="21"/>
      <c r="AHD3" s="21"/>
      <c r="AHE3" s="21"/>
      <c r="AHF3" s="21"/>
      <c r="AHG3" s="21"/>
      <c r="AHH3" s="21"/>
      <c r="AHI3" s="21"/>
      <c r="AHJ3" s="21"/>
      <c r="AHK3" s="21"/>
      <c r="AHL3" s="21"/>
      <c r="AHM3" s="21"/>
      <c r="AHN3" s="21"/>
      <c r="AHO3" s="21"/>
      <c r="AHP3" s="21"/>
      <c r="AHQ3" s="21"/>
      <c r="AHR3" s="21"/>
      <c r="AHS3" s="21"/>
      <c r="AHT3" s="21"/>
      <c r="AHU3" s="21"/>
      <c r="AHV3" s="21"/>
      <c r="AHW3" s="21"/>
      <c r="AHX3" s="21"/>
      <c r="AHY3" s="21"/>
      <c r="AHZ3" s="21"/>
      <c r="AIA3" s="21"/>
      <c r="AIB3" s="21"/>
      <c r="AIC3" s="21"/>
      <c r="AID3" s="21"/>
      <c r="AIE3" s="21"/>
      <c r="AIF3" s="21"/>
      <c r="AIG3" s="21"/>
      <c r="AIH3" s="21"/>
      <c r="AII3" s="21"/>
      <c r="AIJ3" s="21"/>
      <c r="AIK3" s="21"/>
      <c r="AIL3" s="21"/>
      <c r="AIM3" s="21"/>
      <c r="AIN3" s="21"/>
      <c r="AIO3" s="21"/>
      <c r="AIP3" s="21"/>
      <c r="AIQ3" s="21"/>
      <c r="AIR3" s="21"/>
      <c r="AIS3" s="21"/>
      <c r="AIT3" s="21"/>
      <c r="AIU3" s="21"/>
      <c r="AIV3" s="21"/>
      <c r="AIW3" s="21"/>
      <c r="AIX3" s="21"/>
      <c r="AIY3" s="21"/>
      <c r="AIZ3" s="21"/>
      <c r="AJA3" s="21"/>
      <c r="AJB3" s="21"/>
      <c r="AJC3" s="21"/>
      <c r="AJD3" s="21"/>
      <c r="AJE3" s="21"/>
      <c r="AJF3" s="21"/>
      <c r="AJG3" s="21"/>
      <c r="AJH3" s="21"/>
      <c r="AJI3" s="21"/>
      <c r="AJJ3" s="21"/>
      <c r="AJK3" s="21"/>
      <c r="AJL3" s="21"/>
      <c r="AJM3" s="21"/>
      <c r="AJN3" s="21"/>
      <c r="AJO3" s="21"/>
      <c r="AJP3" s="21"/>
      <c r="AJQ3" s="21"/>
      <c r="AJR3" s="21"/>
      <c r="AJS3" s="21"/>
      <c r="AJT3" s="21"/>
      <c r="AJU3" s="21"/>
      <c r="AJV3" s="21"/>
      <c r="AJW3" s="21"/>
      <c r="AJX3" s="21"/>
      <c r="AJY3" s="21"/>
      <c r="AJZ3" s="21"/>
      <c r="AKA3" s="21"/>
      <c r="AKB3" s="21"/>
      <c r="AKC3" s="21"/>
      <c r="AKD3" s="21"/>
      <c r="AKE3" s="21"/>
      <c r="AKF3" s="21"/>
      <c r="AKG3" s="21"/>
      <c r="AKH3" s="21"/>
      <c r="AKI3" s="21"/>
      <c r="AKJ3" s="21"/>
      <c r="AKK3" s="21"/>
      <c r="AKL3" s="21"/>
      <c r="AKM3" s="21"/>
      <c r="AKN3" s="21"/>
      <c r="AKO3" s="21"/>
      <c r="AKP3" s="21"/>
      <c r="AKQ3" s="21"/>
      <c r="AKR3" s="21"/>
      <c r="AKS3" s="21"/>
      <c r="AKT3" s="21"/>
      <c r="AKU3" s="21"/>
      <c r="AKV3" s="21"/>
      <c r="AKW3" s="21"/>
      <c r="AKX3" s="21"/>
      <c r="AKY3" s="21"/>
      <c r="AKZ3" s="21"/>
      <c r="ALA3" s="21"/>
      <c r="ALB3" s="21"/>
      <c r="ALC3" s="21"/>
      <c r="ALD3" s="21"/>
      <c r="ALE3" s="21"/>
      <c r="ALF3" s="21"/>
      <c r="ALG3" s="21"/>
      <c r="ALH3" s="21"/>
      <c r="ALI3" s="21"/>
      <c r="ALJ3" s="21"/>
      <c r="ALK3" s="21"/>
      <c r="ALL3" s="21"/>
      <c r="ALM3" s="21"/>
      <c r="ALN3" s="21"/>
      <c r="ALO3" s="21"/>
      <c r="ALP3" s="21"/>
      <c r="ALQ3" s="21"/>
      <c r="ALR3" s="21"/>
      <c r="ALS3" s="21"/>
      <c r="ALT3" s="21"/>
      <c r="ALU3" s="21"/>
      <c r="ALV3" s="21"/>
      <c r="ALW3" s="21"/>
      <c r="ALX3" s="21"/>
      <c r="ALY3" s="21"/>
      <c r="ALZ3" s="21"/>
      <c r="AMA3" s="21"/>
      <c r="AMB3" s="21"/>
      <c r="AMC3" s="21"/>
      <c r="AMD3" s="21"/>
      <c r="AME3" s="21"/>
      <c r="AMF3" s="21"/>
      <c r="AMG3" s="21"/>
      <c r="AMH3" s="21"/>
      <c r="AMI3" s="21"/>
      <c r="AMJ3" s="21"/>
      <c r="AMK3" s="21"/>
      <c r="AML3" s="21"/>
      <c r="AMM3" s="21"/>
      <c r="AMN3" s="21"/>
      <c r="AMO3" s="21"/>
      <c r="AMP3" s="21"/>
      <c r="AMQ3" s="21"/>
      <c r="AMR3" s="21"/>
      <c r="AMS3" s="21"/>
      <c r="AMT3" s="21"/>
      <c r="AMU3" s="21"/>
      <c r="AMV3" s="21"/>
      <c r="AMW3" s="21"/>
      <c r="AMX3" s="21"/>
      <c r="AMY3" s="21"/>
      <c r="AMZ3" s="21"/>
      <c r="ANA3" s="21"/>
      <c r="ANB3" s="21"/>
      <c r="ANC3" s="21"/>
      <c r="AND3" s="21"/>
      <c r="ANE3" s="21"/>
      <c r="ANF3" s="21"/>
      <c r="ANG3" s="21"/>
      <c r="ANH3" s="21"/>
      <c r="ANI3" s="21"/>
      <c r="ANJ3" s="21"/>
      <c r="ANK3" s="21"/>
      <c r="ANL3" s="21"/>
      <c r="ANM3" s="21"/>
      <c r="ANN3" s="21"/>
      <c r="ANO3" s="21"/>
      <c r="ANP3" s="21"/>
      <c r="ANQ3" s="21"/>
      <c r="ANR3" s="21"/>
      <c r="ANS3" s="21"/>
      <c r="ANT3" s="21"/>
      <c r="ANU3" s="21"/>
      <c r="ANV3" s="21"/>
      <c r="ANW3" s="21"/>
      <c r="ANX3" s="21"/>
      <c r="ANY3" s="21"/>
      <c r="ANZ3" s="21"/>
      <c r="AOA3" s="21"/>
      <c r="AOB3" s="21"/>
      <c r="AOC3" s="21"/>
      <c r="AOD3" s="21"/>
      <c r="AOE3" s="21"/>
      <c r="AOF3" s="21"/>
      <c r="AOG3" s="21"/>
      <c r="AOH3" s="21"/>
      <c r="AOI3" s="21"/>
      <c r="AOJ3" s="21"/>
      <c r="AOK3" s="21"/>
      <c r="AOL3" s="21"/>
      <c r="AOM3" s="21"/>
      <c r="AON3" s="21"/>
      <c r="AOO3" s="21"/>
      <c r="AOP3" s="21"/>
      <c r="AOQ3" s="21"/>
      <c r="AOR3" s="21"/>
      <c r="AOS3" s="21"/>
      <c r="AOT3" s="21"/>
      <c r="AOU3" s="21"/>
      <c r="AOV3" s="21"/>
      <c r="AOW3" s="21"/>
      <c r="AOX3" s="21"/>
      <c r="AOY3" s="21"/>
      <c r="AOZ3" s="21"/>
      <c r="APA3" s="21"/>
      <c r="APB3" s="21"/>
      <c r="APC3" s="21"/>
      <c r="APD3" s="21"/>
      <c r="APE3" s="21"/>
      <c r="APF3" s="21"/>
      <c r="APG3" s="21"/>
      <c r="APH3" s="21"/>
      <c r="API3" s="21"/>
      <c r="APJ3" s="21"/>
      <c r="APK3" s="21"/>
      <c r="APL3" s="21"/>
      <c r="APM3" s="21"/>
      <c r="APN3" s="21"/>
      <c r="APO3" s="21"/>
      <c r="APP3" s="21"/>
      <c r="APQ3" s="21"/>
      <c r="APR3" s="21"/>
      <c r="APS3" s="21"/>
      <c r="APT3" s="21"/>
      <c r="APU3" s="21"/>
      <c r="APV3" s="21"/>
      <c r="APW3" s="21"/>
      <c r="APX3" s="21"/>
      <c r="APY3" s="21"/>
      <c r="APZ3" s="21"/>
      <c r="AQA3" s="21"/>
      <c r="AQB3" s="21"/>
      <c r="AQC3" s="21"/>
      <c r="AQD3" s="21"/>
      <c r="AQE3" s="21"/>
      <c r="AQF3" s="21"/>
      <c r="AQG3" s="21"/>
      <c r="AQH3" s="21"/>
      <c r="AQI3" s="21"/>
      <c r="AQJ3" s="21"/>
      <c r="AQK3" s="21"/>
      <c r="AQL3" s="21"/>
      <c r="AQM3" s="21"/>
      <c r="AQN3" s="21"/>
      <c r="AQO3" s="21"/>
      <c r="AQP3" s="21"/>
      <c r="AQQ3" s="21"/>
      <c r="AQR3" s="21"/>
      <c r="AQS3" s="21"/>
      <c r="AQT3" s="21"/>
      <c r="AQU3" s="21"/>
      <c r="AQV3" s="21"/>
      <c r="AQW3" s="21"/>
      <c r="AQX3" s="21"/>
      <c r="AQY3" s="21"/>
      <c r="AQZ3" s="21"/>
      <c r="ARA3" s="21"/>
      <c r="ARB3" s="21"/>
      <c r="ARC3" s="21"/>
      <c r="ARD3" s="21"/>
      <c r="ARE3" s="21"/>
      <c r="ARF3" s="21"/>
      <c r="ARG3" s="21"/>
      <c r="ARH3" s="21"/>
      <c r="ARI3" s="21"/>
      <c r="ARJ3" s="21"/>
      <c r="ARK3" s="21"/>
      <c r="ARL3" s="21"/>
      <c r="ARM3" s="21"/>
      <c r="ARN3" s="21"/>
      <c r="ARO3" s="21"/>
      <c r="ARP3" s="21"/>
      <c r="ARQ3" s="21"/>
      <c r="ARR3" s="21"/>
      <c r="ARS3" s="21"/>
      <c r="ART3" s="21"/>
      <c r="ARU3" s="21"/>
      <c r="ARV3" s="21"/>
      <c r="ARW3" s="21"/>
      <c r="ARX3" s="21"/>
      <c r="ARY3" s="21"/>
      <c r="ARZ3" s="21"/>
      <c r="ASA3" s="21"/>
      <c r="ASB3" s="21"/>
      <c r="ASC3" s="21"/>
      <c r="ASD3" s="21"/>
      <c r="ASE3" s="21"/>
      <c r="ASF3" s="21"/>
      <c r="ASG3" s="21"/>
      <c r="ASH3" s="21"/>
      <c r="ASI3" s="21"/>
      <c r="ASJ3" s="21"/>
      <c r="ASK3" s="21"/>
      <c r="ASL3" s="21"/>
      <c r="ASM3" s="21"/>
      <c r="ASN3" s="21"/>
      <c r="ASO3" s="21"/>
      <c r="ASP3" s="21"/>
      <c r="ASQ3" s="21"/>
      <c r="ASR3" s="21"/>
      <c r="ASS3" s="21"/>
      <c r="AST3" s="21"/>
      <c r="ASU3" s="21"/>
      <c r="ASV3" s="21"/>
      <c r="ASW3" s="21"/>
      <c r="ASX3" s="21"/>
      <c r="ASY3" s="21"/>
      <c r="ASZ3" s="21"/>
      <c r="ATA3" s="21"/>
      <c r="ATB3" s="21"/>
      <c r="ATC3" s="21"/>
      <c r="ATD3" s="21"/>
      <c r="ATE3" s="21"/>
      <c r="ATF3" s="21"/>
      <c r="ATG3" s="21"/>
      <c r="ATH3" s="21"/>
      <c r="ATI3" s="21"/>
      <c r="ATJ3" s="21"/>
      <c r="ATK3" s="21"/>
      <c r="ATL3" s="21"/>
      <c r="ATM3" s="21"/>
      <c r="ATN3" s="21"/>
      <c r="ATO3" s="21"/>
      <c r="ATP3" s="21"/>
      <c r="ATQ3" s="21"/>
      <c r="ATR3" s="21"/>
      <c r="ATS3" s="21"/>
      <c r="ATT3" s="21"/>
      <c r="ATU3" s="21"/>
      <c r="ATV3" s="21"/>
      <c r="ATW3" s="21"/>
      <c r="ATX3" s="21"/>
      <c r="ATY3" s="21"/>
      <c r="ATZ3" s="21"/>
      <c r="AUA3" s="21"/>
      <c r="AUB3" s="21"/>
      <c r="AUC3" s="21"/>
      <c r="AUD3" s="21"/>
      <c r="AUE3" s="21"/>
      <c r="AUF3" s="21"/>
      <c r="AUG3" s="21"/>
      <c r="AUH3" s="21"/>
      <c r="AUI3" s="21"/>
      <c r="AUJ3" s="21"/>
      <c r="AUK3" s="21"/>
      <c r="AUL3" s="21"/>
      <c r="AUM3" s="21"/>
      <c r="AUN3" s="21"/>
      <c r="AUO3" s="21"/>
      <c r="AUP3" s="21"/>
      <c r="AUQ3" s="21"/>
      <c r="AUR3" s="21"/>
      <c r="AUS3" s="21"/>
      <c r="AUT3" s="21"/>
      <c r="AUU3" s="21"/>
      <c r="AUV3" s="21"/>
      <c r="AUW3" s="21"/>
      <c r="AUX3" s="21"/>
      <c r="AUY3" s="21"/>
      <c r="AUZ3" s="21"/>
      <c r="AVA3" s="21"/>
      <c r="AVB3" s="21"/>
      <c r="AVC3" s="21"/>
      <c r="AVD3" s="21"/>
      <c r="AVE3" s="21"/>
      <c r="AVF3" s="21"/>
      <c r="AVG3" s="21"/>
      <c r="AVH3" s="21"/>
      <c r="AVI3" s="21"/>
      <c r="AVJ3" s="21"/>
      <c r="AVK3" s="21"/>
      <c r="AVL3" s="21"/>
      <c r="AVM3" s="21"/>
      <c r="AVN3" s="21"/>
      <c r="AVO3" s="21"/>
      <c r="AVP3" s="21"/>
      <c r="AVQ3" s="21"/>
      <c r="AVR3" s="21"/>
      <c r="AVS3" s="21"/>
      <c r="AVT3" s="21"/>
      <c r="AVU3" s="21"/>
      <c r="AVV3" s="21"/>
      <c r="AVW3" s="21"/>
      <c r="AVX3" s="21"/>
      <c r="AVY3" s="21"/>
      <c r="AVZ3" s="21"/>
      <c r="AWA3" s="21"/>
      <c r="AWB3" s="21"/>
      <c r="AWC3" s="21"/>
      <c r="AWD3" s="21"/>
      <c r="AWE3" s="21"/>
      <c r="AWF3" s="21"/>
      <c r="AWG3" s="21"/>
      <c r="AWH3" s="21"/>
      <c r="AWI3" s="21"/>
      <c r="AWJ3" s="21"/>
      <c r="AWK3" s="21"/>
      <c r="AWL3" s="21"/>
      <c r="AWM3" s="21"/>
      <c r="AWN3" s="21"/>
      <c r="AWO3" s="21"/>
      <c r="AWP3" s="21"/>
      <c r="AWQ3" s="21"/>
      <c r="AWR3" s="21"/>
      <c r="AWS3" s="21"/>
      <c r="AWT3" s="21"/>
      <c r="AWU3" s="21"/>
      <c r="AWV3" s="21"/>
      <c r="AWW3" s="21"/>
      <c r="AWX3" s="21"/>
      <c r="AWY3" s="21"/>
      <c r="AWZ3" s="21"/>
      <c r="AXA3" s="21"/>
      <c r="AXB3" s="21"/>
      <c r="AXC3" s="21"/>
      <c r="AXD3" s="21"/>
      <c r="AXE3" s="21"/>
      <c r="AXF3" s="21"/>
      <c r="AXG3" s="21"/>
      <c r="AXH3" s="21"/>
      <c r="AXI3" s="21"/>
      <c r="AXJ3" s="21"/>
      <c r="AXK3" s="21"/>
      <c r="AXL3" s="21"/>
      <c r="AXM3" s="21"/>
      <c r="AXN3" s="21"/>
      <c r="AXO3" s="21"/>
      <c r="AXP3" s="21"/>
      <c r="AXQ3" s="21"/>
      <c r="AXR3" s="21"/>
      <c r="AXS3" s="21"/>
      <c r="AXT3" s="21"/>
      <c r="AXU3" s="21"/>
      <c r="AXV3" s="21"/>
      <c r="AXW3" s="21"/>
      <c r="AXX3" s="21"/>
      <c r="AXY3" s="21"/>
      <c r="AXZ3" s="21"/>
      <c r="AYA3" s="21"/>
      <c r="AYB3" s="21"/>
      <c r="AYC3" s="21"/>
      <c r="AYD3" s="21"/>
      <c r="AYE3" s="21"/>
      <c r="AYF3" s="21"/>
      <c r="AYG3" s="21"/>
      <c r="AYH3" s="21"/>
      <c r="AYI3" s="21"/>
      <c r="AYJ3" s="21"/>
      <c r="AYK3" s="21"/>
      <c r="AYL3" s="21"/>
      <c r="AYM3" s="21"/>
      <c r="AYN3" s="21"/>
      <c r="AYO3" s="21"/>
      <c r="AYP3" s="21"/>
      <c r="AYQ3" s="21"/>
      <c r="AYR3" s="21"/>
      <c r="AYS3" s="21"/>
      <c r="AYT3" s="21"/>
      <c r="AYU3" s="21"/>
      <c r="AYV3" s="21"/>
      <c r="AYW3" s="21"/>
      <c r="AYX3" s="21"/>
      <c r="AYY3" s="21"/>
      <c r="AYZ3" s="21"/>
      <c r="AZA3" s="21"/>
      <c r="AZB3" s="21"/>
      <c r="AZC3" s="21"/>
      <c r="AZD3" s="21"/>
      <c r="AZE3" s="21"/>
      <c r="AZF3" s="21"/>
      <c r="AZG3" s="21"/>
      <c r="AZH3" s="21"/>
      <c r="AZI3" s="21"/>
      <c r="AZJ3" s="21"/>
      <c r="AZK3" s="21"/>
      <c r="AZL3" s="21"/>
      <c r="AZM3" s="21"/>
      <c r="AZN3" s="21"/>
      <c r="AZO3" s="21"/>
      <c r="AZP3" s="21"/>
      <c r="AZQ3" s="21"/>
      <c r="AZR3" s="21"/>
      <c r="AZS3" s="21"/>
      <c r="AZT3" s="21"/>
      <c r="AZU3" s="21"/>
      <c r="AZV3" s="21"/>
      <c r="AZW3" s="21"/>
      <c r="AZX3" s="21"/>
      <c r="AZY3" s="21"/>
      <c r="AZZ3" s="21"/>
      <c r="BAA3" s="21"/>
      <c r="BAB3" s="21"/>
      <c r="BAC3" s="21"/>
      <c r="BAD3" s="21"/>
      <c r="BAE3" s="21"/>
      <c r="BAF3" s="21"/>
      <c r="BAG3" s="21"/>
      <c r="BAH3" s="21"/>
      <c r="BAI3" s="21"/>
      <c r="BAJ3" s="21"/>
      <c r="BAK3" s="21"/>
      <c r="BAL3" s="21"/>
      <c r="BAM3" s="21"/>
      <c r="BAN3" s="21"/>
      <c r="BAO3" s="21"/>
      <c r="BAP3" s="21"/>
      <c r="BAQ3" s="21"/>
      <c r="BAR3" s="21"/>
      <c r="BAS3" s="21"/>
      <c r="BAT3" s="21"/>
      <c r="BAU3" s="21"/>
      <c r="BAV3" s="21"/>
      <c r="BAW3" s="21"/>
      <c r="BAX3" s="21"/>
      <c r="BAY3" s="21"/>
      <c r="BAZ3" s="21"/>
      <c r="BBA3" s="21"/>
      <c r="BBB3" s="21"/>
      <c r="BBC3" s="21"/>
      <c r="BBD3" s="21"/>
      <c r="BBE3" s="21"/>
      <c r="BBF3" s="21"/>
      <c r="BBG3" s="21"/>
      <c r="BBH3" s="21"/>
      <c r="BBI3" s="21"/>
      <c r="BBJ3" s="21"/>
      <c r="BBK3" s="21"/>
      <c r="BBL3" s="21"/>
      <c r="BBM3" s="21"/>
      <c r="BBN3" s="21"/>
      <c r="BBO3" s="21"/>
      <c r="BBP3" s="21"/>
      <c r="BBQ3" s="21"/>
      <c r="BBR3" s="21"/>
      <c r="BBS3" s="21"/>
      <c r="BBT3" s="21"/>
      <c r="BBU3" s="21"/>
      <c r="BBV3" s="21"/>
      <c r="BBW3" s="21"/>
      <c r="BBX3" s="21"/>
      <c r="BBY3" s="21"/>
      <c r="BBZ3" s="21"/>
      <c r="BCA3" s="21"/>
      <c r="BCB3" s="21"/>
      <c r="BCC3" s="21"/>
      <c r="BCD3" s="21"/>
      <c r="BCE3" s="21"/>
      <c r="BCF3" s="21"/>
      <c r="BCG3" s="21"/>
      <c r="BCH3" s="21"/>
      <c r="BCI3" s="21"/>
      <c r="BCJ3" s="21"/>
      <c r="BCK3" s="21"/>
      <c r="BCL3" s="21"/>
      <c r="BCM3" s="21"/>
      <c r="BCN3" s="21"/>
      <c r="BCO3" s="21"/>
      <c r="BCP3" s="21"/>
      <c r="BCQ3" s="21"/>
      <c r="BCR3" s="21"/>
      <c r="BCS3" s="21"/>
      <c r="BCT3" s="21"/>
      <c r="BCU3" s="21"/>
      <c r="BCV3" s="21"/>
      <c r="BCW3" s="21"/>
      <c r="BCX3" s="21"/>
      <c r="BCY3" s="21"/>
      <c r="BCZ3" s="21"/>
      <c r="BDA3" s="21"/>
      <c r="BDB3" s="21"/>
      <c r="BDC3" s="21"/>
      <c r="BDD3" s="21"/>
      <c r="BDE3" s="21"/>
      <c r="BDF3" s="21"/>
      <c r="BDG3" s="21"/>
      <c r="BDH3" s="21"/>
      <c r="BDI3" s="21"/>
      <c r="BDJ3" s="21"/>
      <c r="BDK3" s="21"/>
      <c r="BDL3" s="21"/>
      <c r="BDM3" s="21"/>
      <c r="BDN3" s="21"/>
      <c r="BDO3" s="21"/>
      <c r="BDP3" s="21"/>
      <c r="BDQ3" s="21"/>
      <c r="BDR3" s="21"/>
      <c r="BDS3" s="21"/>
      <c r="BDT3" s="21"/>
      <c r="BDU3" s="21"/>
      <c r="BDV3" s="21"/>
      <c r="BDW3" s="21"/>
      <c r="BDX3" s="21"/>
      <c r="BDY3" s="21"/>
      <c r="BDZ3" s="21"/>
      <c r="BEA3" s="21"/>
    </row>
    <row r="4" spans="1:1483" x14ac:dyDescent="0.25">
      <c r="A4" s="13"/>
      <c r="B4" s="13"/>
      <c r="C4" s="13"/>
      <c r="D4" s="16"/>
      <c r="E4" s="14"/>
      <c r="F4" s="13"/>
      <c r="G4" s="17" t="s">
        <v>6</v>
      </c>
      <c r="H4" s="13" t="str">
        <f>VLOOKUP($G4,'Visu totale'!$D$3:$DT$129,H$1,0)</f>
        <v>NANCY_D</v>
      </c>
      <c r="I4" s="13" t="str">
        <f>VLOOKUP($G4,'Visu totale'!$D$3:$DT$129,I$1,0)</f>
        <v>NANCY_D</v>
      </c>
      <c r="J4" s="13" t="str">
        <f>VLOOKUP($G4,'Visu totale'!$D$3:$DT$129,J$1,0)</f>
        <v>NANCY_D</v>
      </c>
      <c r="K4" s="13" t="str">
        <f>VLOOKUP($G4,'Visu totale'!$D$3:$DT$129,K$1,0)</f>
        <v>V30</v>
      </c>
      <c r="L4" s="13" t="str">
        <f>VLOOKUP($G4,'Visu totale'!$D$3:$DT$129,L$1,0)</f>
        <v>V30</v>
      </c>
      <c r="M4" s="13" t="str">
        <f>VLOOKUP($G4,'Visu totale'!$D$3:$DT$129,M$1,0)</f>
        <v>V30</v>
      </c>
      <c r="N4" s="13" t="str">
        <f>VLOOKUP($G4,'Visu totale'!$D$3:$DT$129,N$1,0)</f>
        <v>V30</v>
      </c>
      <c r="O4" s="13" t="str">
        <f>VLOOKUP($G4,'Visu totale'!$D$3:$DT$129,O$1,0)</f>
        <v>V30</v>
      </c>
      <c r="P4" s="13" t="str">
        <f>VLOOKUP($G4,'Visu totale'!$D$3:$DT$129,P$1,0)</f>
        <v>V30</v>
      </c>
      <c r="Q4" s="13">
        <f>VLOOKUP($G4,'Visu totale'!$D$3:$DT$129,Q$1,0)</f>
        <v>18</v>
      </c>
      <c r="R4" s="15">
        <f>VLOOKUP($G4,'Visu totale'!$D$3:$DT$129,R$1,0)</f>
        <v>18</v>
      </c>
      <c r="S4" s="14" t="str">
        <f>VLOOKUP($G4,'Visu totale'!$D$3:$DT$129,S$1,0)</f>
        <v>NANCY_D</v>
      </c>
      <c r="T4" s="13" t="str">
        <f>VLOOKUP($G4,'Visu totale'!$D$3:$DT$129,T$1,0)</f>
        <v>NANCY_D</v>
      </c>
      <c r="U4" s="13" t="str">
        <f>VLOOKUP($G4,'Visu totale'!$D$3:$DT$129,U$1,0)</f>
        <v>NANCY_D</v>
      </c>
      <c r="V4" s="13" t="str">
        <f>VLOOKUP($G4,'Visu totale'!$D$3:$DT$129,V$1,0)</f>
        <v>NANCY_D</v>
      </c>
      <c r="W4" s="13">
        <f>VLOOKUP($G4,'Visu totale'!$D$3:$DT$129,W$1,0)</f>
        <v>18</v>
      </c>
      <c r="X4" s="13">
        <f>VLOOKUP($G4,'Visu totale'!$D$3:$DT$129,X$1,0)</f>
        <v>18</v>
      </c>
      <c r="Y4" s="13" t="str">
        <f>VLOOKUP($G4,'Visu totale'!$D$3:$DT$129,Y$1,0)</f>
        <v>NANCY_D</v>
      </c>
      <c r="Z4" s="13" t="str">
        <f>VLOOKUP($G4,'Visu totale'!$D$3:$DT$129,Z$1,0)</f>
        <v>NANCY_D</v>
      </c>
      <c r="AA4" s="13" t="str">
        <f>VLOOKUP($G4,'Visu totale'!$D$3:$DT$129,AA$1,0)</f>
        <v>NANCY_D</v>
      </c>
      <c r="AB4" s="13" t="str">
        <f>VLOOKUP($G4,'Visu totale'!$D$3:$DT$129,AB$1,0)</f>
        <v>NANCY_D</v>
      </c>
      <c r="AC4" s="13">
        <f>VLOOKUP($G4,'Visu totale'!$D$3:$DT$129,AC$1,0)</f>
        <v>18</v>
      </c>
      <c r="AD4" s="15">
        <f>VLOOKUP($G4,'Visu totale'!$D$3:$DT$129,AD$1,0)</f>
        <v>18</v>
      </c>
      <c r="AE4" s="14" t="str">
        <f>VLOOKUP($G4,'Visu totale'!$D$3:$DT$129,AE$1,0)</f>
        <v>NANCY_D</v>
      </c>
      <c r="AF4" s="13" t="str">
        <f>VLOOKUP($G4,'Visu totale'!$D$3:$DT$129,AF$1,0)</f>
        <v>NANCY_D</v>
      </c>
      <c r="AG4" s="13" t="str">
        <f>VLOOKUP($G4,'Visu totale'!$D$3:$DT$129,AG$1,0)</f>
        <v>NANCY_D</v>
      </c>
      <c r="AH4" s="13" t="str">
        <f>VLOOKUP($G4,'Visu totale'!$D$3:$DT$129,AH$1,0)</f>
        <v>NANCY_D</v>
      </c>
      <c r="AI4" s="13">
        <f>VLOOKUP($G4,'Visu totale'!$D$3:$DT$129,AI$1,0)</f>
        <v>18</v>
      </c>
      <c r="AJ4" s="13">
        <f>VLOOKUP($G4,'Visu totale'!$D$3:$DT$129,AJ$1,0)</f>
        <v>18</v>
      </c>
      <c r="AK4" s="13" t="str">
        <f>VLOOKUP($G4,'Visu totale'!$D$3:$DT$129,AK$1,0)</f>
        <v>NANCY_D</v>
      </c>
      <c r="AL4" s="13" t="str">
        <f>VLOOKUP($G4,'Visu totale'!$D$3:$DT$129,AL$1,0)</f>
        <v>NANCY_D</v>
      </c>
      <c r="AM4" s="13" t="str">
        <f>VLOOKUP($G4,'Visu totale'!$D$3:$DT$129,AM$1,0)</f>
        <v>NANCY_D</v>
      </c>
      <c r="AN4" s="13" t="str">
        <f>VLOOKUP($G4,'Visu totale'!$D$3:$DT$129,AN$1,0)</f>
        <v>NANCY_D</v>
      </c>
      <c r="AO4" s="13">
        <f>VLOOKUP($G4,'Visu totale'!$D$3:$DT$129,AO$1,0)</f>
        <v>18</v>
      </c>
      <c r="AP4" s="15">
        <f>VLOOKUP($G4,'Visu totale'!$D$3:$DT$129,AP$1,0)</f>
        <v>18</v>
      </c>
      <c r="AQ4" s="14" t="str">
        <f>VLOOKUP($G4,'Visu totale'!$D$3:$DT$129,AQ$1,0)</f>
        <v>NANCY_D</v>
      </c>
      <c r="AR4" s="13" t="str">
        <f>VLOOKUP($G4,'Visu totale'!$D$3:$DT$129,AR$1,0)</f>
        <v>NANCY_D</v>
      </c>
      <c r="AS4" s="13" t="str">
        <f>VLOOKUP($G4,'Visu totale'!$D$3:$DT$129,AS$1,0)</f>
        <v>NANCY_D</v>
      </c>
      <c r="AT4" s="13" t="str">
        <f>VLOOKUP($G4,'Visu totale'!$D$3:$DT$129,AT$1,0)</f>
        <v>NANCY_D</v>
      </c>
      <c r="AU4" s="13">
        <f>VLOOKUP($G4,'Visu totale'!$D$3:$DT$129,AU$1,0)</f>
        <v>18</v>
      </c>
      <c r="AV4" s="13">
        <f>VLOOKUP($G4,'Visu totale'!$D$3:$DT$129,AV$1,0)</f>
        <v>18</v>
      </c>
      <c r="AW4" s="13" t="str">
        <f>VLOOKUP($G4,'Visu totale'!$D$3:$DT$129,AW$1,0)</f>
        <v>NANCY_D</v>
      </c>
      <c r="AX4" s="13" t="str">
        <f>VLOOKUP($G4,'Visu totale'!$D$3:$DT$129,AX$1,0)</f>
        <v>NANCY_D</v>
      </c>
      <c r="AY4" s="13" t="str">
        <f>VLOOKUP($G4,'Visu totale'!$D$3:$DT$129,AY$1,0)</f>
        <v>NANCY_D</v>
      </c>
      <c r="AZ4" s="13" t="str">
        <f>VLOOKUP($G4,'Visu totale'!$D$3:$DT$129,AZ$1,0)</f>
        <v>NANCY_D</v>
      </c>
      <c r="BA4" s="13">
        <f>VLOOKUP($G4,'Visu totale'!$D$3:$DT$129,BA$1,0)</f>
        <v>18</v>
      </c>
      <c r="BB4" s="15">
        <f>VLOOKUP($G4,'Visu totale'!$D$3:$DT$129,BB$1,0)</f>
        <v>18</v>
      </c>
      <c r="BC4" s="14" t="str">
        <f>VLOOKUP($G4,'Visu totale'!$D$3:$DT$129,BC$1,0)</f>
        <v>NANCY_D</v>
      </c>
      <c r="BD4" s="13" t="str">
        <f>VLOOKUP($G4,'Visu totale'!$D$3:$DT$129,BD$1,0)</f>
        <v>NANCY_D</v>
      </c>
      <c r="BE4" s="13" t="str">
        <f>VLOOKUP($G4,'Visu totale'!$D$3:$DT$129,BE$1,0)</f>
        <v>NANCY_D</v>
      </c>
      <c r="BF4" s="13" t="str">
        <f>VLOOKUP($G4,'Visu totale'!$D$3:$DT$129,BF$1,0)</f>
        <v>NANCY_D</v>
      </c>
      <c r="BG4" s="13">
        <f>VLOOKUP($G4,'Visu totale'!$D$3:$DT$129,BG$1,0)</f>
        <v>18</v>
      </c>
      <c r="BH4" s="13">
        <f>VLOOKUP($G4,'Visu totale'!$D$3:$DT$129,BH$1,0)</f>
        <v>18</v>
      </c>
      <c r="BI4" s="13" t="str">
        <f>VLOOKUP($G4,'Visu totale'!$D$3:$DT$129,BI$1,0)</f>
        <v>NANCY_D</v>
      </c>
      <c r="BJ4" s="13" t="str">
        <f>VLOOKUP($G4,'Visu totale'!$D$3:$DT$129,BJ$1,0)</f>
        <v>NANCY_D</v>
      </c>
      <c r="BK4" s="13" t="str">
        <f>VLOOKUP($G4,'Visu totale'!$D$3:$DT$129,BK$1,0)</f>
        <v>NANCY_D</v>
      </c>
      <c r="BL4" s="13" t="str">
        <f>VLOOKUP($G4,'Visu totale'!$D$3:$DT$129,BL$1,0)</f>
        <v>NANCY_D</v>
      </c>
      <c r="BM4" s="13" t="str">
        <f>VLOOKUP($G4,'Visu totale'!$D$3:$DT$129,BM$1,0)</f>
        <v>V5</v>
      </c>
      <c r="BN4" s="15" t="str">
        <f>VLOOKUP($G4,'Visu totale'!$D$3:$DT$129,BN$1,0)</f>
        <v>V5</v>
      </c>
      <c r="BO4" s="14">
        <f>VLOOKUP($G4,'Visu totale'!$D$3:$DT$129,BO$1,0)</f>
        <v>0</v>
      </c>
      <c r="BP4" s="13">
        <f>VLOOKUP($G4,'Visu totale'!$D$3:$DT$129,BP$1,0)</f>
        <v>0</v>
      </c>
      <c r="BQ4" s="13">
        <f>VLOOKUP($G4,'Visu totale'!$D$3:$DT$129,BQ$1,0)</f>
        <v>0</v>
      </c>
      <c r="BR4" s="13">
        <f>VLOOKUP($G4,'Visu totale'!$D$3:$DT$129,BR$1,0)</f>
        <v>0</v>
      </c>
      <c r="BS4" s="13">
        <f>VLOOKUP($G4,'Visu totale'!$D$3:$DT$129,BS$1,0)</f>
        <v>0</v>
      </c>
      <c r="BT4" s="13">
        <f>VLOOKUP($G4,'Visu totale'!$D$3:$DT$129,BT$1,0)</f>
        <v>0</v>
      </c>
      <c r="BU4" s="13">
        <f>VLOOKUP($G4,'Visu totale'!$D$3:$DT$129,BU$1,0)</f>
        <v>0</v>
      </c>
      <c r="BV4" s="13" t="str">
        <f>VLOOKUP($G4,'Visu totale'!$D$3:$DT$129,BV$1,0)</f>
        <v>V15</v>
      </c>
      <c r="BW4" s="13" t="str">
        <f>VLOOKUP($G4,'Visu totale'!$D$3:$DT$129,BW$1,0)</f>
        <v>V15</v>
      </c>
      <c r="BX4" s="13" t="str">
        <f>VLOOKUP($G4,'Visu totale'!$D$3:$DT$129,BX$1,0)</f>
        <v>V15</v>
      </c>
      <c r="BY4" s="13" t="str">
        <f>VLOOKUP($G4,'Visu totale'!$D$3:$DT$129,BY$1,0)</f>
        <v>V15</v>
      </c>
      <c r="BZ4" s="15" t="str">
        <f>VLOOKUP($G4,'Visu totale'!$D$3:$DT$129,BZ$1,0)</f>
        <v>V15</v>
      </c>
      <c r="CA4" s="14" t="str">
        <f>VLOOKUP($G4,'Visu totale'!$D$3:$DT$129,CA$1,0)</f>
        <v>V15</v>
      </c>
      <c r="CB4" s="13">
        <f>VLOOKUP($G4,'Visu totale'!$D$3:$DT$129,CB$1,0)</f>
        <v>18</v>
      </c>
      <c r="CC4" s="13">
        <f>VLOOKUP($G4,'Visu totale'!$D$3:$DT$129,CC$1,0)</f>
        <v>18</v>
      </c>
      <c r="CD4" s="13" t="str">
        <f>VLOOKUP($G4,'Visu totale'!$D$3:$DT$129,CD$1,0)</f>
        <v>NANCY_D</v>
      </c>
      <c r="CE4" s="13" t="str">
        <f>VLOOKUP($G4,'Visu totale'!$D$3:$DT$129,CE$1,0)</f>
        <v>NANCY_D</v>
      </c>
      <c r="CF4" s="13" t="str">
        <f>VLOOKUP($G4,'Visu totale'!$D$3:$DT$129,CF$1,0)</f>
        <v>NANCY_D</v>
      </c>
      <c r="CG4" s="13" t="str">
        <f>VLOOKUP($G4,'Visu totale'!$D$3:$DT$129,CG$1,0)</f>
        <v>NANCY_D</v>
      </c>
      <c r="CH4" s="13">
        <f>VLOOKUP($G4,'Visu totale'!$D$3:$DT$129,CH$1,0)</f>
        <v>18</v>
      </c>
      <c r="CI4" s="13">
        <f>VLOOKUP($G4,'Visu totale'!$D$3:$DT$129,CI$1,0)</f>
        <v>18</v>
      </c>
      <c r="CJ4" s="13" t="str">
        <f>VLOOKUP($G4,'Visu totale'!$D$3:$DT$129,CJ$1,0)</f>
        <v>NANCY_D</v>
      </c>
      <c r="CK4" s="13" t="str">
        <f>VLOOKUP($G4,'Visu totale'!$D$3:$DT$129,CK$1,0)</f>
        <v>NANCY_D</v>
      </c>
      <c r="CL4" s="15" t="str">
        <f>VLOOKUP($G4,'Visu totale'!$D$3:$DT$129,CL$1,0)</f>
        <v>NANCY_D</v>
      </c>
      <c r="CM4" s="14" t="str">
        <f>VLOOKUP($G4,'Visu totale'!$D$3:$DT$129,CM$1,0)</f>
        <v>NANCY_D</v>
      </c>
      <c r="CN4" s="13">
        <f>VLOOKUP($G4,'Visu totale'!$D$3:$DT$129,CN$1,0)</f>
        <v>18</v>
      </c>
      <c r="CO4" s="13">
        <f>VLOOKUP($G4,'Visu totale'!$D$3:$DT$129,CO$1,0)</f>
        <v>18</v>
      </c>
      <c r="CP4" s="13" t="str">
        <f>VLOOKUP($G4,'Visu totale'!$D$3:$DT$129,CP$1,0)</f>
        <v>NANCY_D</v>
      </c>
      <c r="CQ4" s="13" t="str">
        <f>VLOOKUP($G4,'Visu totale'!$D$3:$DT$129,CQ$1,0)</f>
        <v>NANCY_D</v>
      </c>
      <c r="CR4" s="13" t="str">
        <f>VLOOKUP($G4,'Visu totale'!$D$3:$DT$129,CR$1,0)</f>
        <v>NANCY_D</v>
      </c>
      <c r="CS4" s="13" t="str">
        <f>VLOOKUP($G4,'Visu totale'!$D$3:$DT$129,CS$1,0)</f>
        <v>NANCY_D</v>
      </c>
      <c r="CT4" s="13">
        <f>VLOOKUP($G4,'Visu totale'!$D$3:$DT$129,CT$1,0)</f>
        <v>18</v>
      </c>
      <c r="CU4" s="13">
        <f>VLOOKUP($G4,'Visu totale'!$D$3:$DT$129,CU$1,0)</f>
        <v>18</v>
      </c>
      <c r="CV4" s="13">
        <f>VLOOKUP($G4,'Visu totale'!$D$3:$DT$129,CV$1,0)</f>
        <v>18</v>
      </c>
      <c r="CW4" s="13">
        <f>VLOOKUP($G4,'Visu totale'!$D$3:$DT$129,CW$1,0)</f>
        <v>18</v>
      </c>
      <c r="CX4" s="15">
        <f>VLOOKUP($G4,'Visu totale'!$D$3:$DT$129,CX$1,0)</f>
        <v>18</v>
      </c>
      <c r="CY4" s="14">
        <f>VLOOKUP($G4,'Visu totale'!$D$3:$DT$129,CY$1,0)</f>
        <v>0</v>
      </c>
      <c r="CZ4" s="13">
        <f>VLOOKUP($G4,'Visu totale'!$D$3:$DT$129,CZ$1,0)</f>
        <v>0</v>
      </c>
      <c r="DA4" s="13">
        <f>VLOOKUP($G4,'Visu totale'!$D$3:$DT$129,DA$1,0)</f>
        <v>0</v>
      </c>
      <c r="DB4" s="13">
        <f>VLOOKUP($G4,'Visu totale'!$D$3:$DT$129,DB$1,0)</f>
        <v>0</v>
      </c>
      <c r="DC4" s="13">
        <f>VLOOKUP($G4,'Visu totale'!$D$3:$DT$129,DC$1,0)</f>
        <v>0</v>
      </c>
      <c r="DD4" s="13">
        <f>VLOOKUP($G4,'Visu totale'!$D$3:$DT$129,DD$1,0)</f>
        <v>0</v>
      </c>
      <c r="DE4" s="13">
        <f>VLOOKUP($G4,'Visu totale'!$D$3:$DT$129,DE$1,0)</f>
        <v>0</v>
      </c>
      <c r="DF4" s="13">
        <f>VLOOKUP($G4,'Visu totale'!$D$3:$DT$129,DF$1,0)</f>
        <v>0</v>
      </c>
      <c r="DG4" s="13">
        <f>VLOOKUP($G4,'Visu totale'!$D$3:$DT$129,DG$1,0)</f>
        <v>0</v>
      </c>
      <c r="DH4" s="13">
        <f>VLOOKUP($G4,'Visu totale'!$D$3:$DT$129,DH$1,0)</f>
        <v>0</v>
      </c>
      <c r="DI4" s="13">
        <f>VLOOKUP($G4,'Visu totale'!$D$3:$DT$129,DI$1,0)</f>
        <v>0</v>
      </c>
      <c r="DJ4" s="15">
        <f>VLOOKUP($G4,'Visu totale'!$D$3:$DT$129,DJ$1,0)</f>
        <v>0</v>
      </c>
      <c r="DK4" s="14">
        <f>VLOOKUP($G4,'Visu totale'!$D$3:$DT$129,DK$1,0)</f>
        <v>0</v>
      </c>
      <c r="DL4" s="13">
        <f>VLOOKUP($G4,'Visu totale'!$D$3:$DT$129,DL$1,0)</f>
        <v>0</v>
      </c>
      <c r="DM4" s="13">
        <f>VLOOKUP($G4,'Visu totale'!$D$3:$DT$129,DM$1,0)</f>
        <v>0</v>
      </c>
      <c r="DN4" s="13">
        <f>VLOOKUP($G4,'Visu totale'!$D$3:$DT$129,DN$1,0)</f>
        <v>0</v>
      </c>
      <c r="DO4" s="13">
        <f>VLOOKUP($G4,'Visu totale'!$D$3:$DT$129,DO$1,0)</f>
        <v>0</v>
      </c>
      <c r="DP4" s="13">
        <f>VLOOKUP($G4,'Visu totale'!$D$3:$DT$129,DP$1,0)</f>
        <v>0</v>
      </c>
      <c r="DQ4" s="13">
        <f>VLOOKUP($G4,'Visu totale'!$D$3:$DT$129,DQ$1,0)</f>
        <v>0</v>
      </c>
      <c r="DR4" s="13">
        <f>VLOOKUP($G4,'Visu totale'!$D$3:$DT$129,DR$1,0)</f>
        <v>0</v>
      </c>
      <c r="DS4" s="13">
        <f>VLOOKUP($G4,'Visu totale'!$D$3:$DT$129,DS$1,0)</f>
        <v>0</v>
      </c>
      <c r="DT4" s="13">
        <f>VLOOKUP($G4,'Visu totale'!$D$3:$DT$129,DT$1,0)</f>
        <v>0</v>
      </c>
      <c r="DU4" s="13">
        <f>VLOOKUP($G4,'Visu totale'!$D$3:$DT$129,DU$1,0)</f>
        <v>0</v>
      </c>
      <c r="DV4" s="15">
        <f>VLOOKUP($G4,'Visu totale'!$D$3:$DT$129,DV$1,0)</f>
        <v>0</v>
      </c>
    </row>
    <row r="5" spans="1:1483" x14ac:dyDescent="0.25">
      <c r="A5" s="13"/>
      <c r="B5" s="13"/>
      <c r="C5" s="13"/>
      <c r="D5" s="16"/>
      <c r="E5" s="14"/>
      <c r="F5" s="13"/>
      <c r="G5" s="17" t="s">
        <v>7</v>
      </c>
      <c r="H5" s="13" t="str">
        <f>VLOOKUP($G5,'Visu totale'!$D$3:$DT$129,H$1,0)</f>
        <v>NIAMEY_D</v>
      </c>
      <c r="I5" s="13" t="str">
        <f>VLOOKUP($G5,'Visu totale'!$D$3:$DT$129,I$1,0)</f>
        <v>NIAMEY_D</v>
      </c>
      <c r="J5" s="13" t="str">
        <f>VLOOKUP($G5,'Visu totale'!$D$3:$DT$129,J$1,0)</f>
        <v>NIAMEY_D</v>
      </c>
      <c r="K5" s="13" t="str">
        <f>VLOOKUP($G5,'Visu totale'!$D$3:$DT$129,K$1,0)</f>
        <v>V15</v>
      </c>
      <c r="L5" s="13" t="str">
        <f>VLOOKUP($G5,'Visu totale'!$D$3:$DT$129,L$1,0)</f>
        <v>V15</v>
      </c>
      <c r="M5" s="13" t="str">
        <f>VLOOKUP($G5,'Visu totale'!$D$3:$DT$129,M$1,0)</f>
        <v>V15</v>
      </c>
      <c r="N5" s="13" t="str">
        <f>VLOOKUP($G5,'Visu totale'!$D$3:$DT$129,N$1,0)</f>
        <v>V15</v>
      </c>
      <c r="O5" s="13" t="str">
        <f>VLOOKUP($G5,'Visu totale'!$D$3:$DT$129,O$1,0)</f>
        <v>V15</v>
      </c>
      <c r="P5" s="13" t="str">
        <f>VLOOKUP($G5,'Visu totale'!$D$3:$DT$129,P$1,0)</f>
        <v>V15</v>
      </c>
      <c r="Q5" s="13">
        <f>VLOOKUP($G5,'Visu totale'!$D$3:$DT$129,Q$1,0)</f>
        <v>18</v>
      </c>
      <c r="R5" s="15">
        <f>VLOOKUP($G5,'Visu totale'!$D$3:$DT$129,R$1,0)</f>
        <v>18</v>
      </c>
      <c r="S5" s="14" t="str">
        <f>VLOOKUP($G5,'Visu totale'!$D$3:$DT$129,S$1,0)</f>
        <v>CHAMMAL_D</v>
      </c>
      <c r="T5" s="13" t="str">
        <f>VLOOKUP($G5,'Visu totale'!$D$3:$DT$129,T$1,0)</f>
        <v>CHAMMAL_D</v>
      </c>
      <c r="U5" s="13" t="str">
        <f>VLOOKUP($G5,'Visu totale'!$D$3:$DT$129,U$1,0)</f>
        <v>CHAMMAL_D</v>
      </c>
      <c r="V5" s="13" t="str">
        <f>VLOOKUP($G5,'Visu totale'!$D$3:$DT$129,V$1,0)</f>
        <v>CHAMMAL_D</v>
      </c>
      <c r="W5" s="13">
        <f>VLOOKUP($G5,'Visu totale'!$D$3:$DT$129,W$1,0)</f>
        <v>18</v>
      </c>
      <c r="X5" s="13">
        <f>VLOOKUP($G5,'Visu totale'!$D$3:$DT$129,X$1,0)</f>
        <v>18</v>
      </c>
      <c r="Y5" s="13" t="str">
        <f>VLOOKUP($G5,'Visu totale'!$D$3:$DT$129,Y$1,0)</f>
        <v>CHAMMAL_D</v>
      </c>
      <c r="Z5" s="13" t="str">
        <f>VLOOKUP($G5,'Visu totale'!$D$3:$DT$129,Z$1,0)</f>
        <v>CHAMMAL_D</v>
      </c>
      <c r="AA5" s="13" t="str">
        <f>VLOOKUP($G5,'Visu totale'!$D$3:$DT$129,AA$1,0)</f>
        <v>CHAMMAL_D</v>
      </c>
      <c r="AB5" s="13" t="str">
        <f>VLOOKUP($G5,'Visu totale'!$D$3:$DT$129,AB$1,0)</f>
        <v>CHAMMAL_D</v>
      </c>
      <c r="AC5" s="13">
        <f>VLOOKUP($G5,'Visu totale'!$D$3:$DT$129,AC$1,0)</f>
        <v>18</v>
      </c>
      <c r="AD5" s="15">
        <f>VLOOKUP($G5,'Visu totale'!$D$3:$DT$129,AD$1,0)</f>
        <v>18</v>
      </c>
      <c r="AE5" s="14" t="str">
        <f>VLOOKUP($G5,'Visu totale'!$D$3:$DT$129,AE$1,0)</f>
        <v>NANCY_D</v>
      </c>
      <c r="AF5" s="13" t="str">
        <f>VLOOKUP($G5,'Visu totale'!$D$3:$DT$129,AF$1,0)</f>
        <v>NANCY_D</v>
      </c>
      <c r="AG5" s="13" t="str">
        <f>VLOOKUP($G5,'Visu totale'!$D$3:$DT$129,AG$1,0)</f>
        <v>NANCY_D</v>
      </c>
      <c r="AH5" s="13" t="str">
        <f>VLOOKUP($G5,'Visu totale'!$D$3:$DT$129,AH$1,0)</f>
        <v>NANCY_D</v>
      </c>
      <c r="AI5" s="13">
        <f>VLOOKUP($G5,'Visu totale'!$D$3:$DT$129,AI$1,0)</f>
        <v>18</v>
      </c>
      <c r="AJ5" s="13">
        <f>VLOOKUP($G5,'Visu totale'!$D$3:$DT$129,AJ$1,0)</f>
        <v>18</v>
      </c>
      <c r="AK5" s="13">
        <f>VLOOKUP($G5,'Visu totale'!$D$3:$DT$129,AK$1,0)</f>
        <v>18</v>
      </c>
      <c r="AL5" s="13">
        <f>VLOOKUP($G5,'Visu totale'!$D$3:$DT$129,AL$1,0)</f>
        <v>18</v>
      </c>
      <c r="AM5" s="13">
        <f>VLOOKUP($G5,'Visu totale'!$D$3:$DT$129,AM$1,0)</f>
        <v>18</v>
      </c>
      <c r="AN5" s="13">
        <f>VLOOKUP($G5,'Visu totale'!$D$3:$DT$129,AN$1,0)</f>
        <v>18</v>
      </c>
      <c r="AO5" s="13">
        <f>VLOOKUP($G5,'Visu totale'!$D$3:$DT$129,AO$1,0)</f>
        <v>18</v>
      </c>
      <c r="AP5" s="15">
        <f>VLOOKUP($G5,'Visu totale'!$D$3:$DT$129,AP$1,0)</f>
        <v>18</v>
      </c>
      <c r="AQ5" s="14">
        <f>VLOOKUP($G5,'Visu totale'!$D$3:$DT$129,AQ$1,0)</f>
        <v>18</v>
      </c>
      <c r="AR5" s="13">
        <f>VLOOKUP($G5,'Visu totale'!$D$3:$DT$129,AR$1,0)</f>
        <v>18</v>
      </c>
      <c r="AS5" s="13">
        <f>VLOOKUP($G5,'Visu totale'!$D$3:$DT$129,AS$1,0)</f>
        <v>18</v>
      </c>
      <c r="AT5" s="13">
        <f>VLOOKUP($G5,'Visu totale'!$D$3:$DT$129,AT$1,0)</f>
        <v>0</v>
      </c>
      <c r="AU5" s="13">
        <f>VLOOKUP($G5,'Visu totale'!$D$3:$DT$129,AU$1,0)</f>
        <v>0</v>
      </c>
      <c r="AV5" s="13">
        <f>VLOOKUP($G5,'Visu totale'!$D$3:$DT$129,AV$1,0)</f>
        <v>0</v>
      </c>
      <c r="AW5" s="13">
        <f>VLOOKUP($G5,'Visu totale'!$D$3:$DT$129,AW$1,0)</f>
        <v>0</v>
      </c>
      <c r="AX5" s="13">
        <f>VLOOKUP($G5,'Visu totale'!$D$3:$DT$129,AX$1,0)</f>
        <v>0</v>
      </c>
      <c r="AY5" s="13">
        <f>VLOOKUP($G5,'Visu totale'!$D$3:$DT$129,AY$1,0)</f>
        <v>0</v>
      </c>
      <c r="AZ5" s="13">
        <f>VLOOKUP($G5,'Visu totale'!$D$3:$DT$129,AZ$1,0)</f>
        <v>0</v>
      </c>
      <c r="BA5" s="13">
        <f>VLOOKUP($G5,'Visu totale'!$D$3:$DT$129,BA$1,0)</f>
        <v>0</v>
      </c>
      <c r="BB5" s="15">
        <f>VLOOKUP($G5,'Visu totale'!$D$3:$DT$129,BB$1,0)</f>
        <v>0</v>
      </c>
      <c r="BC5" s="14">
        <f>VLOOKUP($G5,'Visu totale'!$D$3:$DT$129,BC$1,0)</f>
        <v>0</v>
      </c>
      <c r="BD5" s="13">
        <f>VLOOKUP($G5,'Visu totale'!$D$3:$DT$129,BD$1,0)</f>
        <v>0</v>
      </c>
      <c r="BE5" s="13">
        <f>VLOOKUP($G5,'Visu totale'!$D$3:$DT$129,BE$1,0)</f>
        <v>0</v>
      </c>
      <c r="BF5" s="13">
        <f>VLOOKUP($G5,'Visu totale'!$D$3:$DT$129,BF$1,0)</f>
        <v>0</v>
      </c>
      <c r="BG5" s="13">
        <f>VLOOKUP($G5,'Visu totale'!$D$3:$DT$129,BG$1,0)</f>
        <v>0</v>
      </c>
      <c r="BH5" s="13">
        <f>VLOOKUP($G5,'Visu totale'!$D$3:$DT$129,BH$1,0)</f>
        <v>0</v>
      </c>
      <c r="BI5" s="13">
        <f>VLOOKUP($G5,'Visu totale'!$D$3:$DT$129,BI$1,0)</f>
        <v>0</v>
      </c>
      <c r="BJ5" s="13">
        <f>VLOOKUP($G5,'Visu totale'!$D$3:$DT$129,BJ$1,0)</f>
        <v>0</v>
      </c>
      <c r="BK5" s="13" t="str">
        <f>VLOOKUP($G5,'Visu totale'!$D$3:$DT$129,BK$1,0)</f>
        <v>V25</v>
      </c>
      <c r="BL5" s="13" t="str">
        <f>VLOOKUP($G5,'Visu totale'!$D$3:$DT$129,BL$1,0)</f>
        <v>V25</v>
      </c>
      <c r="BM5" s="13" t="str">
        <f>VLOOKUP($G5,'Visu totale'!$D$3:$DT$129,BM$1,0)</f>
        <v>V25</v>
      </c>
      <c r="BN5" s="15" t="str">
        <f>VLOOKUP($G5,'Visu totale'!$D$3:$DT$129,BN$1,0)</f>
        <v>V25</v>
      </c>
      <c r="BO5" s="14" t="str">
        <f>VLOOKUP($G5,'Visu totale'!$D$3:$DT$129,BO$1,0)</f>
        <v>V20</v>
      </c>
      <c r="BP5" s="13" t="str">
        <f>VLOOKUP($G5,'Visu totale'!$D$3:$DT$129,BP$1,0)</f>
        <v>V20</v>
      </c>
      <c r="BQ5" s="13" t="str">
        <f>VLOOKUP($G5,'Visu totale'!$D$3:$DT$129,BQ$1,0)</f>
        <v>V20</v>
      </c>
      <c r="BR5" s="13" t="str">
        <f>VLOOKUP($G5,'Visu totale'!$D$3:$DT$129,BR$1,0)</f>
        <v>V20</v>
      </c>
      <c r="BS5" s="13" t="str">
        <f>VLOOKUP($G5,'Visu totale'!$D$3:$DT$129,BS$1,0)</f>
        <v>V20</v>
      </c>
      <c r="BT5" s="13" t="str">
        <f>VLOOKUP($G5,'Visu totale'!$D$3:$DT$129,BT$1,0)</f>
        <v>V20</v>
      </c>
      <c r="BU5" s="13">
        <f>VLOOKUP($G5,'Visu totale'!$D$3:$DT$129,BU$1,0)</f>
        <v>18</v>
      </c>
      <c r="BV5" s="13">
        <f>VLOOKUP($G5,'Visu totale'!$D$3:$DT$129,BV$1,0)</f>
        <v>18</v>
      </c>
      <c r="BW5" s="13" t="str">
        <f>VLOOKUP($G5,'Visu totale'!$D$3:$DT$129,BW$1,0)</f>
        <v>NANCY_D</v>
      </c>
      <c r="BX5" s="13" t="str">
        <f>VLOOKUP($G5,'Visu totale'!$D$3:$DT$129,BX$1,0)</f>
        <v>NANCY_D</v>
      </c>
      <c r="BY5" s="13" t="str">
        <f>VLOOKUP($G5,'Visu totale'!$D$3:$DT$129,BY$1,0)</f>
        <v>NANCY_D</v>
      </c>
      <c r="BZ5" s="15" t="str">
        <f>VLOOKUP($G5,'Visu totale'!$D$3:$DT$129,BZ$1,0)</f>
        <v>NANCY_D</v>
      </c>
      <c r="CA5" s="14">
        <f>VLOOKUP($G5,'Visu totale'!$D$3:$DT$129,CA$1,0)</f>
        <v>18</v>
      </c>
      <c r="CB5" s="13">
        <f>VLOOKUP($G5,'Visu totale'!$D$3:$DT$129,CB$1,0)</f>
        <v>18</v>
      </c>
      <c r="CC5" s="13" t="str">
        <f>VLOOKUP($G5,'Visu totale'!$D$3:$DT$129,CC$1,0)</f>
        <v>NANCY_D</v>
      </c>
      <c r="CD5" s="13" t="str">
        <f>VLOOKUP($G5,'Visu totale'!$D$3:$DT$129,CD$1,0)</f>
        <v>NANCY_D</v>
      </c>
      <c r="CE5" s="13" t="str">
        <f>VLOOKUP($G5,'Visu totale'!$D$3:$DT$129,CE$1,0)</f>
        <v>NANCY_D</v>
      </c>
      <c r="CF5" s="13" t="str">
        <f>VLOOKUP($G5,'Visu totale'!$D$3:$DT$129,CF$1,0)</f>
        <v>NANCY_D</v>
      </c>
      <c r="CG5" s="13">
        <f>VLOOKUP($G5,'Visu totale'!$D$3:$DT$129,CG$1,0)</f>
        <v>18</v>
      </c>
      <c r="CH5" s="13">
        <f>VLOOKUP($G5,'Visu totale'!$D$3:$DT$129,CH$1,0)</f>
        <v>18</v>
      </c>
      <c r="CI5" s="13" t="str">
        <f>VLOOKUP($G5,'Visu totale'!$D$3:$DT$129,CI$1,0)</f>
        <v>NANCY_D</v>
      </c>
      <c r="CJ5" s="13" t="str">
        <f>VLOOKUP($G5,'Visu totale'!$D$3:$DT$129,CJ$1,0)</f>
        <v>NANCY_D</v>
      </c>
      <c r="CK5" s="13" t="str">
        <f>VLOOKUP($G5,'Visu totale'!$D$3:$DT$129,CK$1,0)</f>
        <v>NANCY_D</v>
      </c>
      <c r="CL5" s="15" t="str">
        <f>VLOOKUP($G5,'Visu totale'!$D$3:$DT$129,CL$1,0)</f>
        <v>NANCY_D</v>
      </c>
      <c r="CM5" s="14">
        <f>VLOOKUP($G5,'Visu totale'!$D$3:$DT$129,CM$1,0)</f>
        <v>18</v>
      </c>
      <c r="CN5" s="13">
        <f>VLOOKUP($G5,'Visu totale'!$D$3:$DT$129,CN$1,0)</f>
        <v>18</v>
      </c>
      <c r="CO5" s="13" t="str">
        <f>VLOOKUP($G5,'Visu totale'!$D$3:$DT$129,CO$1,0)</f>
        <v>NANCY_D</v>
      </c>
      <c r="CP5" s="13" t="str">
        <f>VLOOKUP($G5,'Visu totale'!$D$3:$DT$129,CP$1,0)</f>
        <v>NANCY_D</v>
      </c>
      <c r="CQ5" s="13" t="str">
        <f>VLOOKUP($G5,'Visu totale'!$D$3:$DT$129,CQ$1,0)</f>
        <v>NANCY_D</v>
      </c>
      <c r="CR5" s="13" t="str">
        <f>VLOOKUP($G5,'Visu totale'!$D$3:$DT$129,CR$1,0)</f>
        <v>NANCY_D</v>
      </c>
      <c r="CS5" s="13">
        <f>VLOOKUP($G5,'Visu totale'!$D$3:$DT$129,CS$1,0)</f>
        <v>18</v>
      </c>
      <c r="CT5" s="13">
        <f>VLOOKUP($G5,'Visu totale'!$D$3:$DT$129,CT$1,0)</f>
        <v>18</v>
      </c>
      <c r="CU5" s="13">
        <f>VLOOKUP($G5,'Visu totale'!$D$3:$DT$129,CU$1,0)</f>
        <v>18</v>
      </c>
      <c r="CV5" s="13">
        <f>VLOOKUP($G5,'Visu totale'!$D$3:$DT$129,CV$1,0)</f>
        <v>18</v>
      </c>
      <c r="CW5" s="13">
        <f>VLOOKUP($G5,'Visu totale'!$D$3:$DT$129,CW$1,0)</f>
        <v>18</v>
      </c>
      <c r="CX5" s="15">
        <f>VLOOKUP($G5,'Visu totale'!$D$3:$DT$129,CX$1,0)</f>
        <v>18</v>
      </c>
      <c r="CY5" s="14">
        <f>VLOOKUP($G5,'Visu totale'!$D$3:$DT$129,CY$1,0)</f>
        <v>0</v>
      </c>
      <c r="CZ5" s="13">
        <f>VLOOKUP($G5,'Visu totale'!$D$3:$DT$129,CZ$1,0)</f>
        <v>0</v>
      </c>
      <c r="DA5" s="13">
        <f>VLOOKUP($G5,'Visu totale'!$D$3:$DT$129,DA$1,0)</f>
        <v>0</v>
      </c>
      <c r="DB5" s="13">
        <f>VLOOKUP($G5,'Visu totale'!$D$3:$DT$129,DB$1,0)</f>
        <v>0</v>
      </c>
      <c r="DC5" s="13">
        <f>VLOOKUP($G5,'Visu totale'!$D$3:$DT$129,DC$1,0)</f>
        <v>0</v>
      </c>
      <c r="DD5" s="13">
        <f>VLOOKUP($G5,'Visu totale'!$D$3:$DT$129,DD$1,0)</f>
        <v>0</v>
      </c>
      <c r="DE5" s="13">
        <f>VLOOKUP($G5,'Visu totale'!$D$3:$DT$129,DE$1,0)</f>
        <v>0</v>
      </c>
      <c r="DF5" s="13">
        <f>VLOOKUP($G5,'Visu totale'!$D$3:$DT$129,DF$1,0)</f>
        <v>0</v>
      </c>
      <c r="DG5" s="13">
        <f>VLOOKUP($G5,'Visu totale'!$D$3:$DT$129,DG$1,0)</f>
        <v>0</v>
      </c>
      <c r="DH5" s="13">
        <f>VLOOKUP($G5,'Visu totale'!$D$3:$DT$129,DH$1,0)</f>
        <v>0</v>
      </c>
      <c r="DI5" s="13">
        <f>VLOOKUP($G5,'Visu totale'!$D$3:$DT$129,DI$1,0)</f>
        <v>0</v>
      </c>
      <c r="DJ5" s="15">
        <f>VLOOKUP($G5,'Visu totale'!$D$3:$DT$129,DJ$1,0)</f>
        <v>0</v>
      </c>
      <c r="DK5" s="14">
        <f>VLOOKUP($G5,'Visu totale'!$D$3:$DT$129,DK$1,0)</f>
        <v>0</v>
      </c>
      <c r="DL5" s="13">
        <f>VLOOKUP($G5,'Visu totale'!$D$3:$DT$129,DL$1,0)</f>
        <v>0</v>
      </c>
      <c r="DM5" s="13">
        <f>VLOOKUP($G5,'Visu totale'!$D$3:$DT$129,DM$1,0)</f>
        <v>0</v>
      </c>
      <c r="DN5" s="13">
        <f>VLOOKUP($G5,'Visu totale'!$D$3:$DT$129,DN$1,0)</f>
        <v>0</v>
      </c>
      <c r="DO5" s="13">
        <f>VLOOKUP($G5,'Visu totale'!$D$3:$DT$129,DO$1,0)</f>
        <v>0</v>
      </c>
      <c r="DP5" s="13">
        <f>VLOOKUP($G5,'Visu totale'!$D$3:$DT$129,DP$1,0)</f>
        <v>0</v>
      </c>
      <c r="DQ5" s="13">
        <f>VLOOKUP($G5,'Visu totale'!$D$3:$DT$129,DQ$1,0)</f>
        <v>0</v>
      </c>
      <c r="DR5" s="13">
        <f>VLOOKUP($G5,'Visu totale'!$D$3:$DT$129,DR$1,0)</f>
        <v>0</v>
      </c>
      <c r="DS5" s="13">
        <f>VLOOKUP($G5,'Visu totale'!$D$3:$DT$129,DS$1,0)</f>
        <v>0</v>
      </c>
      <c r="DT5" s="13">
        <f>VLOOKUP($G5,'Visu totale'!$D$3:$DT$129,DT$1,0)</f>
        <v>0</v>
      </c>
      <c r="DU5" s="13">
        <f>VLOOKUP($G5,'Visu totale'!$D$3:$DT$129,DU$1,0)</f>
        <v>0</v>
      </c>
      <c r="DV5" s="15">
        <f>VLOOKUP($G5,'Visu totale'!$D$3:$DT$129,DV$1,0)</f>
        <v>0</v>
      </c>
    </row>
    <row r="6" spans="1:1483" x14ac:dyDescent="0.25">
      <c r="A6" s="13"/>
      <c r="B6" s="13"/>
      <c r="C6" s="13"/>
      <c r="D6" s="16"/>
      <c r="E6" s="14"/>
      <c r="F6" s="13"/>
      <c r="G6" s="17" t="s">
        <v>8</v>
      </c>
      <c r="H6" s="13" t="str">
        <f>VLOOKUP($G6,'Visu totale'!$D$3:$DT$129,H$1,0)</f>
        <v>CHAMMAL_D</v>
      </c>
      <c r="I6" s="13" t="str">
        <f>VLOOKUP($G6,'Visu totale'!$D$3:$DT$129,I$1,0)</f>
        <v>CHAMMAL_D</v>
      </c>
      <c r="J6" s="13" t="str">
        <f>VLOOKUP($G6,'Visu totale'!$D$3:$DT$129,J$1,0)</f>
        <v>CHAMMAL_D</v>
      </c>
      <c r="K6" s="13" t="str">
        <f>VLOOKUP($G6,'Visu totale'!$D$3:$DT$129,K$1,0)</f>
        <v>V10</v>
      </c>
      <c r="L6" s="13" t="str">
        <f>VLOOKUP($G6,'Visu totale'!$D$3:$DT$129,L$1,0)</f>
        <v>V10</v>
      </c>
      <c r="M6" s="13" t="str">
        <f>VLOOKUP($G6,'Visu totale'!$D$3:$DT$129,M$1,0)</f>
        <v>V10</v>
      </c>
      <c r="N6" s="13" t="str">
        <f>VLOOKUP($G6,'Visu totale'!$D$3:$DT$129,N$1,0)</f>
        <v>V10</v>
      </c>
      <c r="O6" s="13" t="str">
        <f>VLOOKUP($G6,'Visu totale'!$D$3:$DT$129,O$1,0)</f>
        <v>V10</v>
      </c>
      <c r="P6" s="13" t="str">
        <f>VLOOKUP($G6,'Visu totale'!$D$3:$DT$129,P$1,0)</f>
        <v>V10</v>
      </c>
      <c r="Q6" s="13">
        <f>VLOOKUP($G6,'Visu totale'!$D$3:$DT$129,Q$1,0)</f>
        <v>18</v>
      </c>
      <c r="R6" s="15">
        <f>VLOOKUP($G6,'Visu totale'!$D$3:$DT$129,R$1,0)</f>
        <v>18</v>
      </c>
      <c r="S6" s="14" t="str">
        <f>VLOOKUP($G6,'Visu totale'!$D$3:$DT$129,S$1,0)</f>
        <v>CHAMMAL_D</v>
      </c>
      <c r="T6" s="13" t="str">
        <f>VLOOKUP($G6,'Visu totale'!$D$3:$DT$129,T$1,0)</f>
        <v>CHAMMAL_D</v>
      </c>
      <c r="U6" s="13" t="str">
        <f>VLOOKUP($G6,'Visu totale'!$D$3:$DT$129,U$1,0)</f>
        <v>CHAMMAL_D</v>
      </c>
      <c r="V6" s="13" t="str">
        <f>VLOOKUP($G6,'Visu totale'!$D$3:$DT$129,V$1,0)</f>
        <v>CHAMMAL_D</v>
      </c>
      <c r="W6" s="13">
        <f>VLOOKUP($G6,'Visu totale'!$D$3:$DT$129,W$1,0)</f>
        <v>18</v>
      </c>
      <c r="X6" s="13">
        <f>VLOOKUP($G6,'Visu totale'!$D$3:$DT$129,X$1,0)</f>
        <v>18</v>
      </c>
      <c r="Y6" s="13" t="str">
        <f>VLOOKUP($G6,'Visu totale'!$D$3:$DT$129,Y$1,0)</f>
        <v>CHAMMAL_D</v>
      </c>
      <c r="Z6" s="13" t="str">
        <f>VLOOKUP($G6,'Visu totale'!$D$3:$DT$129,Z$1,0)</f>
        <v>CHAMMAL_D</v>
      </c>
      <c r="AA6" s="13" t="str">
        <f>VLOOKUP($G6,'Visu totale'!$D$3:$DT$129,AA$1,0)</f>
        <v>CHAMMAL_D</v>
      </c>
      <c r="AB6" s="13" t="str">
        <f>VLOOKUP($G6,'Visu totale'!$D$3:$DT$129,AB$1,0)</f>
        <v>CHAMMAL_D</v>
      </c>
      <c r="AC6" s="13">
        <f>VLOOKUP($G6,'Visu totale'!$D$3:$DT$129,AC$1,0)</f>
        <v>18</v>
      </c>
      <c r="AD6" s="15">
        <f>VLOOKUP($G6,'Visu totale'!$D$3:$DT$129,AD$1,0)</f>
        <v>18</v>
      </c>
      <c r="AE6" s="14" t="str">
        <f>VLOOKUP($G6,'Visu totale'!$D$3:$DT$129,AE$1,0)</f>
        <v>MARSAN_D</v>
      </c>
      <c r="AF6" s="13" t="str">
        <f>VLOOKUP($G6,'Visu totale'!$D$3:$DT$129,AF$1,0)</f>
        <v>MARSAN_D</v>
      </c>
      <c r="AG6" s="13" t="str">
        <f>VLOOKUP($G6,'Visu totale'!$D$3:$DT$129,AG$1,0)</f>
        <v>MARSAN_D</v>
      </c>
      <c r="AH6" s="13" t="str">
        <f>VLOOKUP($G6,'Visu totale'!$D$3:$DT$129,AH$1,0)</f>
        <v>MARSAN_D</v>
      </c>
      <c r="AI6" s="13">
        <f>VLOOKUP($G6,'Visu totale'!$D$3:$DT$129,AI$1,0)</f>
        <v>18</v>
      </c>
      <c r="AJ6" s="13">
        <f>VLOOKUP($G6,'Visu totale'!$D$3:$DT$129,AJ$1,0)</f>
        <v>18</v>
      </c>
      <c r="AK6" s="13">
        <f>VLOOKUP($G6,'Visu totale'!$D$3:$DT$129,AK$1,0)</f>
        <v>18</v>
      </c>
      <c r="AL6" s="13">
        <f>VLOOKUP($G6,'Visu totale'!$D$3:$DT$129,AL$1,0)</f>
        <v>18</v>
      </c>
      <c r="AM6" s="13">
        <f>VLOOKUP($G6,'Visu totale'!$D$3:$DT$129,AM$1,0)</f>
        <v>18</v>
      </c>
      <c r="AN6" s="13">
        <f>VLOOKUP($G6,'Visu totale'!$D$3:$DT$129,AN$1,0)</f>
        <v>18</v>
      </c>
      <c r="AO6" s="13">
        <f>VLOOKUP($G6,'Visu totale'!$D$3:$DT$129,AO$1,0)</f>
        <v>18</v>
      </c>
      <c r="AP6" s="15">
        <f>VLOOKUP($G6,'Visu totale'!$D$3:$DT$129,AP$1,0)</f>
        <v>18</v>
      </c>
      <c r="AQ6" s="14">
        <f>VLOOKUP($G6,'Visu totale'!$D$3:$DT$129,AQ$1,0)</f>
        <v>18</v>
      </c>
      <c r="AR6" s="13">
        <f>VLOOKUP($G6,'Visu totale'!$D$3:$DT$129,AR$1,0)</f>
        <v>18</v>
      </c>
      <c r="AS6" s="13">
        <f>VLOOKUP($G6,'Visu totale'!$D$3:$DT$129,AS$1,0)</f>
        <v>18</v>
      </c>
      <c r="AT6" s="13">
        <f>VLOOKUP($G6,'Visu totale'!$D$3:$DT$129,AT$1,0)</f>
        <v>0</v>
      </c>
      <c r="AU6" s="13">
        <f>VLOOKUP($G6,'Visu totale'!$D$3:$DT$129,AU$1,0)</f>
        <v>0</v>
      </c>
      <c r="AV6" s="13">
        <f>VLOOKUP($G6,'Visu totale'!$D$3:$DT$129,AV$1,0)</f>
        <v>0</v>
      </c>
      <c r="AW6" s="13">
        <f>VLOOKUP($G6,'Visu totale'!$D$3:$DT$129,AW$1,0)</f>
        <v>0</v>
      </c>
      <c r="AX6" s="13">
        <f>VLOOKUP($G6,'Visu totale'!$D$3:$DT$129,AX$1,0)</f>
        <v>0</v>
      </c>
      <c r="AY6" s="13">
        <f>VLOOKUP($G6,'Visu totale'!$D$3:$DT$129,AY$1,0)</f>
        <v>0</v>
      </c>
      <c r="AZ6" s="13">
        <f>VLOOKUP($G6,'Visu totale'!$D$3:$DT$129,AZ$1,0)</f>
        <v>0</v>
      </c>
      <c r="BA6" s="13">
        <f>VLOOKUP($G6,'Visu totale'!$D$3:$DT$129,BA$1,0)</f>
        <v>0</v>
      </c>
      <c r="BB6" s="15">
        <f>VLOOKUP($G6,'Visu totale'!$D$3:$DT$129,BB$1,0)</f>
        <v>0</v>
      </c>
      <c r="BC6" s="14">
        <f>VLOOKUP($G6,'Visu totale'!$D$3:$DT$129,BC$1,0)</f>
        <v>0</v>
      </c>
      <c r="BD6" s="13">
        <f>VLOOKUP($G6,'Visu totale'!$D$3:$DT$129,BD$1,0)</f>
        <v>0</v>
      </c>
      <c r="BE6" s="13">
        <f>VLOOKUP($G6,'Visu totale'!$D$3:$DT$129,BE$1,0)</f>
        <v>0</v>
      </c>
      <c r="BF6" s="13">
        <f>VLOOKUP($G6,'Visu totale'!$D$3:$DT$129,BF$1,0)</f>
        <v>0</v>
      </c>
      <c r="BG6" s="13">
        <f>VLOOKUP($G6,'Visu totale'!$D$3:$DT$129,BG$1,0)</f>
        <v>0</v>
      </c>
      <c r="BH6" s="13">
        <f>VLOOKUP($G6,'Visu totale'!$D$3:$DT$129,BH$1,0)</f>
        <v>0</v>
      </c>
      <c r="BI6" s="13">
        <f>VLOOKUP($G6,'Visu totale'!$D$3:$DT$129,BI$1,0)</f>
        <v>0</v>
      </c>
      <c r="BJ6" s="13">
        <f>VLOOKUP($G6,'Visu totale'!$D$3:$DT$129,BJ$1,0)</f>
        <v>0</v>
      </c>
      <c r="BK6" s="13" t="str">
        <f>VLOOKUP($G6,'Visu totale'!$D$3:$DT$129,BK$1,0)</f>
        <v>V20</v>
      </c>
      <c r="BL6" s="13" t="str">
        <f>VLOOKUP($G6,'Visu totale'!$D$3:$DT$129,BL$1,0)</f>
        <v>V20</v>
      </c>
      <c r="BM6" s="13" t="str">
        <f>VLOOKUP($G6,'Visu totale'!$D$3:$DT$129,BM$1,0)</f>
        <v>V20</v>
      </c>
      <c r="BN6" s="15" t="str">
        <f>VLOOKUP($G6,'Visu totale'!$D$3:$DT$129,BN$1,0)</f>
        <v>V20</v>
      </c>
      <c r="BO6" s="14">
        <f>VLOOKUP($G6,'Visu totale'!$D$3:$DT$129,BO$1,0)</f>
        <v>18</v>
      </c>
      <c r="BP6" s="13">
        <f>VLOOKUP($G6,'Visu totale'!$D$3:$DT$129,BP$1,0)</f>
        <v>18</v>
      </c>
      <c r="BQ6" s="13" t="str">
        <f>VLOOKUP($G6,'Visu totale'!$D$3:$DT$129,BQ$1,0)</f>
        <v>NANCY_D</v>
      </c>
      <c r="BR6" s="13" t="str">
        <f>VLOOKUP($G6,'Visu totale'!$D$3:$DT$129,BR$1,0)</f>
        <v>NANCY_D</v>
      </c>
      <c r="BS6" s="13" t="str">
        <f>VLOOKUP($G6,'Visu totale'!$D$3:$DT$129,BS$1,0)</f>
        <v>NANCY_D</v>
      </c>
      <c r="BT6" s="13" t="str">
        <f>VLOOKUP($G6,'Visu totale'!$D$3:$DT$129,BT$1,0)</f>
        <v>NANCY_D</v>
      </c>
      <c r="BU6" s="13">
        <f>VLOOKUP($G6,'Visu totale'!$D$3:$DT$129,BU$1,0)</f>
        <v>18</v>
      </c>
      <c r="BV6" s="13">
        <f>VLOOKUP($G6,'Visu totale'!$D$3:$DT$129,BV$1,0)</f>
        <v>18</v>
      </c>
      <c r="BW6" s="13" t="str">
        <f>VLOOKUP($G6,'Visu totale'!$D$3:$DT$129,BW$1,0)</f>
        <v>NANCY_D</v>
      </c>
      <c r="BX6" s="13" t="str">
        <f>VLOOKUP($G6,'Visu totale'!$D$3:$DT$129,BX$1,0)</f>
        <v>NANCY_D</v>
      </c>
      <c r="BY6" s="13" t="str">
        <f>VLOOKUP($G6,'Visu totale'!$D$3:$DT$129,BY$1,0)</f>
        <v>NANCY_D</v>
      </c>
      <c r="BZ6" s="15" t="str">
        <f>VLOOKUP($G6,'Visu totale'!$D$3:$DT$129,BZ$1,0)</f>
        <v>NANCY_D</v>
      </c>
      <c r="CA6" s="14">
        <f>VLOOKUP($G6,'Visu totale'!$D$3:$DT$129,CA$1,0)</f>
        <v>18</v>
      </c>
      <c r="CB6" s="13">
        <f>VLOOKUP($G6,'Visu totale'!$D$3:$DT$129,CB$1,0)</f>
        <v>18</v>
      </c>
      <c r="CC6" s="13" t="str">
        <f>VLOOKUP($G6,'Visu totale'!$D$3:$DT$129,CC$1,0)</f>
        <v>NANCY_D</v>
      </c>
      <c r="CD6" s="13" t="str">
        <f>VLOOKUP($G6,'Visu totale'!$D$3:$DT$129,CD$1,0)</f>
        <v>NANCY_D</v>
      </c>
      <c r="CE6" s="13" t="str">
        <f>VLOOKUP($G6,'Visu totale'!$D$3:$DT$129,CE$1,0)</f>
        <v>NANCY_D</v>
      </c>
      <c r="CF6" s="13" t="str">
        <f>VLOOKUP($G6,'Visu totale'!$D$3:$DT$129,CF$1,0)</f>
        <v>NANCY_D</v>
      </c>
      <c r="CG6" s="13" t="str">
        <f>VLOOKUP($G6,'Visu totale'!$D$3:$DT$129,CG$1,0)</f>
        <v>V15</v>
      </c>
      <c r="CH6" s="13" t="str">
        <f>VLOOKUP($G6,'Visu totale'!$D$3:$DT$129,CH$1,0)</f>
        <v>V15</v>
      </c>
      <c r="CI6" s="13" t="str">
        <f>VLOOKUP($G6,'Visu totale'!$D$3:$DT$129,CI$1,0)</f>
        <v>V15</v>
      </c>
      <c r="CJ6" s="13" t="str">
        <f>VLOOKUP($G6,'Visu totale'!$D$3:$DT$129,CJ$1,0)</f>
        <v>V15</v>
      </c>
      <c r="CK6" s="13" t="str">
        <f>VLOOKUP($G6,'Visu totale'!$D$3:$DT$129,CK$1,0)</f>
        <v>V15</v>
      </c>
      <c r="CL6" s="15" t="str">
        <f>VLOOKUP($G6,'Visu totale'!$D$3:$DT$129,CL$1,0)</f>
        <v>V15</v>
      </c>
      <c r="CM6" s="14">
        <f>VLOOKUP($G6,'Visu totale'!$D$3:$DT$129,CM$1,0)</f>
        <v>18</v>
      </c>
      <c r="CN6" s="13">
        <f>VLOOKUP($G6,'Visu totale'!$D$3:$DT$129,CN$1,0)</f>
        <v>18</v>
      </c>
      <c r="CO6" s="13" t="str">
        <f>VLOOKUP($G6,'Visu totale'!$D$3:$DT$129,CO$1,0)</f>
        <v>NANCY_D</v>
      </c>
      <c r="CP6" s="13" t="str">
        <f>VLOOKUP($G6,'Visu totale'!$D$3:$DT$129,CP$1,0)</f>
        <v>NANCY_D</v>
      </c>
      <c r="CQ6" s="13" t="str">
        <f>VLOOKUP($G6,'Visu totale'!$D$3:$DT$129,CQ$1,0)</f>
        <v>NANCY_D</v>
      </c>
      <c r="CR6" s="13" t="str">
        <f>VLOOKUP($G6,'Visu totale'!$D$3:$DT$129,CR$1,0)</f>
        <v>NANCY_D</v>
      </c>
      <c r="CS6" s="13">
        <f>VLOOKUP($G6,'Visu totale'!$D$3:$DT$129,CS$1,0)</f>
        <v>18</v>
      </c>
      <c r="CT6" s="13">
        <f>VLOOKUP($G6,'Visu totale'!$D$3:$DT$129,CT$1,0)</f>
        <v>18</v>
      </c>
      <c r="CU6" s="13">
        <f>VLOOKUP($G6,'Visu totale'!$D$3:$DT$129,CU$1,0)</f>
        <v>18</v>
      </c>
      <c r="CV6" s="13">
        <f>VLOOKUP($G6,'Visu totale'!$D$3:$DT$129,CV$1,0)</f>
        <v>18</v>
      </c>
      <c r="CW6" s="13">
        <f>VLOOKUP($G6,'Visu totale'!$D$3:$DT$129,CW$1,0)</f>
        <v>18</v>
      </c>
      <c r="CX6" s="15">
        <f>VLOOKUP($G6,'Visu totale'!$D$3:$DT$129,CX$1,0)</f>
        <v>18</v>
      </c>
      <c r="CY6" s="14">
        <f>VLOOKUP($G6,'Visu totale'!$D$3:$DT$129,CY$1,0)</f>
        <v>0</v>
      </c>
      <c r="CZ6" s="13">
        <f>VLOOKUP($G6,'Visu totale'!$D$3:$DT$129,CZ$1,0)</f>
        <v>0</v>
      </c>
      <c r="DA6" s="13">
        <f>VLOOKUP($G6,'Visu totale'!$D$3:$DT$129,DA$1,0)</f>
        <v>0</v>
      </c>
      <c r="DB6" s="13">
        <f>VLOOKUP($G6,'Visu totale'!$D$3:$DT$129,DB$1,0)</f>
        <v>0</v>
      </c>
      <c r="DC6" s="13">
        <f>VLOOKUP($G6,'Visu totale'!$D$3:$DT$129,DC$1,0)</f>
        <v>0</v>
      </c>
      <c r="DD6" s="13">
        <f>VLOOKUP($G6,'Visu totale'!$D$3:$DT$129,DD$1,0)</f>
        <v>0</v>
      </c>
      <c r="DE6" s="13">
        <f>VLOOKUP($G6,'Visu totale'!$D$3:$DT$129,DE$1,0)</f>
        <v>0</v>
      </c>
      <c r="DF6" s="13">
        <f>VLOOKUP($G6,'Visu totale'!$D$3:$DT$129,DF$1,0)</f>
        <v>0</v>
      </c>
      <c r="DG6" s="13">
        <f>VLOOKUP($G6,'Visu totale'!$D$3:$DT$129,DG$1,0)</f>
        <v>0</v>
      </c>
      <c r="DH6" s="13">
        <f>VLOOKUP($G6,'Visu totale'!$D$3:$DT$129,DH$1,0)</f>
        <v>0</v>
      </c>
      <c r="DI6" s="13">
        <f>VLOOKUP($G6,'Visu totale'!$D$3:$DT$129,DI$1,0)</f>
        <v>0</v>
      </c>
      <c r="DJ6" s="15">
        <f>VLOOKUP($G6,'Visu totale'!$D$3:$DT$129,DJ$1,0)</f>
        <v>0</v>
      </c>
      <c r="DK6" s="14">
        <f>VLOOKUP($G6,'Visu totale'!$D$3:$DT$129,DK$1,0)</f>
        <v>0</v>
      </c>
      <c r="DL6" s="13">
        <f>VLOOKUP($G6,'Visu totale'!$D$3:$DT$129,DL$1,0)</f>
        <v>0</v>
      </c>
      <c r="DM6" s="13">
        <f>VLOOKUP($G6,'Visu totale'!$D$3:$DT$129,DM$1,0)</f>
        <v>0</v>
      </c>
      <c r="DN6" s="13">
        <f>VLOOKUP($G6,'Visu totale'!$D$3:$DT$129,DN$1,0)</f>
        <v>0</v>
      </c>
      <c r="DO6" s="13">
        <f>VLOOKUP($G6,'Visu totale'!$D$3:$DT$129,DO$1,0)</f>
        <v>0</v>
      </c>
      <c r="DP6" s="13">
        <f>VLOOKUP($G6,'Visu totale'!$D$3:$DT$129,DP$1,0)</f>
        <v>0</v>
      </c>
      <c r="DQ6" s="13">
        <f>VLOOKUP($G6,'Visu totale'!$D$3:$DT$129,DQ$1,0)</f>
        <v>0</v>
      </c>
      <c r="DR6" s="13">
        <f>VLOOKUP($G6,'Visu totale'!$D$3:$DT$129,DR$1,0)</f>
        <v>0</v>
      </c>
      <c r="DS6" s="13">
        <f>VLOOKUP($G6,'Visu totale'!$D$3:$DT$129,DS$1,0)</f>
        <v>0</v>
      </c>
      <c r="DT6" s="13">
        <f>VLOOKUP($G6,'Visu totale'!$D$3:$DT$129,DT$1,0)</f>
        <v>0</v>
      </c>
      <c r="DU6" s="13">
        <f>VLOOKUP($G6,'Visu totale'!$D$3:$DT$129,DU$1,0)</f>
        <v>0</v>
      </c>
      <c r="DV6" s="15">
        <f>VLOOKUP($G6,'Visu totale'!$D$3:$DT$129,DV$1,0)</f>
        <v>0</v>
      </c>
    </row>
    <row r="7" spans="1:1483" x14ac:dyDescent="0.25">
      <c r="A7" s="13"/>
      <c r="B7" s="13"/>
      <c r="C7" s="13"/>
      <c r="D7" s="16"/>
      <c r="E7" s="14"/>
      <c r="F7" s="13"/>
      <c r="G7" s="17" t="s">
        <v>9</v>
      </c>
      <c r="H7" s="13">
        <f>VLOOKUP($G7,'Visu totale'!$D$3:$DT$129,H$1,0)</f>
        <v>0</v>
      </c>
      <c r="I7" s="13">
        <f>VLOOKUP($G7,'Visu totale'!$D$3:$DT$129,I$1,0)</f>
        <v>0</v>
      </c>
      <c r="J7" s="13">
        <f>VLOOKUP($G7,'Visu totale'!$D$3:$DT$129,J$1,0)</f>
        <v>0</v>
      </c>
      <c r="K7" s="13">
        <f>VLOOKUP($G7,'Visu totale'!$D$3:$DT$129,K$1,0)</f>
        <v>0</v>
      </c>
      <c r="L7" s="13">
        <f>VLOOKUP($G7,'Visu totale'!$D$3:$DT$129,L$1,0)</f>
        <v>0</v>
      </c>
      <c r="M7" s="13">
        <f>VLOOKUP($G7,'Visu totale'!$D$3:$DT$129,M$1,0)</f>
        <v>0</v>
      </c>
      <c r="N7" s="13">
        <f>VLOOKUP($G7,'Visu totale'!$D$3:$DT$129,N$1,0)</f>
        <v>0</v>
      </c>
      <c r="O7" s="13">
        <f>VLOOKUP($G7,'Visu totale'!$D$3:$DT$129,O$1,0)</f>
        <v>0</v>
      </c>
      <c r="P7" s="13" t="str">
        <f>VLOOKUP($G7,'Visu totale'!$D$3:$DT$129,P$1,0)</f>
        <v>V30</v>
      </c>
      <c r="Q7" s="13" t="str">
        <f>VLOOKUP($G7,'Visu totale'!$D$3:$DT$129,Q$1,0)</f>
        <v>V30</v>
      </c>
      <c r="R7" s="15" t="str">
        <f>VLOOKUP($G7,'Visu totale'!$D$3:$DT$129,R$1,0)</f>
        <v>V30</v>
      </c>
      <c r="S7" s="14" t="str">
        <f>VLOOKUP($G7,'Visu totale'!$D$3:$DT$129,S$1,0)</f>
        <v>V30</v>
      </c>
      <c r="T7" s="13" t="str">
        <f>VLOOKUP($G7,'Visu totale'!$D$3:$DT$129,T$1,0)</f>
        <v>V30</v>
      </c>
      <c r="U7" s="13" t="str">
        <f>VLOOKUP($G7,'Visu totale'!$D$3:$DT$129,U$1,0)</f>
        <v>V30</v>
      </c>
      <c r="V7" s="13">
        <f>VLOOKUP($G7,'Visu totale'!$D$3:$DT$129,V$1,0)</f>
        <v>18</v>
      </c>
      <c r="W7" s="13">
        <f>VLOOKUP($G7,'Visu totale'!$D$3:$DT$129,W$1,0)</f>
        <v>18</v>
      </c>
      <c r="X7" s="13" t="str">
        <f>VLOOKUP($G7,'Visu totale'!$D$3:$DT$129,X$1,0)</f>
        <v>NANCY_D</v>
      </c>
      <c r="Y7" s="13" t="str">
        <f>VLOOKUP($G7,'Visu totale'!$D$3:$DT$129,Y$1,0)</f>
        <v>NANCY_D</v>
      </c>
      <c r="Z7" s="13" t="str">
        <f>VLOOKUP($G7,'Visu totale'!$D$3:$DT$129,Z$1,0)</f>
        <v>NANCY_D</v>
      </c>
      <c r="AA7" s="13" t="str">
        <f>VLOOKUP($G7,'Visu totale'!$D$3:$DT$129,AA$1,0)</f>
        <v>NANCY_D</v>
      </c>
      <c r="AB7" s="13">
        <f>VLOOKUP($G7,'Visu totale'!$D$3:$DT$129,AB$1,0)</f>
        <v>18</v>
      </c>
      <c r="AC7" s="13">
        <f>VLOOKUP($G7,'Visu totale'!$D$3:$DT$129,AC$1,0)</f>
        <v>18</v>
      </c>
      <c r="AD7" s="15" t="str">
        <f>VLOOKUP($G7,'Visu totale'!$D$3:$DT$129,AD$1,0)</f>
        <v>NANCY_D</v>
      </c>
      <c r="AE7" s="14" t="str">
        <f>VLOOKUP($G7,'Visu totale'!$D$3:$DT$129,AE$1,0)</f>
        <v>NANCY_D</v>
      </c>
      <c r="AF7" s="13" t="str">
        <f>VLOOKUP($G7,'Visu totale'!$D$3:$DT$129,AF$1,0)</f>
        <v>NANCY_D</v>
      </c>
      <c r="AG7" s="13" t="str">
        <f>VLOOKUP($G7,'Visu totale'!$D$3:$DT$129,AG$1,0)</f>
        <v>NANCY_D</v>
      </c>
      <c r="AH7" s="13">
        <f>VLOOKUP($G7,'Visu totale'!$D$3:$DT$129,AH$1,0)</f>
        <v>18</v>
      </c>
      <c r="AI7" s="13">
        <f>VLOOKUP($G7,'Visu totale'!$D$3:$DT$129,AI$1,0)</f>
        <v>18</v>
      </c>
      <c r="AJ7" s="13" t="str">
        <f>VLOOKUP($G7,'Visu totale'!$D$3:$DT$129,AJ$1,0)</f>
        <v>NANCY_D</v>
      </c>
      <c r="AK7" s="13" t="str">
        <f>VLOOKUP($G7,'Visu totale'!$D$3:$DT$129,AK$1,0)</f>
        <v>NANCY_D</v>
      </c>
      <c r="AL7" s="13" t="str">
        <f>VLOOKUP($G7,'Visu totale'!$D$3:$DT$129,AL$1,0)</f>
        <v>NANCY_D</v>
      </c>
      <c r="AM7" s="13" t="str">
        <f>VLOOKUP($G7,'Visu totale'!$D$3:$DT$129,AM$1,0)</f>
        <v>NANCY_D</v>
      </c>
      <c r="AN7" s="13">
        <f>VLOOKUP($G7,'Visu totale'!$D$3:$DT$129,AN$1,0)</f>
        <v>18</v>
      </c>
      <c r="AO7" s="13">
        <f>VLOOKUP($G7,'Visu totale'!$D$3:$DT$129,AO$1,0)</f>
        <v>18</v>
      </c>
      <c r="AP7" s="15" t="str">
        <f>VLOOKUP($G7,'Visu totale'!$D$3:$DT$129,AP$1,0)</f>
        <v>NANCY_D</v>
      </c>
      <c r="AQ7" s="14" t="str">
        <f>VLOOKUP($G7,'Visu totale'!$D$3:$DT$129,AQ$1,0)</f>
        <v>NANCY_D</v>
      </c>
      <c r="AR7" s="13" t="str">
        <f>VLOOKUP($G7,'Visu totale'!$D$3:$DT$129,AR$1,0)</f>
        <v>NANCY_D</v>
      </c>
      <c r="AS7" s="13" t="str">
        <f>VLOOKUP($G7,'Visu totale'!$D$3:$DT$129,AS$1,0)</f>
        <v>NANCY_D</v>
      </c>
      <c r="AT7" s="13">
        <f>VLOOKUP($G7,'Visu totale'!$D$3:$DT$129,AT$1,0)</f>
        <v>18</v>
      </c>
      <c r="AU7" s="13">
        <f>VLOOKUP($G7,'Visu totale'!$D$3:$DT$129,AU$1,0)</f>
        <v>18</v>
      </c>
      <c r="AV7" s="13" t="str">
        <f>VLOOKUP($G7,'Visu totale'!$D$3:$DT$129,AV$1,0)</f>
        <v>NANCY_D</v>
      </c>
      <c r="AW7" s="13" t="str">
        <f>VLOOKUP($G7,'Visu totale'!$D$3:$DT$129,AW$1,0)</f>
        <v>NANCY_D</v>
      </c>
      <c r="AX7" s="13" t="str">
        <f>VLOOKUP($G7,'Visu totale'!$D$3:$DT$129,AX$1,0)</f>
        <v>NANCY_D</v>
      </c>
      <c r="AY7" s="13" t="str">
        <f>VLOOKUP($G7,'Visu totale'!$D$3:$DT$129,AY$1,0)</f>
        <v>NANCY_D</v>
      </c>
      <c r="AZ7" s="13">
        <f>VLOOKUP($G7,'Visu totale'!$D$3:$DT$129,AZ$1,0)</f>
        <v>18</v>
      </c>
      <c r="BA7" s="13">
        <f>VLOOKUP($G7,'Visu totale'!$D$3:$DT$129,BA$1,0)</f>
        <v>18</v>
      </c>
      <c r="BB7" s="15" t="str">
        <f>VLOOKUP($G7,'Visu totale'!$D$3:$DT$129,BB$1,0)</f>
        <v>NANCY_D</v>
      </c>
      <c r="BC7" s="14" t="str">
        <f>VLOOKUP($G7,'Visu totale'!$D$3:$DT$129,BC$1,0)</f>
        <v>NANCY_D</v>
      </c>
      <c r="BD7" s="13" t="str">
        <f>VLOOKUP($G7,'Visu totale'!$D$3:$DT$129,BD$1,0)</f>
        <v>NANCY_D</v>
      </c>
      <c r="BE7" s="13" t="str">
        <f>VLOOKUP($G7,'Visu totale'!$D$3:$DT$129,BE$1,0)</f>
        <v>NANCY_D</v>
      </c>
      <c r="BF7" s="13">
        <f>VLOOKUP($G7,'Visu totale'!$D$3:$DT$129,BF$1,0)</f>
        <v>18</v>
      </c>
      <c r="BG7" s="13">
        <f>VLOOKUP($G7,'Visu totale'!$D$3:$DT$129,BG$1,0)</f>
        <v>18</v>
      </c>
      <c r="BH7" s="13" t="str">
        <f>VLOOKUP($G7,'Visu totale'!$D$3:$DT$129,BH$1,0)</f>
        <v>NANCY_D</v>
      </c>
      <c r="BI7" s="13" t="str">
        <f>VLOOKUP($G7,'Visu totale'!$D$3:$DT$129,BI$1,0)</f>
        <v>NANCY_D</v>
      </c>
      <c r="BJ7" s="13" t="str">
        <f>VLOOKUP($G7,'Visu totale'!$D$3:$DT$129,BJ$1,0)</f>
        <v>NANCY_D</v>
      </c>
      <c r="BK7" s="13" t="str">
        <f>VLOOKUP($G7,'Visu totale'!$D$3:$DT$129,BK$1,0)</f>
        <v>NANCY_D</v>
      </c>
      <c r="BL7" s="13">
        <f>VLOOKUP($G7,'Visu totale'!$D$3:$DT$129,BL$1,0)</f>
        <v>18</v>
      </c>
      <c r="BM7" s="13">
        <f>VLOOKUP($G7,'Visu totale'!$D$3:$DT$129,BM$1,0)</f>
        <v>18</v>
      </c>
      <c r="BN7" s="15" t="str">
        <f>VLOOKUP($G7,'Visu totale'!$D$3:$DT$129,BN$1,0)</f>
        <v>NANCY_D</v>
      </c>
      <c r="BO7" s="14">
        <f>VLOOKUP($G7,'Visu totale'!$D$3:$DT$129,BO$1,0)</f>
        <v>18</v>
      </c>
      <c r="BP7" s="13">
        <f>VLOOKUP($G7,'Visu totale'!$D$3:$DT$129,BP$1,0)</f>
        <v>18</v>
      </c>
      <c r="BQ7" s="13" t="str">
        <f>VLOOKUP($G7,'Visu totale'!$D$3:$DT$129,BQ$1,0)</f>
        <v>NANCY_D</v>
      </c>
      <c r="BR7" s="13" t="str">
        <f>VLOOKUP($G7,'Visu totale'!$D$3:$DT$129,BR$1,0)</f>
        <v>NANCY_D</v>
      </c>
      <c r="BS7" s="13" t="str">
        <f>VLOOKUP($G7,'Visu totale'!$D$3:$DT$129,BS$1,0)</f>
        <v>NANCY_D</v>
      </c>
      <c r="BT7" s="13" t="str">
        <f>VLOOKUP($G7,'Visu totale'!$D$3:$DT$129,BT$1,0)</f>
        <v>NANCY_D</v>
      </c>
      <c r="BU7" s="13">
        <f>VLOOKUP($G7,'Visu totale'!$D$3:$DT$129,BU$1,0)</f>
        <v>18</v>
      </c>
      <c r="BV7" s="13">
        <f>VLOOKUP($G7,'Visu totale'!$D$3:$DT$129,BV$1,0)</f>
        <v>18</v>
      </c>
      <c r="BW7" s="13" t="str">
        <f>VLOOKUP($G7,'Visu totale'!$D$3:$DT$129,BW$1,0)</f>
        <v>NANCY_D</v>
      </c>
      <c r="BX7" s="13" t="str">
        <f>VLOOKUP($G7,'Visu totale'!$D$3:$DT$129,BX$1,0)</f>
        <v>NANCY_D</v>
      </c>
      <c r="BY7" s="13" t="str">
        <f>VLOOKUP($G7,'Visu totale'!$D$3:$DT$129,BY$1,0)</f>
        <v>NANCY_D</v>
      </c>
      <c r="BZ7" s="15" t="str">
        <f>VLOOKUP($G7,'Visu totale'!$D$3:$DT$129,BZ$1,0)</f>
        <v>NANCY_D</v>
      </c>
      <c r="CA7" s="14">
        <f>VLOOKUP($G7,'Visu totale'!$D$3:$DT$129,CA$1,0)</f>
        <v>18</v>
      </c>
      <c r="CB7" s="13">
        <f>VLOOKUP($G7,'Visu totale'!$D$3:$DT$129,CB$1,0)</f>
        <v>18</v>
      </c>
      <c r="CC7" s="13">
        <f>VLOOKUP($G7,'Visu totale'!$D$3:$DT$129,CC$1,0)</f>
        <v>18</v>
      </c>
      <c r="CD7" s="13">
        <f>VLOOKUP($G7,'Visu totale'!$D$3:$DT$129,CD$1,0)</f>
        <v>18</v>
      </c>
      <c r="CE7" s="13">
        <f>VLOOKUP($G7,'Visu totale'!$D$3:$DT$129,CE$1,0)</f>
        <v>18</v>
      </c>
      <c r="CF7" s="13">
        <f>VLOOKUP($G7,'Visu totale'!$D$3:$DT$129,CF$1,0)</f>
        <v>18</v>
      </c>
      <c r="CG7" s="13">
        <f>VLOOKUP($G7,'Visu totale'!$D$3:$DT$129,CG$1,0)</f>
        <v>18</v>
      </c>
      <c r="CH7" s="13">
        <f>VLOOKUP($G7,'Visu totale'!$D$3:$DT$129,CH$1,0)</f>
        <v>18</v>
      </c>
      <c r="CI7" s="13">
        <f>VLOOKUP($G7,'Visu totale'!$D$3:$DT$129,CI$1,0)</f>
        <v>18</v>
      </c>
      <c r="CJ7" s="13">
        <f>VLOOKUP($G7,'Visu totale'!$D$3:$DT$129,CJ$1,0)</f>
        <v>0</v>
      </c>
      <c r="CK7" s="13">
        <f>VLOOKUP($G7,'Visu totale'!$D$3:$DT$129,CK$1,0)</f>
        <v>0</v>
      </c>
      <c r="CL7" s="15">
        <f>VLOOKUP($G7,'Visu totale'!$D$3:$DT$129,CL$1,0)</f>
        <v>0</v>
      </c>
      <c r="CM7" s="14">
        <f>VLOOKUP($G7,'Visu totale'!$D$3:$DT$129,CM$1,0)</f>
        <v>0</v>
      </c>
      <c r="CN7" s="13">
        <f>VLOOKUP($G7,'Visu totale'!$D$3:$DT$129,CN$1,0)</f>
        <v>0</v>
      </c>
      <c r="CO7" s="13">
        <f>VLOOKUP($G7,'Visu totale'!$D$3:$DT$129,CO$1,0)</f>
        <v>0</v>
      </c>
      <c r="CP7" s="13">
        <f>VLOOKUP($G7,'Visu totale'!$D$3:$DT$129,CP$1,0)</f>
        <v>0</v>
      </c>
      <c r="CQ7" s="13">
        <f>VLOOKUP($G7,'Visu totale'!$D$3:$DT$129,CQ$1,0)</f>
        <v>0</v>
      </c>
      <c r="CR7" s="13">
        <f>VLOOKUP($G7,'Visu totale'!$D$3:$DT$129,CR$1,0)</f>
        <v>0</v>
      </c>
      <c r="CS7" s="13">
        <f>VLOOKUP($G7,'Visu totale'!$D$3:$DT$129,CS$1,0)</f>
        <v>0</v>
      </c>
      <c r="CT7" s="13">
        <f>VLOOKUP($G7,'Visu totale'!$D$3:$DT$129,CT$1,0)</f>
        <v>18</v>
      </c>
      <c r="CU7" s="13">
        <f>VLOOKUP($G7,'Visu totale'!$D$3:$DT$129,CU$1,0)</f>
        <v>18</v>
      </c>
      <c r="CV7" s="13">
        <f>VLOOKUP($G7,'Visu totale'!$D$3:$DT$129,CV$1,0)</f>
        <v>18</v>
      </c>
      <c r="CW7" s="13">
        <f>VLOOKUP($G7,'Visu totale'!$D$3:$DT$129,CW$1,0)</f>
        <v>18</v>
      </c>
      <c r="CX7" s="15">
        <f>VLOOKUP($G7,'Visu totale'!$D$3:$DT$129,CX$1,0)</f>
        <v>18</v>
      </c>
      <c r="CY7" s="14">
        <f>VLOOKUP($G7,'Visu totale'!$D$3:$DT$129,CY$1,0)</f>
        <v>0</v>
      </c>
      <c r="CZ7" s="13">
        <f>VLOOKUP($G7,'Visu totale'!$D$3:$DT$129,CZ$1,0)</f>
        <v>0</v>
      </c>
      <c r="DA7" s="13">
        <f>VLOOKUP($G7,'Visu totale'!$D$3:$DT$129,DA$1,0)</f>
        <v>0</v>
      </c>
      <c r="DB7" s="13">
        <f>VLOOKUP($G7,'Visu totale'!$D$3:$DT$129,DB$1,0)</f>
        <v>0</v>
      </c>
      <c r="DC7" s="13">
        <f>VLOOKUP($G7,'Visu totale'!$D$3:$DT$129,DC$1,0)</f>
        <v>0</v>
      </c>
      <c r="DD7" s="13">
        <f>VLOOKUP($G7,'Visu totale'!$D$3:$DT$129,DD$1,0)</f>
        <v>0</v>
      </c>
      <c r="DE7" s="13">
        <f>VLOOKUP($G7,'Visu totale'!$D$3:$DT$129,DE$1,0)</f>
        <v>0</v>
      </c>
      <c r="DF7" s="13">
        <f>VLOOKUP($G7,'Visu totale'!$D$3:$DT$129,DF$1,0)</f>
        <v>0</v>
      </c>
      <c r="DG7" s="13">
        <f>VLOOKUP($G7,'Visu totale'!$D$3:$DT$129,DG$1,0)</f>
        <v>0</v>
      </c>
      <c r="DH7" s="13">
        <f>VLOOKUP($G7,'Visu totale'!$D$3:$DT$129,DH$1,0)</f>
        <v>0</v>
      </c>
      <c r="DI7" s="13">
        <f>VLOOKUP($G7,'Visu totale'!$D$3:$DT$129,DI$1,0)</f>
        <v>0</v>
      </c>
      <c r="DJ7" s="15">
        <f>VLOOKUP($G7,'Visu totale'!$D$3:$DT$129,DJ$1,0)</f>
        <v>0</v>
      </c>
      <c r="DK7" s="14">
        <f>VLOOKUP($G7,'Visu totale'!$D$3:$DT$129,DK$1,0)</f>
        <v>0</v>
      </c>
      <c r="DL7" s="13">
        <f>VLOOKUP($G7,'Visu totale'!$D$3:$DT$129,DL$1,0)</f>
        <v>0</v>
      </c>
      <c r="DM7" s="13">
        <f>VLOOKUP($G7,'Visu totale'!$D$3:$DT$129,DM$1,0)</f>
        <v>0</v>
      </c>
      <c r="DN7" s="13">
        <f>VLOOKUP($G7,'Visu totale'!$D$3:$DT$129,DN$1,0)</f>
        <v>0</v>
      </c>
      <c r="DO7" s="13">
        <f>VLOOKUP($G7,'Visu totale'!$D$3:$DT$129,DO$1,0)</f>
        <v>0</v>
      </c>
      <c r="DP7" s="13">
        <f>VLOOKUP($G7,'Visu totale'!$D$3:$DT$129,DP$1,0)</f>
        <v>0</v>
      </c>
      <c r="DQ7" s="13">
        <f>VLOOKUP($G7,'Visu totale'!$D$3:$DT$129,DQ$1,0)</f>
        <v>0</v>
      </c>
      <c r="DR7" s="13">
        <f>VLOOKUP($G7,'Visu totale'!$D$3:$DT$129,DR$1,0)</f>
        <v>0</v>
      </c>
      <c r="DS7" s="13">
        <f>VLOOKUP($G7,'Visu totale'!$D$3:$DT$129,DS$1,0)</f>
        <v>0</v>
      </c>
      <c r="DT7" s="13">
        <f>VLOOKUP($G7,'Visu totale'!$D$3:$DT$129,DT$1,0)</f>
        <v>0</v>
      </c>
      <c r="DU7" s="13">
        <f>VLOOKUP($G7,'Visu totale'!$D$3:$DT$129,DU$1,0)</f>
        <v>0</v>
      </c>
      <c r="DV7" s="15">
        <f>VLOOKUP($G7,'Visu totale'!$D$3:$DT$129,DV$1,0)</f>
        <v>0</v>
      </c>
    </row>
    <row r="8" spans="1:1483" x14ac:dyDescent="0.25">
      <c r="A8" s="13"/>
      <c r="B8" s="13"/>
      <c r="C8" s="13"/>
      <c r="D8" s="16"/>
      <c r="E8" s="14"/>
      <c r="F8" s="13"/>
      <c r="G8" s="17" t="s">
        <v>10</v>
      </c>
      <c r="H8" s="13" t="str">
        <f>VLOOKUP($G8,'Visu totale'!$D$3:$DT$129,H$1,0)</f>
        <v>NDJAMENA_D</v>
      </c>
      <c r="I8" s="13" t="str">
        <f>VLOOKUP($G8,'Visu totale'!$D$3:$DT$129,I$1,0)</f>
        <v>NDJAMENA_D</v>
      </c>
      <c r="J8" s="13" t="str">
        <f>VLOOKUP($G8,'Visu totale'!$D$3:$DT$129,J$1,0)</f>
        <v>NDJAMENA_D</v>
      </c>
      <c r="K8" s="13">
        <f>VLOOKUP($G8,'Visu totale'!$D$3:$DT$129,K$1,0)</f>
        <v>18</v>
      </c>
      <c r="L8" s="13">
        <f>VLOOKUP($G8,'Visu totale'!$D$3:$DT$129,L$1,0)</f>
        <v>18</v>
      </c>
      <c r="M8" s="13" t="str">
        <f>VLOOKUP($G8,'Visu totale'!$D$3:$DT$129,M$1,0)</f>
        <v>CHAMMAL_D</v>
      </c>
      <c r="N8" s="13" t="str">
        <f>VLOOKUP($G8,'Visu totale'!$D$3:$DT$129,N$1,0)</f>
        <v>CHAMMAL_D</v>
      </c>
      <c r="O8" s="13" t="str">
        <f>VLOOKUP($G8,'Visu totale'!$D$3:$DT$129,O$1,0)</f>
        <v>CHAMMAL_D</v>
      </c>
      <c r="P8" s="13" t="str">
        <f>VLOOKUP($G8,'Visu totale'!$D$3:$DT$129,P$1,0)</f>
        <v>CHAMMAL_D</v>
      </c>
      <c r="Q8" s="13">
        <f>VLOOKUP($G8,'Visu totale'!$D$3:$DT$129,Q$1,0)</f>
        <v>18</v>
      </c>
      <c r="R8" s="15">
        <f>VLOOKUP($G8,'Visu totale'!$D$3:$DT$129,R$1,0)</f>
        <v>18</v>
      </c>
      <c r="S8" s="14" t="str">
        <f>VLOOKUP($G8,'Visu totale'!$D$3:$DT$129,S$1,0)</f>
        <v>NIAMEY_D</v>
      </c>
      <c r="T8" s="13" t="str">
        <f>VLOOKUP($G8,'Visu totale'!$D$3:$DT$129,T$1,0)</f>
        <v>NIAMEY_D</v>
      </c>
      <c r="U8" s="13" t="str">
        <f>VLOOKUP($G8,'Visu totale'!$D$3:$DT$129,U$1,0)</f>
        <v>NIAMEY_D</v>
      </c>
      <c r="V8" s="13" t="str">
        <f>VLOOKUP($G8,'Visu totale'!$D$3:$DT$129,V$1,0)</f>
        <v>NIAMEY_D</v>
      </c>
      <c r="W8" s="13">
        <f>VLOOKUP($G8,'Visu totale'!$D$3:$DT$129,W$1,0)</f>
        <v>18</v>
      </c>
      <c r="X8" s="13">
        <f>VLOOKUP($G8,'Visu totale'!$D$3:$DT$129,X$1,0)</f>
        <v>18</v>
      </c>
      <c r="Y8" s="13">
        <f>VLOOKUP($G8,'Visu totale'!$D$3:$DT$129,Y$1,0)</f>
        <v>18</v>
      </c>
      <c r="Z8" s="13">
        <f>VLOOKUP($G8,'Visu totale'!$D$3:$DT$129,Z$1,0)</f>
        <v>18</v>
      </c>
      <c r="AA8" s="13">
        <f>VLOOKUP($G8,'Visu totale'!$D$3:$DT$129,AA$1,0)</f>
        <v>18</v>
      </c>
      <c r="AB8" s="13">
        <f>VLOOKUP($G8,'Visu totale'!$D$3:$DT$129,AB$1,0)</f>
        <v>18</v>
      </c>
      <c r="AC8" s="13">
        <f>VLOOKUP($G8,'Visu totale'!$D$3:$DT$129,AC$1,0)</f>
        <v>18</v>
      </c>
      <c r="AD8" s="15">
        <f>VLOOKUP($G8,'Visu totale'!$D$3:$DT$129,AD$1,0)</f>
        <v>0</v>
      </c>
      <c r="AE8" s="14">
        <f>VLOOKUP($G8,'Visu totale'!$D$3:$DT$129,AE$1,0)</f>
        <v>0</v>
      </c>
      <c r="AF8" s="13">
        <f>VLOOKUP($G8,'Visu totale'!$D$3:$DT$129,AF$1,0)</f>
        <v>0</v>
      </c>
      <c r="AG8" s="13">
        <f>VLOOKUP($G8,'Visu totale'!$D$3:$DT$129,AG$1,0)</f>
        <v>0</v>
      </c>
      <c r="AH8" s="13">
        <f>VLOOKUP($G8,'Visu totale'!$D$3:$DT$129,AH$1,0)</f>
        <v>0</v>
      </c>
      <c r="AI8" s="13">
        <f>VLOOKUP($G8,'Visu totale'!$D$3:$DT$129,AI$1,0)</f>
        <v>0</v>
      </c>
      <c r="AJ8" s="13">
        <f>VLOOKUP($G8,'Visu totale'!$D$3:$DT$129,AJ$1,0)</f>
        <v>0</v>
      </c>
      <c r="AK8" s="13">
        <f>VLOOKUP($G8,'Visu totale'!$D$3:$DT$129,AK$1,0)</f>
        <v>0</v>
      </c>
      <c r="AL8" s="13">
        <f>VLOOKUP($G8,'Visu totale'!$D$3:$DT$129,AL$1,0)</f>
        <v>0</v>
      </c>
      <c r="AM8" s="13">
        <f>VLOOKUP($G8,'Visu totale'!$D$3:$DT$129,AM$1,0)</f>
        <v>0</v>
      </c>
      <c r="AN8" s="13">
        <f>VLOOKUP($G8,'Visu totale'!$D$3:$DT$129,AN$1,0)</f>
        <v>0</v>
      </c>
      <c r="AO8" s="13">
        <f>VLOOKUP($G8,'Visu totale'!$D$3:$DT$129,AO$1,0)</f>
        <v>0</v>
      </c>
      <c r="AP8" s="15">
        <f>VLOOKUP($G8,'Visu totale'!$D$3:$DT$129,AP$1,0)</f>
        <v>0</v>
      </c>
      <c r="AQ8" s="14">
        <f>VLOOKUP($G8,'Visu totale'!$D$3:$DT$129,AQ$1,0)</f>
        <v>0</v>
      </c>
      <c r="AR8" s="13">
        <f>VLOOKUP($G8,'Visu totale'!$D$3:$DT$129,AR$1,0)</f>
        <v>0</v>
      </c>
      <c r="AS8" s="13">
        <f>VLOOKUP($G8,'Visu totale'!$D$3:$DT$129,AS$1,0)</f>
        <v>0</v>
      </c>
      <c r="AT8" s="13">
        <f>VLOOKUP($G8,'Visu totale'!$D$3:$DT$129,AT$1,0)</f>
        <v>0</v>
      </c>
      <c r="AU8" s="13">
        <f>VLOOKUP($G8,'Visu totale'!$D$3:$DT$129,AU$1,0)</f>
        <v>0</v>
      </c>
      <c r="AV8" s="13">
        <f>VLOOKUP($G8,'Visu totale'!$D$3:$DT$129,AV$1,0)</f>
        <v>0</v>
      </c>
      <c r="AW8" s="13">
        <f>VLOOKUP($G8,'Visu totale'!$D$3:$DT$129,AW$1,0)</f>
        <v>0</v>
      </c>
      <c r="AX8" s="13">
        <f>VLOOKUP($G8,'Visu totale'!$D$3:$DT$129,AX$1,0)</f>
        <v>0</v>
      </c>
      <c r="AY8" s="13">
        <f>VLOOKUP($G8,'Visu totale'!$D$3:$DT$129,AY$1,0)</f>
        <v>0</v>
      </c>
      <c r="AZ8" s="13">
        <f>VLOOKUP($G8,'Visu totale'!$D$3:$DT$129,AZ$1,0)</f>
        <v>0</v>
      </c>
      <c r="BA8" s="13">
        <f>VLOOKUP($G8,'Visu totale'!$D$3:$DT$129,BA$1,0)</f>
        <v>0</v>
      </c>
      <c r="BB8" s="15">
        <f>VLOOKUP($G8,'Visu totale'!$D$3:$DT$129,BB$1,0)</f>
        <v>0</v>
      </c>
      <c r="BC8" s="14">
        <f>VLOOKUP($G8,'Visu totale'!$D$3:$DT$129,BC$1,0)</f>
        <v>0</v>
      </c>
      <c r="BD8" s="13">
        <f>VLOOKUP($G8,'Visu totale'!$D$3:$DT$129,BD$1,0)</f>
        <v>0</v>
      </c>
      <c r="BE8" s="13" t="str">
        <f>VLOOKUP($G8,'Visu totale'!$D$3:$DT$129,BE$1,0)</f>
        <v>V10</v>
      </c>
      <c r="BF8" s="13" t="str">
        <f>VLOOKUP($G8,'Visu totale'!$D$3:$DT$129,BF$1,0)</f>
        <v>V10</v>
      </c>
      <c r="BG8" s="13" t="str">
        <f>VLOOKUP($G8,'Visu totale'!$D$3:$DT$129,BG$1,0)</f>
        <v>V10</v>
      </c>
      <c r="BH8" s="13" t="str">
        <f>VLOOKUP($G8,'Visu totale'!$D$3:$DT$129,BH$1,0)</f>
        <v>V10</v>
      </c>
      <c r="BI8" s="13" t="str">
        <f>VLOOKUP($G8,'Visu totale'!$D$3:$DT$129,BI$1,0)</f>
        <v>V10</v>
      </c>
      <c r="BJ8" s="13" t="str">
        <f>VLOOKUP($G8,'Visu totale'!$D$3:$DT$129,BJ$1,0)</f>
        <v>V10</v>
      </c>
      <c r="BK8" s="13">
        <f>VLOOKUP($G8,'Visu totale'!$D$3:$DT$129,BK$1,0)</f>
        <v>18</v>
      </c>
      <c r="BL8" s="13">
        <f>VLOOKUP($G8,'Visu totale'!$D$3:$DT$129,BL$1,0)</f>
        <v>18</v>
      </c>
      <c r="BM8" s="13" t="str">
        <f>VLOOKUP($G8,'Visu totale'!$D$3:$DT$129,BM$1,0)</f>
        <v>CHAMMAL_D</v>
      </c>
      <c r="BN8" s="15" t="str">
        <f>VLOOKUP($G8,'Visu totale'!$D$3:$DT$129,BN$1,0)</f>
        <v>CHAMMAL_D</v>
      </c>
      <c r="BO8" s="14">
        <f>VLOOKUP($G8,'Visu totale'!$D$3:$DT$129,BO$1,0)</f>
        <v>18</v>
      </c>
      <c r="BP8" s="13" t="str">
        <f>VLOOKUP($G8,'Visu totale'!$D$3:$DT$129,BP$1,0)</f>
        <v>V25</v>
      </c>
      <c r="BQ8" s="13" t="str">
        <f>VLOOKUP($G8,'Visu totale'!$D$3:$DT$129,BQ$1,0)</f>
        <v>V25</v>
      </c>
      <c r="BR8" s="13" t="str">
        <f>VLOOKUP($G8,'Visu totale'!$D$3:$DT$129,BR$1,0)</f>
        <v>V25</v>
      </c>
      <c r="BS8" s="13" t="str">
        <f>VLOOKUP($G8,'Visu totale'!$D$3:$DT$129,BS$1,0)</f>
        <v>V25</v>
      </c>
      <c r="BT8" s="13" t="str">
        <f>VLOOKUP($G8,'Visu totale'!$D$3:$DT$129,BT$1,0)</f>
        <v>V25</v>
      </c>
      <c r="BU8" s="13" t="str">
        <f>VLOOKUP($G8,'Visu totale'!$D$3:$DT$129,BU$1,0)</f>
        <v>V25</v>
      </c>
      <c r="BV8" s="13">
        <f>VLOOKUP($G8,'Visu totale'!$D$3:$DT$129,BV$1,0)</f>
        <v>18</v>
      </c>
      <c r="BW8" s="13">
        <f>VLOOKUP($G8,'Visu totale'!$D$3:$DT$129,BW$1,0)</f>
        <v>18</v>
      </c>
      <c r="BX8" s="13" t="str">
        <f>VLOOKUP($G8,'Visu totale'!$D$3:$DT$129,BX$1,0)</f>
        <v>NANCY_D</v>
      </c>
      <c r="BY8" s="13" t="str">
        <f>VLOOKUP($G8,'Visu totale'!$D$3:$DT$129,BY$1,0)</f>
        <v>NANCY_D</v>
      </c>
      <c r="BZ8" s="15" t="str">
        <f>VLOOKUP($G8,'Visu totale'!$D$3:$DT$129,BZ$1,0)</f>
        <v>NANCY_D</v>
      </c>
      <c r="CA8" s="14" t="str">
        <f>VLOOKUP($G8,'Visu totale'!$D$3:$DT$129,CA$1,0)</f>
        <v>NANCY_D</v>
      </c>
      <c r="CB8" s="13">
        <f>VLOOKUP($G8,'Visu totale'!$D$3:$DT$129,CB$1,0)</f>
        <v>18</v>
      </c>
      <c r="CC8" s="13">
        <f>VLOOKUP($G8,'Visu totale'!$D$3:$DT$129,CC$1,0)</f>
        <v>18</v>
      </c>
      <c r="CD8" s="13" t="str">
        <f>VLOOKUP($G8,'Visu totale'!$D$3:$DT$129,CD$1,0)</f>
        <v>NANCY_D</v>
      </c>
      <c r="CE8" s="13" t="str">
        <f>VLOOKUP($G8,'Visu totale'!$D$3:$DT$129,CE$1,0)</f>
        <v>NANCY_D</v>
      </c>
      <c r="CF8" s="13" t="str">
        <f>VLOOKUP($G8,'Visu totale'!$D$3:$DT$129,CF$1,0)</f>
        <v>NANCY_D</v>
      </c>
      <c r="CG8" s="13" t="str">
        <f>VLOOKUP($G8,'Visu totale'!$D$3:$DT$129,CG$1,0)</f>
        <v>NANCY_D</v>
      </c>
      <c r="CH8" s="13">
        <f>VLOOKUP($G8,'Visu totale'!$D$3:$DT$129,CH$1,0)</f>
        <v>18</v>
      </c>
      <c r="CI8" s="13">
        <f>VLOOKUP($G8,'Visu totale'!$D$3:$DT$129,CI$1,0)</f>
        <v>18</v>
      </c>
      <c r="CJ8" s="13" t="str">
        <f>VLOOKUP($G8,'Visu totale'!$D$3:$DT$129,CJ$1,0)</f>
        <v>NANCY_D</v>
      </c>
      <c r="CK8" s="13" t="str">
        <f>VLOOKUP($G8,'Visu totale'!$D$3:$DT$129,CK$1,0)</f>
        <v>NANCY_D</v>
      </c>
      <c r="CL8" s="15" t="str">
        <f>VLOOKUP($G8,'Visu totale'!$D$3:$DT$129,CL$1,0)</f>
        <v>NANCY_D</v>
      </c>
      <c r="CM8" s="14" t="str">
        <f>VLOOKUP($G8,'Visu totale'!$D$3:$DT$129,CM$1,0)</f>
        <v>NANCY_D</v>
      </c>
      <c r="CN8" s="13">
        <f>VLOOKUP($G8,'Visu totale'!$D$3:$DT$129,CN$1,0)</f>
        <v>18</v>
      </c>
      <c r="CO8" s="13">
        <f>VLOOKUP($G8,'Visu totale'!$D$3:$DT$129,CO$1,0)</f>
        <v>18</v>
      </c>
      <c r="CP8" s="13" t="str">
        <f>VLOOKUP($G8,'Visu totale'!$D$3:$DT$129,CP$1,0)</f>
        <v>NANCY_D</v>
      </c>
      <c r="CQ8" s="13" t="str">
        <f>VLOOKUP($G8,'Visu totale'!$D$3:$DT$129,CQ$1,0)</f>
        <v>NANCY_D</v>
      </c>
      <c r="CR8" s="13" t="str">
        <f>VLOOKUP($G8,'Visu totale'!$D$3:$DT$129,CR$1,0)</f>
        <v>NANCY_D</v>
      </c>
      <c r="CS8" s="13" t="str">
        <f>VLOOKUP($G8,'Visu totale'!$D$3:$DT$129,CS$1,0)</f>
        <v>NANCY_D</v>
      </c>
      <c r="CT8" s="13">
        <f>VLOOKUP($G8,'Visu totale'!$D$3:$DT$129,CT$1,0)</f>
        <v>18</v>
      </c>
      <c r="CU8" s="13">
        <f>VLOOKUP($G8,'Visu totale'!$D$3:$DT$129,CU$1,0)</f>
        <v>18</v>
      </c>
      <c r="CV8" s="13">
        <f>VLOOKUP($G8,'Visu totale'!$D$3:$DT$129,CV$1,0)</f>
        <v>18</v>
      </c>
      <c r="CW8" s="13">
        <f>VLOOKUP($G8,'Visu totale'!$D$3:$DT$129,CW$1,0)</f>
        <v>18</v>
      </c>
      <c r="CX8" s="15">
        <f>VLOOKUP($G8,'Visu totale'!$D$3:$DT$129,CX$1,0)</f>
        <v>18</v>
      </c>
      <c r="CY8" s="14">
        <f>VLOOKUP($G8,'Visu totale'!$D$3:$DT$129,CY$1,0)</f>
        <v>0</v>
      </c>
      <c r="CZ8" s="13">
        <f>VLOOKUP($G8,'Visu totale'!$D$3:$DT$129,CZ$1,0)</f>
        <v>0</v>
      </c>
      <c r="DA8" s="13">
        <f>VLOOKUP($G8,'Visu totale'!$D$3:$DT$129,DA$1,0)</f>
        <v>0</v>
      </c>
      <c r="DB8" s="13">
        <f>VLOOKUP($G8,'Visu totale'!$D$3:$DT$129,DB$1,0)</f>
        <v>0</v>
      </c>
      <c r="DC8" s="13">
        <f>VLOOKUP($G8,'Visu totale'!$D$3:$DT$129,DC$1,0)</f>
        <v>0</v>
      </c>
      <c r="DD8" s="13">
        <f>VLOOKUP($G8,'Visu totale'!$D$3:$DT$129,DD$1,0)</f>
        <v>0</v>
      </c>
      <c r="DE8" s="13">
        <f>VLOOKUP($G8,'Visu totale'!$D$3:$DT$129,DE$1,0)</f>
        <v>0</v>
      </c>
      <c r="DF8" s="13">
        <f>VLOOKUP($G8,'Visu totale'!$D$3:$DT$129,DF$1,0)</f>
        <v>0</v>
      </c>
      <c r="DG8" s="13">
        <f>VLOOKUP($G8,'Visu totale'!$D$3:$DT$129,DG$1,0)</f>
        <v>0</v>
      </c>
      <c r="DH8" s="13">
        <f>VLOOKUP($G8,'Visu totale'!$D$3:$DT$129,DH$1,0)</f>
        <v>0</v>
      </c>
      <c r="DI8" s="13">
        <f>VLOOKUP($G8,'Visu totale'!$D$3:$DT$129,DI$1,0)</f>
        <v>0</v>
      </c>
      <c r="DJ8" s="15">
        <f>VLOOKUP($G8,'Visu totale'!$D$3:$DT$129,DJ$1,0)</f>
        <v>0</v>
      </c>
      <c r="DK8" s="14">
        <f>VLOOKUP($G8,'Visu totale'!$D$3:$DT$129,DK$1,0)</f>
        <v>0</v>
      </c>
      <c r="DL8" s="13">
        <f>VLOOKUP($G8,'Visu totale'!$D$3:$DT$129,DL$1,0)</f>
        <v>0</v>
      </c>
      <c r="DM8" s="13">
        <f>VLOOKUP($G8,'Visu totale'!$D$3:$DT$129,DM$1,0)</f>
        <v>0</v>
      </c>
      <c r="DN8" s="13">
        <f>VLOOKUP($G8,'Visu totale'!$D$3:$DT$129,DN$1,0)</f>
        <v>0</v>
      </c>
      <c r="DO8" s="13">
        <f>VLOOKUP($G8,'Visu totale'!$D$3:$DT$129,DO$1,0)</f>
        <v>0</v>
      </c>
      <c r="DP8" s="13">
        <f>VLOOKUP($G8,'Visu totale'!$D$3:$DT$129,DP$1,0)</f>
        <v>0</v>
      </c>
      <c r="DQ8" s="13">
        <f>VLOOKUP($G8,'Visu totale'!$D$3:$DT$129,DQ$1,0)</f>
        <v>0</v>
      </c>
      <c r="DR8" s="13">
        <f>VLOOKUP($G8,'Visu totale'!$D$3:$DT$129,DR$1,0)</f>
        <v>0</v>
      </c>
      <c r="DS8" s="13">
        <f>VLOOKUP($G8,'Visu totale'!$D$3:$DT$129,DS$1,0)</f>
        <v>0</v>
      </c>
      <c r="DT8" s="13">
        <f>VLOOKUP($G8,'Visu totale'!$D$3:$DT$129,DT$1,0)</f>
        <v>0</v>
      </c>
      <c r="DU8" s="13">
        <f>VLOOKUP($G8,'Visu totale'!$D$3:$DT$129,DU$1,0)</f>
        <v>0</v>
      </c>
      <c r="DV8" s="15">
        <f>VLOOKUP($G8,'Visu totale'!$D$3:$DT$129,DV$1,0)</f>
        <v>0</v>
      </c>
    </row>
    <row r="9" spans="1:1483" x14ac:dyDescent="0.25">
      <c r="A9" s="13"/>
      <c r="B9" s="13"/>
      <c r="C9" s="13"/>
      <c r="D9" s="16"/>
      <c r="E9" s="14"/>
      <c r="F9" s="13"/>
      <c r="G9" s="17" t="s">
        <v>11</v>
      </c>
      <c r="H9" s="13" t="str">
        <f>VLOOKUP($G9,'Visu totale'!$D$3:$DT$129,H$1,0)</f>
        <v>NANCY_D</v>
      </c>
      <c r="I9" s="13" t="str">
        <f>VLOOKUP($G9,'Visu totale'!$D$3:$DT$129,I$1,0)</f>
        <v>NANCY_D</v>
      </c>
      <c r="J9" s="13" t="str">
        <f>VLOOKUP($G9,'Visu totale'!$D$3:$DT$129,J$1,0)</f>
        <v>NANCY_D</v>
      </c>
      <c r="K9" s="13" t="str">
        <f>VLOOKUP($G9,'Visu totale'!$D$3:$DT$129,K$1,0)</f>
        <v>NANCY_D</v>
      </c>
      <c r="L9" s="13">
        <f>VLOOKUP($G9,'Visu totale'!$D$3:$DT$129,L$1,0)</f>
        <v>18</v>
      </c>
      <c r="M9" s="13">
        <f>VLOOKUP($G9,'Visu totale'!$D$3:$DT$129,M$1,0)</f>
        <v>18</v>
      </c>
      <c r="N9" s="13" t="str">
        <f>VLOOKUP($G9,'Visu totale'!$D$3:$DT$129,N$1,0)</f>
        <v>NANCY_D</v>
      </c>
      <c r="O9" s="13" t="str">
        <f>VLOOKUP($G9,'Visu totale'!$D$3:$DT$129,O$1,0)</f>
        <v>NANCY_D</v>
      </c>
      <c r="P9" s="13" t="str">
        <f>VLOOKUP($G9,'Visu totale'!$D$3:$DT$129,P$1,0)</f>
        <v>NANCY_D</v>
      </c>
      <c r="Q9" s="13" t="str">
        <f>VLOOKUP($G9,'Visu totale'!$D$3:$DT$129,Q$1,0)</f>
        <v>NANCY_D</v>
      </c>
      <c r="R9" s="15">
        <f>VLOOKUP($G9,'Visu totale'!$D$3:$DT$129,R$1,0)</f>
        <v>18</v>
      </c>
      <c r="S9" s="14">
        <f>VLOOKUP($G9,'Visu totale'!$D$3:$DT$129,S$1,0)</f>
        <v>18</v>
      </c>
      <c r="T9" s="13" t="str">
        <f>VLOOKUP($G9,'Visu totale'!$D$3:$DT$129,T$1,0)</f>
        <v>NANCY_D</v>
      </c>
      <c r="U9" s="13" t="str">
        <f>VLOOKUP($G9,'Visu totale'!$D$3:$DT$129,U$1,0)</f>
        <v>NANCY_D</v>
      </c>
      <c r="V9" s="13" t="str">
        <f>VLOOKUP($G9,'Visu totale'!$D$3:$DT$129,V$1,0)</f>
        <v>NANCY_D</v>
      </c>
      <c r="W9" s="13" t="str">
        <f>VLOOKUP($G9,'Visu totale'!$D$3:$DT$129,W$1,0)</f>
        <v>NANCY_D</v>
      </c>
      <c r="X9" s="13">
        <f>VLOOKUP($G9,'Visu totale'!$D$3:$DT$129,X$1,0)</f>
        <v>18</v>
      </c>
      <c r="Y9" s="13">
        <f>VLOOKUP($G9,'Visu totale'!$D$3:$DT$129,Y$1,0)</f>
        <v>18</v>
      </c>
      <c r="Z9" s="13" t="str">
        <f>VLOOKUP($G9,'Visu totale'!$D$3:$DT$129,Z$1,0)</f>
        <v>NANCY_D</v>
      </c>
      <c r="AA9" s="13" t="str">
        <f>VLOOKUP($G9,'Visu totale'!$D$3:$DT$129,AA$1,0)</f>
        <v>NANCY_D</v>
      </c>
      <c r="AB9" s="13" t="str">
        <f>VLOOKUP($G9,'Visu totale'!$D$3:$DT$129,AB$1,0)</f>
        <v>NANCY_D</v>
      </c>
      <c r="AC9" s="13" t="str">
        <f>VLOOKUP($G9,'Visu totale'!$D$3:$DT$129,AC$1,0)</f>
        <v>NANCY_D</v>
      </c>
      <c r="AD9" s="15">
        <f>VLOOKUP($G9,'Visu totale'!$D$3:$DT$129,AD$1,0)</f>
        <v>18</v>
      </c>
      <c r="AE9" s="14">
        <f>VLOOKUP($G9,'Visu totale'!$D$3:$DT$129,AE$1,0)</f>
        <v>18</v>
      </c>
      <c r="AF9" s="13" t="str">
        <f>VLOOKUP($G9,'Visu totale'!$D$3:$DT$129,AF$1,0)</f>
        <v>NANCY_D</v>
      </c>
      <c r="AG9" s="13" t="str">
        <f>VLOOKUP($G9,'Visu totale'!$D$3:$DT$129,AG$1,0)</f>
        <v>NANCY_D</v>
      </c>
      <c r="AH9" s="13" t="str">
        <f>VLOOKUP($G9,'Visu totale'!$D$3:$DT$129,AH$1,0)</f>
        <v>NANCY_D</v>
      </c>
      <c r="AI9" s="13" t="str">
        <f>VLOOKUP($G9,'Visu totale'!$D$3:$DT$129,AI$1,0)</f>
        <v>NANCY_D</v>
      </c>
      <c r="AJ9" s="13">
        <f>VLOOKUP($G9,'Visu totale'!$D$3:$DT$129,AJ$1,0)</f>
        <v>18</v>
      </c>
      <c r="AK9" s="13">
        <f>VLOOKUP($G9,'Visu totale'!$D$3:$DT$129,AK$1,0)</f>
        <v>18</v>
      </c>
      <c r="AL9" s="13" t="str">
        <f>VLOOKUP($G9,'Visu totale'!$D$3:$DT$129,AL$1,0)</f>
        <v>NANCY_D</v>
      </c>
      <c r="AM9" s="13" t="str">
        <f>VLOOKUP($G9,'Visu totale'!$D$3:$DT$129,AM$1,0)</f>
        <v>NANCY_D</v>
      </c>
      <c r="AN9" s="13" t="str">
        <f>VLOOKUP($G9,'Visu totale'!$D$3:$DT$129,AN$1,0)</f>
        <v>NANCY_D</v>
      </c>
      <c r="AO9" s="13" t="str">
        <f>VLOOKUP($G9,'Visu totale'!$D$3:$DT$129,AO$1,0)</f>
        <v>NANCY_D</v>
      </c>
      <c r="AP9" s="15">
        <f>VLOOKUP($G9,'Visu totale'!$D$3:$DT$129,AP$1,0)</f>
        <v>18</v>
      </c>
      <c r="AQ9" s="14">
        <f>VLOOKUP($G9,'Visu totale'!$D$3:$DT$129,AQ$1,0)</f>
        <v>18</v>
      </c>
      <c r="AR9" s="13">
        <f>VLOOKUP($G9,'Visu totale'!$D$3:$DT$129,AR$1,0)</f>
        <v>18</v>
      </c>
      <c r="AS9" s="13">
        <f>VLOOKUP($G9,'Visu totale'!$D$3:$DT$129,AS$1,0)</f>
        <v>18</v>
      </c>
      <c r="AT9" s="13">
        <f>VLOOKUP($G9,'Visu totale'!$D$3:$DT$129,AT$1,0)</f>
        <v>18</v>
      </c>
      <c r="AU9" s="13">
        <f>VLOOKUP($G9,'Visu totale'!$D$3:$DT$129,AU$1,0)</f>
        <v>18</v>
      </c>
      <c r="AV9" s="13">
        <f>VLOOKUP($G9,'Visu totale'!$D$3:$DT$129,AV$1,0)</f>
        <v>18</v>
      </c>
      <c r="AW9" s="13">
        <f>VLOOKUP($G9,'Visu totale'!$D$3:$DT$129,AW$1,0)</f>
        <v>18</v>
      </c>
      <c r="AX9" s="13">
        <f>VLOOKUP($G9,'Visu totale'!$D$3:$DT$129,AX$1,0)</f>
        <v>18</v>
      </c>
      <c r="AY9" s="13">
        <f>VLOOKUP($G9,'Visu totale'!$D$3:$DT$129,AY$1,0)</f>
        <v>0</v>
      </c>
      <c r="AZ9" s="13">
        <f>VLOOKUP($G9,'Visu totale'!$D$3:$DT$129,AZ$1,0)</f>
        <v>0</v>
      </c>
      <c r="BA9" s="13">
        <f>VLOOKUP($G9,'Visu totale'!$D$3:$DT$129,BA$1,0)</f>
        <v>0</v>
      </c>
      <c r="BB9" s="15">
        <f>VLOOKUP($G9,'Visu totale'!$D$3:$DT$129,BB$1,0)</f>
        <v>0</v>
      </c>
      <c r="BC9" s="14">
        <f>VLOOKUP($G9,'Visu totale'!$D$3:$DT$129,BC$1,0)</f>
        <v>0</v>
      </c>
      <c r="BD9" s="13">
        <f>VLOOKUP($G9,'Visu totale'!$D$3:$DT$129,BD$1,0)</f>
        <v>0</v>
      </c>
      <c r="BE9" s="13" t="str">
        <f>VLOOKUP($G9,'Visu totale'!$D$3:$DT$129,BE$1,0)</f>
        <v>V5</v>
      </c>
      <c r="BF9" s="13" t="str">
        <f>VLOOKUP($G9,'Visu totale'!$D$3:$DT$129,BF$1,0)</f>
        <v>V5</v>
      </c>
      <c r="BG9" s="13" t="str">
        <f>VLOOKUP($G9,'Visu totale'!$D$3:$DT$129,BG$1,0)</f>
        <v>V5</v>
      </c>
      <c r="BH9" s="13" t="str">
        <f>VLOOKUP($G9,'Visu totale'!$D$3:$DT$129,BH$1,0)</f>
        <v>V5</v>
      </c>
      <c r="BI9" s="13" t="str">
        <f>VLOOKUP($G9,'Visu totale'!$D$3:$DT$129,BI$1,0)</f>
        <v>V5</v>
      </c>
      <c r="BJ9" s="13" t="str">
        <f>VLOOKUP($G9,'Visu totale'!$D$3:$DT$129,BJ$1,0)</f>
        <v>V5</v>
      </c>
      <c r="BK9" s="13">
        <f>VLOOKUP($G9,'Visu totale'!$D$3:$DT$129,BK$1,0)</f>
        <v>18</v>
      </c>
      <c r="BL9" s="13">
        <f>VLOOKUP($G9,'Visu totale'!$D$3:$DT$129,BL$1,0)</f>
        <v>18</v>
      </c>
      <c r="BM9" s="13" t="str">
        <f>VLOOKUP($G9,'Visu totale'!$D$3:$DT$129,BM$1,0)</f>
        <v>NANCY_D</v>
      </c>
      <c r="BN9" s="15" t="str">
        <f>VLOOKUP($G9,'Visu totale'!$D$3:$DT$129,BN$1,0)</f>
        <v>NANCY_D</v>
      </c>
      <c r="BO9" s="14" t="str">
        <f>VLOOKUP($G9,'Visu totale'!$D$3:$DT$129,BO$1,0)</f>
        <v>NANCY_D</v>
      </c>
      <c r="BP9" s="13" t="str">
        <f>VLOOKUP($G9,'Visu totale'!$D$3:$DT$129,BP$1,0)</f>
        <v>NANCY_D</v>
      </c>
      <c r="BQ9" s="13" t="str">
        <f>VLOOKUP($G9,'Visu totale'!$D$3:$DT$129,BQ$1,0)</f>
        <v>NANCY_D</v>
      </c>
      <c r="BR9" s="13" t="str">
        <f>VLOOKUP($G9,'Visu totale'!$D$3:$DT$129,BR$1,0)</f>
        <v>NANCY_D</v>
      </c>
      <c r="BS9" s="13">
        <f>VLOOKUP($G9,'Visu totale'!$D$3:$DT$129,BS$1,0)</f>
        <v>18</v>
      </c>
      <c r="BT9" s="13">
        <f>VLOOKUP($G9,'Visu totale'!$D$3:$DT$129,BT$1,0)</f>
        <v>18</v>
      </c>
      <c r="BU9" s="13" t="str">
        <f>VLOOKUP($G9,'Visu totale'!$D$3:$DT$129,BU$1,0)</f>
        <v>NANCY_D</v>
      </c>
      <c r="BV9" s="13" t="str">
        <f>VLOOKUP($G9,'Visu totale'!$D$3:$DT$129,BV$1,0)</f>
        <v>NANCY_D</v>
      </c>
      <c r="BW9" s="13" t="str">
        <f>VLOOKUP($G9,'Visu totale'!$D$3:$DT$129,BW$1,0)</f>
        <v>NANCY_D</v>
      </c>
      <c r="BX9" s="13" t="str">
        <f>VLOOKUP($G9,'Visu totale'!$D$3:$DT$129,BX$1,0)</f>
        <v>NANCY_D</v>
      </c>
      <c r="BY9" s="13">
        <f>VLOOKUP($G9,'Visu totale'!$D$3:$DT$129,BY$1,0)</f>
        <v>18</v>
      </c>
      <c r="BZ9" s="15">
        <f>VLOOKUP($G9,'Visu totale'!$D$3:$DT$129,BZ$1,0)</f>
        <v>18</v>
      </c>
      <c r="CA9" s="14" t="str">
        <f>VLOOKUP($G9,'Visu totale'!$D$3:$DT$129,CA$1,0)</f>
        <v>NANCY_D</v>
      </c>
      <c r="CB9" s="13" t="str">
        <f>VLOOKUP($G9,'Visu totale'!$D$3:$DT$129,CB$1,0)</f>
        <v>NANCY_D</v>
      </c>
      <c r="CC9" s="13" t="str">
        <f>VLOOKUP($G9,'Visu totale'!$D$3:$DT$129,CC$1,0)</f>
        <v>NANCY_D</v>
      </c>
      <c r="CD9" s="13" t="str">
        <f>VLOOKUP($G9,'Visu totale'!$D$3:$DT$129,CD$1,0)</f>
        <v>NANCY_D</v>
      </c>
      <c r="CE9" s="13">
        <f>VLOOKUP($G9,'Visu totale'!$D$3:$DT$129,CE$1,0)</f>
        <v>18</v>
      </c>
      <c r="CF9" s="13">
        <f>VLOOKUP($G9,'Visu totale'!$D$3:$DT$129,CF$1,0)</f>
        <v>18</v>
      </c>
      <c r="CG9" s="13" t="str">
        <f>VLOOKUP($G9,'Visu totale'!$D$3:$DT$129,CG$1,0)</f>
        <v>NANCY_D</v>
      </c>
      <c r="CH9" s="13" t="str">
        <f>VLOOKUP($G9,'Visu totale'!$D$3:$DT$129,CH$1,0)</f>
        <v>NANCY_D</v>
      </c>
      <c r="CI9" s="13" t="str">
        <f>VLOOKUP($G9,'Visu totale'!$D$3:$DT$129,CI$1,0)</f>
        <v>NANCY_D</v>
      </c>
      <c r="CJ9" s="13" t="str">
        <f>VLOOKUP($G9,'Visu totale'!$D$3:$DT$129,CJ$1,0)</f>
        <v>NANCY_D</v>
      </c>
      <c r="CK9" s="13">
        <f>VLOOKUP($G9,'Visu totale'!$D$3:$DT$129,CK$1,0)</f>
        <v>18</v>
      </c>
      <c r="CL9" s="15">
        <f>VLOOKUP($G9,'Visu totale'!$D$3:$DT$129,CL$1,0)</f>
        <v>18</v>
      </c>
      <c r="CM9" s="14" t="str">
        <f>VLOOKUP($G9,'Visu totale'!$D$3:$DT$129,CM$1,0)</f>
        <v>NANCY_D</v>
      </c>
      <c r="CN9" s="13" t="str">
        <f>VLOOKUP($G9,'Visu totale'!$D$3:$DT$129,CN$1,0)</f>
        <v>NANCY_D</v>
      </c>
      <c r="CO9" s="13" t="str">
        <f>VLOOKUP($G9,'Visu totale'!$D$3:$DT$129,CO$1,0)</f>
        <v>NANCY_D</v>
      </c>
      <c r="CP9" s="13" t="str">
        <f>VLOOKUP($G9,'Visu totale'!$D$3:$DT$129,CP$1,0)</f>
        <v>NANCY_D</v>
      </c>
      <c r="CQ9" s="13">
        <f>VLOOKUP($G9,'Visu totale'!$D$3:$DT$129,CQ$1,0)</f>
        <v>18</v>
      </c>
      <c r="CR9" s="13">
        <f>VLOOKUP($G9,'Visu totale'!$D$3:$DT$129,CR$1,0)</f>
        <v>18</v>
      </c>
      <c r="CS9" s="13" t="str">
        <f>VLOOKUP($G9,'Visu totale'!$D$3:$DT$129,CS$1,0)</f>
        <v>NANCY_D</v>
      </c>
      <c r="CT9" s="13" t="str">
        <f>VLOOKUP($G9,'Visu totale'!$D$3:$DT$129,CT$1,0)</f>
        <v>NANCY_D</v>
      </c>
      <c r="CU9" s="13" t="str">
        <f>VLOOKUP($G9,'Visu totale'!$D$3:$DT$129,CU$1,0)</f>
        <v>NANCY_D</v>
      </c>
      <c r="CV9" s="13" t="str">
        <f>VLOOKUP($G9,'Visu totale'!$D$3:$DT$129,CV$1,0)</f>
        <v>NANCY_D</v>
      </c>
      <c r="CW9" s="13">
        <f>VLOOKUP($G9,'Visu totale'!$D$3:$DT$129,CW$1,0)</f>
        <v>18</v>
      </c>
      <c r="CX9" s="15">
        <f>VLOOKUP($G9,'Visu totale'!$D$3:$DT$129,CX$1,0)</f>
        <v>18</v>
      </c>
      <c r="CY9" s="14">
        <f>VLOOKUP($G9,'Visu totale'!$D$3:$DT$129,CY$1,0)</f>
        <v>0</v>
      </c>
      <c r="CZ9" s="13">
        <f>VLOOKUP($G9,'Visu totale'!$D$3:$DT$129,CZ$1,0)</f>
        <v>0</v>
      </c>
      <c r="DA9" s="13">
        <f>VLOOKUP($G9,'Visu totale'!$D$3:$DT$129,DA$1,0)</f>
        <v>0</v>
      </c>
      <c r="DB9" s="13">
        <f>VLOOKUP($G9,'Visu totale'!$D$3:$DT$129,DB$1,0)</f>
        <v>0</v>
      </c>
      <c r="DC9" s="13">
        <f>VLOOKUP($G9,'Visu totale'!$D$3:$DT$129,DC$1,0)</f>
        <v>0</v>
      </c>
      <c r="DD9" s="13">
        <f>VLOOKUP($G9,'Visu totale'!$D$3:$DT$129,DD$1,0)</f>
        <v>0</v>
      </c>
      <c r="DE9" s="13">
        <f>VLOOKUP($G9,'Visu totale'!$D$3:$DT$129,DE$1,0)</f>
        <v>0</v>
      </c>
      <c r="DF9" s="13">
        <f>VLOOKUP($G9,'Visu totale'!$D$3:$DT$129,DF$1,0)</f>
        <v>0</v>
      </c>
      <c r="DG9" s="13">
        <f>VLOOKUP($G9,'Visu totale'!$D$3:$DT$129,DG$1,0)</f>
        <v>0</v>
      </c>
      <c r="DH9" s="13">
        <f>VLOOKUP($G9,'Visu totale'!$D$3:$DT$129,DH$1,0)</f>
        <v>0</v>
      </c>
      <c r="DI9" s="13">
        <f>VLOOKUP($G9,'Visu totale'!$D$3:$DT$129,DI$1,0)</f>
        <v>0</v>
      </c>
      <c r="DJ9" s="15">
        <f>VLOOKUP($G9,'Visu totale'!$D$3:$DT$129,DJ$1,0)</f>
        <v>0</v>
      </c>
      <c r="DK9" s="14">
        <f>VLOOKUP($G9,'Visu totale'!$D$3:$DT$129,DK$1,0)</f>
        <v>0</v>
      </c>
      <c r="DL9" s="13">
        <f>VLOOKUP($G9,'Visu totale'!$D$3:$DT$129,DL$1,0)</f>
        <v>0</v>
      </c>
      <c r="DM9" s="13">
        <f>VLOOKUP($G9,'Visu totale'!$D$3:$DT$129,DM$1,0)</f>
        <v>0</v>
      </c>
      <c r="DN9" s="13">
        <f>VLOOKUP($G9,'Visu totale'!$D$3:$DT$129,DN$1,0)</f>
        <v>0</v>
      </c>
      <c r="DO9" s="13">
        <f>VLOOKUP($G9,'Visu totale'!$D$3:$DT$129,DO$1,0)</f>
        <v>0</v>
      </c>
      <c r="DP9" s="13">
        <f>VLOOKUP($G9,'Visu totale'!$D$3:$DT$129,DP$1,0)</f>
        <v>0</v>
      </c>
      <c r="DQ9" s="13">
        <f>VLOOKUP($G9,'Visu totale'!$D$3:$DT$129,DQ$1,0)</f>
        <v>0</v>
      </c>
      <c r="DR9" s="13">
        <f>VLOOKUP($G9,'Visu totale'!$D$3:$DT$129,DR$1,0)</f>
        <v>0</v>
      </c>
      <c r="DS9" s="13">
        <f>VLOOKUP($G9,'Visu totale'!$D$3:$DT$129,DS$1,0)</f>
        <v>0</v>
      </c>
      <c r="DT9" s="13">
        <f>VLOOKUP($G9,'Visu totale'!$D$3:$DT$129,DT$1,0)</f>
        <v>0</v>
      </c>
      <c r="DU9" s="13">
        <f>VLOOKUP($G9,'Visu totale'!$D$3:$DT$129,DU$1,0)</f>
        <v>0</v>
      </c>
      <c r="DV9" s="15">
        <f>VLOOKUP($G9,'Visu totale'!$D$3:$DT$129,DV$1,0)</f>
        <v>0</v>
      </c>
    </row>
    <row r="10" spans="1:1483" x14ac:dyDescent="0.25">
      <c r="A10" s="13"/>
      <c r="B10" s="13"/>
      <c r="C10" s="13"/>
      <c r="D10" s="16"/>
      <c r="E10" s="14"/>
      <c r="F10" s="13"/>
      <c r="G10" s="17" t="s">
        <v>12</v>
      </c>
      <c r="H10" s="13" t="str">
        <f>VLOOKUP($G10,'Visu totale'!$D$3:$DT$129,H$1,0)</f>
        <v>NANCY_D</v>
      </c>
      <c r="I10" s="13" t="str">
        <f>VLOOKUP($G10,'Visu totale'!$D$3:$DT$129,I$1,0)</f>
        <v>NANCY_D</v>
      </c>
      <c r="J10" s="13" t="str">
        <f>VLOOKUP($G10,'Visu totale'!$D$3:$DT$129,J$1,0)</f>
        <v>NANCY_D</v>
      </c>
      <c r="K10" s="13">
        <f>VLOOKUP($G10,'Visu totale'!$D$3:$DT$129,K$1,0)</f>
        <v>18</v>
      </c>
      <c r="L10" s="13">
        <f>VLOOKUP($G10,'Visu totale'!$D$3:$DT$129,L$1,0)</f>
        <v>18</v>
      </c>
      <c r="M10" s="13">
        <f>VLOOKUP($G10,'Visu totale'!$D$3:$DT$129,M$1,0)</f>
        <v>18</v>
      </c>
      <c r="N10" s="13" t="str">
        <f>VLOOKUP($G10,'Visu totale'!$D$3:$DT$129,N$1,0)</f>
        <v>V10</v>
      </c>
      <c r="O10" s="13" t="str">
        <f>VLOOKUP($G10,'Visu totale'!$D$3:$DT$129,O$1,0)</f>
        <v>V10</v>
      </c>
      <c r="P10" s="13" t="str">
        <f>VLOOKUP($G10,'Visu totale'!$D$3:$DT$129,P$1,0)</f>
        <v>V10</v>
      </c>
      <c r="Q10" s="13" t="str">
        <f>VLOOKUP($G10,'Visu totale'!$D$3:$DT$129,Q$1,0)</f>
        <v>V10</v>
      </c>
      <c r="R10" s="15" t="str">
        <f>VLOOKUP($G10,'Visu totale'!$D$3:$DT$129,R$1,0)</f>
        <v>V10</v>
      </c>
      <c r="S10" s="14" t="str">
        <f>VLOOKUP($G10,'Visu totale'!$D$3:$DT$129,S$1,0)</f>
        <v>V10</v>
      </c>
      <c r="T10" s="13" t="str">
        <f>VLOOKUP($G10,'Visu totale'!$D$3:$DT$129,T$1,0)</f>
        <v>V10</v>
      </c>
      <c r="U10" s="13">
        <f>VLOOKUP($G10,'Visu totale'!$D$3:$DT$129,U$1,0)</f>
        <v>18</v>
      </c>
      <c r="V10" s="13">
        <f>VLOOKUP($G10,'Visu totale'!$D$3:$DT$129,V$1,0)</f>
        <v>18</v>
      </c>
      <c r="W10" s="13" t="str">
        <f>VLOOKUP($G10,'Visu totale'!$D$3:$DT$129,W$1,0)</f>
        <v>CHAMMAL_D</v>
      </c>
      <c r="X10" s="13" t="str">
        <f>VLOOKUP($G10,'Visu totale'!$D$3:$DT$129,X$1,0)</f>
        <v>CHAMMAL_D</v>
      </c>
      <c r="Y10" s="13" t="str">
        <f>VLOOKUP($G10,'Visu totale'!$D$3:$DT$129,Y$1,0)</f>
        <v>CHAMMAL_D</v>
      </c>
      <c r="Z10" s="13" t="str">
        <f>VLOOKUP($G10,'Visu totale'!$D$3:$DT$129,Z$1,0)</f>
        <v>CHAMMAL_D</v>
      </c>
      <c r="AA10" s="13">
        <f>VLOOKUP($G10,'Visu totale'!$D$3:$DT$129,AA$1,0)</f>
        <v>18</v>
      </c>
      <c r="AB10" s="13">
        <f>VLOOKUP($G10,'Visu totale'!$D$3:$DT$129,AB$1,0)</f>
        <v>18</v>
      </c>
      <c r="AC10" s="13" t="str">
        <f>VLOOKUP($G10,'Visu totale'!$D$3:$DT$129,AC$1,0)</f>
        <v>CHAMMAL_D</v>
      </c>
      <c r="AD10" s="15" t="str">
        <f>VLOOKUP($G10,'Visu totale'!$D$3:$DT$129,AD$1,0)</f>
        <v>CHAMMAL_D</v>
      </c>
      <c r="AE10" s="14" t="str">
        <f>VLOOKUP($G10,'Visu totale'!$D$3:$DT$129,AE$1,0)</f>
        <v>CHAMMAL_D</v>
      </c>
      <c r="AF10" s="13" t="str">
        <f>VLOOKUP($G10,'Visu totale'!$D$3:$DT$129,AF$1,0)</f>
        <v>CHAMMAL_D</v>
      </c>
      <c r="AG10" s="13">
        <f>VLOOKUP($G10,'Visu totale'!$D$3:$DT$129,AG$1,0)</f>
        <v>18</v>
      </c>
      <c r="AH10" s="13">
        <f>VLOOKUP($G10,'Visu totale'!$D$3:$DT$129,AH$1,0)</f>
        <v>18</v>
      </c>
      <c r="AI10" s="13" t="str">
        <f>VLOOKUP($G10,'Visu totale'!$D$3:$DT$129,AI$1,0)</f>
        <v>NANCY_D</v>
      </c>
      <c r="AJ10" s="13" t="str">
        <f>VLOOKUP($G10,'Visu totale'!$D$3:$DT$129,AJ$1,0)</f>
        <v>NANCY_D</v>
      </c>
      <c r="AK10" s="13">
        <f>VLOOKUP($G10,'Visu totale'!$D$3:$DT$129,AK$1,0)</f>
        <v>18</v>
      </c>
      <c r="AL10" s="13">
        <f>VLOOKUP($G10,'Visu totale'!$D$3:$DT$129,AL$1,0)</f>
        <v>18</v>
      </c>
      <c r="AM10" s="13" t="str">
        <f>VLOOKUP($G10,'Visu totale'!$D$3:$DT$129,AM$1,0)</f>
        <v>NANCY_D</v>
      </c>
      <c r="AN10" s="13" t="str">
        <f>VLOOKUP($G10,'Visu totale'!$D$3:$DT$129,AN$1,0)</f>
        <v>NANCY_D</v>
      </c>
      <c r="AO10" s="13" t="str">
        <f>VLOOKUP($G10,'Visu totale'!$D$3:$DT$129,AO$1,0)</f>
        <v>NANCY_D</v>
      </c>
      <c r="AP10" s="15" t="str">
        <f>VLOOKUP($G10,'Visu totale'!$D$3:$DT$129,AP$1,0)</f>
        <v>NANCY_D</v>
      </c>
      <c r="AQ10" s="14">
        <f>VLOOKUP($G10,'Visu totale'!$D$3:$DT$129,AQ$1,0)</f>
        <v>18</v>
      </c>
      <c r="AR10" s="13">
        <f>VLOOKUP($G10,'Visu totale'!$D$3:$DT$129,AR$1,0)</f>
        <v>18</v>
      </c>
      <c r="AS10" s="13">
        <f>VLOOKUP($G10,'Visu totale'!$D$3:$DT$129,AS$1,0)</f>
        <v>18</v>
      </c>
      <c r="AT10" s="13">
        <f>VLOOKUP($G10,'Visu totale'!$D$3:$DT$129,AT$1,0)</f>
        <v>18</v>
      </c>
      <c r="AU10" s="13">
        <f>VLOOKUP($G10,'Visu totale'!$D$3:$DT$129,AU$1,0)</f>
        <v>18</v>
      </c>
      <c r="AV10" s="13">
        <f>VLOOKUP($G10,'Visu totale'!$D$3:$DT$129,AV$1,0)</f>
        <v>18</v>
      </c>
      <c r="AW10" s="13">
        <f>VLOOKUP($G10,'Visu totale'!$D$3:$DT$129,AW$1,0)</f>
        <v>0</v>
      </c>
      <c r="AX10" s="13">
        <f>VLOOKUP($G10,'Visu totale'!$D$3:$DT$129,AX$1,0)</f>
        <v>0</v>
      </c>
      <c r="AY10" s="13">
        <f>VLOOKUP($G10,'Visu totale'!$D$3:$DT$129,AY$1,0)</f>
        <v>0</v>
      </c>
      <c r="AZ10" s="13">
        <f>VLOOKUP($G10,'Visu totale'!$D$3:$DT$129,AZ$1,0)</f>
        <v>0</v>
      </c>
      <c r="BA10" s="13">
        <f>VLOOKUP($G10,'Visu totale'!$D$3:$DT$129,BA$1,0)</f>
        <v>0</v>
      </c>
      <c r="BB10" s="15">
        <f>VLOOKUP($G10,'Visu totale'!$D$3:$DT$129,BB$1,0)</f>
        <v>0</v>
      </c>
      <c r="BC10" s="14">
        <f>VLOOKUP($G10,'Visu totale'!$D$3:$DT$129,BC$1,0)</f>
        <v>0</v>
      </c>
      <c r="BD10" s="13">
        <f>VLOOKUP($G10,'Visu totale'!$D$3:$DT$129,BD$1,0)</f>
        <v>0</v>
      </c>
      <c r="BE10" s="13">
        <f>VLOOKUP($G10,'Visu totale'!$D$3:$DT$129,BE$1,0)</f>
        <v>0</v>
      </c>
      <c r="BF10" s="13">
        <f>VLOOKUP($G10,'Visu totale'!$D$3:$DT$129,BF$1,0)</f>
        <v>0</v>
      </c>
      <c r="BG10" s="13">
        <f>VLOOKUP($G10,'Visu totale'!$D$3:$DT$129,BG$1,0)</f>
        <v>0</v>
      </c>
      <c r="BH10" s="13">
        <f>VLOOKUP($G10,'Visu totale'!$D$3:$DT$129,BH$1,0)</f>
        <v>0</v>
      </c>
      <c r="BI10" s="13">
        <f>VLOOKUP($G10,'Visu totale'!$D$3:$DT$129,BI$1,0)</f>
        <v>0</v>
      </c>
      <c r="BJ10" s="13">
        <f>VLOOKUP($G10,'Visu totale'!$D$3:$DT$129,BJ$1,0)</f>
        <v>0</v>
      </c>
      <c r="BK10" s="13">
        <f>VLOOKUP($G10,'Visu totale'!$D$3:$DT$129,BK$1,0)</f>
        <v>0</v>
      </c>
      <c r="BL10" s="13">
        <f>VLOOKUP($G10,'Visu totale'!$D$3:$DT$129,BL$1,0)</f>
        <v>0</v>
      </c>
      <c r="BM10" s="13">
        <f>VLOOKUP($G10,'Visu totale'!$D$3:$DT$129,BM$1,0)</f>
        <v>0</v>
      </c>
      <c r="BN10" s="15">
        <f>VLOOKUP($G10,'Visu totale'!$D$3:$DT$129,BN$1,0)</f>
        <v>0</v>
      </c>
      <c r="BO10" s="14">
        <f>VLOOKUP($G10,'Visu totale'!$D$3:$DT$129,BO$1,0)</f>
        <v>18</v>
      </c>
      <c r="BP10" s="13">
        <f>VLOOKUP($G10,'Visu totale'!$D$3:$DT$129,BP$1,0)</f>
        <v>18</v>
      </c>
      <c r="BQ10" s="13" t="str">
        <f>VLOOKUP($G10,'Visu totale'!$D$3:$DT$129,BQ$1,0)</f>
        <v>NANCY_D</v>
      </c>
      <c r="BR10" s="13" t="str">
        <f>VLOOKUP($G10,'Visu totale'!$D$3:$DT$129,BR$1,0)</f>
        <v>NANCY_D</v>
      </c>
      <c r="BS10" s="13" t="str">
        <f>VLOOKUP($G10,'Visu totale'!$D$3:$DT$129,BS$1,0)</f>
        <v>NANCY_D</v>
      </c>
      <c r="BT10" s="13" t="str">
        <f>VLOOKUP($G10,'Visu totale'!$D$3:$DT$129,BT$1,0)</f>
        <v>NANCY_D</v>
      </c>
      <c r="BU10" s="13">
        <f>VLOOKUP($G10,'Visu totale'!$D$3:$DT$129,BU$1,0)</f>
        <v>18</v>
      </c>
      <c r="BV10" s="13">
        <f>VLOOKUP($G10,'Visu totale'!$D$3:$DT$129,BV$1,0)</f>
        <v>18</v>
      </c>
      <c r="BW10" s="13" t="str">
        <f>VLOOKUP($G10,'Visu totale'!$D$3:$DT$129,BW$1,0)</f>
        <v>NANCY_D</v>
      </c>
      <c r="BX10" s="13" t="str">
        <f>VLOOKUP($G10,'Visu totale'!$D$3:$DT$129,BX$1,0)</f>
        <v>NANCY_D</v>
      </c>
      <c r="BY10" s="13" t="str">
        <f>VLOOKUP($G10,'Visu totale'!$D$3:$DT$129,BY$1,0)</f>
        <v>NANCY_D</v>
      </c>
      <c r="BZ10" s="15" t="str">
        <f>VLOOKUP($G10,'Visu totale'!$D$3:$DT$129,BZ$1,0)</f>
        <v>NANCY_D</v>
      </c>
      <c r="CA10" s="14">
        <f>VLOOKUP($G10,'Visu totale'!$D$3:$DT$129,CA$1,0)</f>
        <v>18</v>
      </c>
      <c r="CB10" s="13">
        <f>VLOOKUP($G10,'Visu totale'!$D$3:$DT$129,CB$1,0)</f>
        <v>18</v>
      </c>
      <c r="CC10" s="13" t="str">
        <f>VLOOKUP($G10,'Visu totale'!$D$3:$DT$129,CC$1,0)</f>
        <v>NANCY_D</v>
      </c>
      <c r="CD10" s="13" t="str">
        <f>VLOOKUP($G10,'Visu totale'!$D$3:$DT$129,CD$1,0)</f>
        <v>NANCY_D</v>
      </c>
      <c r="CE10" s="13" t="str">
        <f>VLOOKUP($G10,'Visu totale'!$D$3:$DT$129,CE$1,0)</f>
        <v>NANCY_D</v>
      </c>
      <c r="CF10" s="13" t="str">
        <f>VLOOKUP($G10,'Visu totale'!$D$3:$DT$129,CF$1,0)</f>
        <v>NANCY_D</v>
      </c>
      <c r="CG10" s="13">
        <f>VLOOKUP($G10,'Visu totale'!$D$3:$DT$129,CG$1,0)</f>
        <v>18</v>
      </c>
      <c r="CH10" s="13">
        <f>VLOOKUP($G10,'Visu totale'!$D$3:$DT$129,CH$1,0)</f>
        <v>18</v>
      </c>
      <c r="CI10" s="13" t="str">
        <f>VLOOKUP($G10,'Visu totale'!$D$3:$DT$129,CI$1,0)</f>
        <v>NANCY_D</v>
      </c>
      <c r="CJ10" s="13" t="str">
        <f>VLOOKUP($G10,'Visu totale'!$D$3:$DT$129,CJ$1,0)</f>
        <v>NANCY_D</v>
      </c>
      <c r="CK10" s="13" t="str">
        <f>VLOOKUP($G10,'Visu totale'!$D$3:$DT$129,CK$1,0)</f>
        <v>NANCY_D</v>
      </c>
      <c r="CL10" s="15" t="str">
        <f>VLOOKUP($G10,'Visu totale'!$D$3:$DT$129,CL$1,0)</f>
        <v>NANCY_D</v>
      </c>
      <c r="CM10" s="14" t="str">
        <f>VLOOKUP($G10,'Visu totale'!$D$3:$DT$129,CM$1,0)</f>
        <v>V20</v>
      </c>
      <c r="CN10" s="13" t="str">
        <f>VLOOKUP($G10,'Visu totale'!$D$3:$DT$129,CN$1,0)</f>
        <v>V20</v>
      </c>
      <c r="CO10" s="13" t="str">
        <f>VLOOKUP($G10,'Visu totale'!$D$3:$DT$129,CO$1,0)</f>
        <v>V20</v>
      </c>
      <c r="CP10" s="13" t="str">
        <f>VLOOKUP($G10,'Visu totale'!$D$3:$DT$129,CP$1,0)</f>
        <v>V20</v>
      </c>
      <c r="CQ10" s="13" t="str">
        <f>VLOOKUP($G10,'Visu totale'!$D$3:$DT$129,CQ$1,0)</f>
        <v>V20</v>
      </c>
      <c r="CR10" s="13" t="str">
        <f>VLOOKUP($G10,'Visu totale'!$D$3:$DT$129,CR$1,0)</f>
        <v>V20</v>
      </c>
      <c r="CS10" s="13">
        <f>VLOOKUP($G10,'Visu totale'!$D$3:$DT$129,CS$1,0)</f>
        <v>18</v>
      </c>
      <c r="CT10" s="13">
        <f>VLOOKUP($G10,'Visu totale'!$D$3:$DT$129,CT$1,0)</f>
        <v>18</v>
      </c>
      <c r="CU10" s="13">
        <f>VLOOKUP($G10,'Visu totale'!$D$3:$DT$129,CU$1,0)</f>
        <v>18</v>
      </c>
      <c r="CV10" s="13">
        <f>VLOOKUP($G10,'Visu totale'!$D$3:$DT$129,CV$1,0)</f>
        <v>18</v>
      </c>
      <c r="CW10" s="13">
        <f>VLOOKUP($G10,'Visu totale'!$D$3:$DT$129,CW$1,0)</f>
        <v>18</v>
      </c>
      <c r="CX10" s="15">
        <f>VLOOKUP($G10,'Visu totale'!$D$3:$DT$129,CX$1,0)</f>
        <v>18</v>
      </c>
      <c r="CY10" s="14">
        <f>VLOOKUP($G10,'Visu totale'!$D$3:$DT$129,CY$1,0)</f>
        <v>0</v>
      </c>
      <c r="CZ10" s="13">
        <f>VLOOKUP($G10,'Visu totale'!$D$3:$DT$129,CZ$1,0)</f>
        <v>0</v>
      </c>
      <c r="DA10" s="13">
        <f>VLOOKUP($G10,'Visu totale'!$D$3:$DT$129,DA$1,0)</f>
        <v>0</v>
      </c>
      <c r="DB10" s="13">
        <f>VLOOKUP($G10,'Visu totale'!$D$3:$DT$129,DB$1,0)</f>
        <v>0</v>
      </c>
      <c r="DC10" s="13">
        <f>VLOOKUP($G10,'Visu totale'!$D$3:$DT$129,DC$1,0)</f>
        <v>0</v>
      </c>
      <c r="DD10" s="13">
        <f>VLOOKUP($G10,'Visu totale'!$D$3:$DT$129,DD$1,0)</f>
        <v>0</v>
      </c>
      <c r="DE10" s="13">
        <f>VLOOKUP($G10,'Visu totale'!$D$3:$DT$129,DE$1,0)</f>
        <v>0</v>
      </c>
      <c r="DF10" s="13">
        <f>VLOOKUP($G10,'Visu totale'!$D$3:$DT$129,DF$1,0)</f>
        <v>0</v>
      </c>
      <c r="DG10" s="13">
        <f>VLOOKUP($G10,'Visu totale'!$D$3:$DT$129,DG$1,0)</f>
        <v>0</v>
      </c>
      <c r="DH10" s="13">
        <f>VLOOKUP($G10,'Visu totale'!$D$3:$DT$129,DH$1,0)</f>
        <v>0</v>
      </c>
      <c r="DI10" s="13">
        <f>VLOOKUP($G10,'Visu totale'!$D$3:$DT$129,DI$1,0)</f>
        <v>0</v>
      </c>
      <c r="DJ10" s="15">
        <f>VLOOKUP($G10,'Visu totale'!$D$3:$DT$129,DJ$1,0)</f>
        <v>0</v>
      </c>
      <c r="DK10" s="14">
        <f>VLOOKUP($G10,'Visu totale'!$D$3:$DT$129,DK$1,0)</f>
        <v>0</v>
      </c>
      <c r="DL10" s="13">
        <f>VLOOKUP($G10,'Visu totale'!$D$3:$DT$129,DL$1,0)</f>
        <v>0</v>
      </c>
      <c r="DM10" s="13">
        <f>VLOOKUP($G10,'Visu totale'!$D$3:$DT$129,DM$1,0)</f>
        <v>0</v>
      </c>
      <c r="DN10" s="13">
        <f>VLOOKUP($G10,'Visu totale'!$D$3:$DT$129,DN$1,0)</f>
        <v>0</v>
      </c>
      <c r="DO10" s="13">
        <f>VLOOKUP($G10,'Visu totale'!$D$3:$DT$129,DO$1,0)</f>
        <v>0</v>
      </c>
      <c r="DP10" s="13">
        <f>VLOOKUP($G10,'Visu totale'!$D$3:$DT$129,DP$1,0)</f>
        <v>0</v>
      </c>
      <c r="DQ10" s="13">
        <f>VLOOKUP($G10,'Visu totale'!$D$3:$DT$129,DQ$1,0)</f>
        <v>0</v>
      </c>
      <c r="DR10" s="13">
        <f>VLOOKUP($G10,'Visu totale'!$D$3:$DT$129,DR$1,0)</f>
        <v>0</v>
      </c>
      <c r="DS10" s="13">
        <f>VLOOKUP($G10,'Visu totale'!$D$3:$DT$129,DS$1,0)</f>
        <v>0</v>
      </c>
      <c r="DT10" s="13">
        <f>VLOOKUP($G10,'Visu totale'!$D$3:$DT$129,DT$1,0)</f>
        <v>0</v>
      </c>
      <c r="DU10" s="13">
        <f>VLOOKUP($G10,'Visu totale'!$D$3:$DT$129,DU$1,0)</f>
        <v>0</v>
      </c>
      <c r="DV10" s="15">
        <f>VLOOKUP($G10,'Visu totale'!$D$3:$DT$129,DV$1,0)</f>
        <v>0</v>
      </c>
    </row>
    <row r="11" spans="1:1483" x14ac:dyDescent="0.25">
      <c r="A11" s="13"/>
      <c r="B11" s="13"/>
      <c r="C11" s="13"/>
      <c r="D11" s="16"/>
      <c r="E11" s="14"/>
      <c r="F11" s="13"/>
      <c r="G11" s="17" t="s">
        <v>13</v>
      </c>
      <c r="H11" s="13">
        <f>VLOOKUP($G11,'Visu totale'!$D$3:$DT$129,H$1,0)</f>
        <v>18</v>
      </c>
      <c r="I11" s="13" t="str">
        <f>VLOOKUP($G11,'Visu totale'!$D$3:$DT$129,I$1,0)</f>
        <v>NANCY_D</v>
      </c>
      <c r="J11" s="13" t="str">
        <f>VLOOKUP($G11,'Visu totale'!$D$3:$DT$129,J$1,0)</f>
        <v>NANCY_D</v>
      </c>
      <c r="K11" s="13" t="str">
        <f>VLOOKUP($G11,'Visu totale'!$D$3:$DT$129,K$1,0)</f>
        <v>NANCY_D</v>
      </c>
      <c r="L11" s="13" t="str">
        <f>VLOOKUP($G11,'Visu totale'!$D$3:$DT$129,L$1,0)</f>
        <v>NANCY_D</v>
      </c>
      <c r="M11" s="13">
        <f>VLOOKUP($G11,'Visu totale'!$D$3:$DT$129,M$1,0)</f>
        <v>18</v>
      </c>
      <c r="N11" s="13">
        <f>VLOOKUP($G11,'Visu totale'!$D$3:$DT$129,N$1,0)</f>
        <v>18</v>
      </c>
      <c r="O11" s="13" t="str">
        <f>VLOOKUP($G11,'Visu totale'!$D$3:$DT$129,O$1,0)</f>
        <v>NANCY_D</v>
      </c>
      <c r="P11" s="13" t="str">
        <f>VLOOKUP($G11,'Visu totale'!$D$3:$DT$129,P$1,0)</f>
        <v>NANCY_D</v>
      </c>
      <c r="Q11" s="13" t="str">
        <f>VLOOKUP($G11,'Visu totale'!$D$3:$DT$129,Q$1,0)</f>
        <v>NANCY_D</v>
      </c>
      <c r="R11" s="15" t="str">
        <f>VLOOKUP($G11,'Visu totale'!$D$3:$DT$129,R$1,0)</f>
        <v>NANCY_D</v>
      </c>
      <c r="S11" s="14">
        <f>VLOOKUP($G11,'Visu totale'!$D$3:$DT$129,S$1,0)</f>
        <v>18</v>
      </c>
      <c r="T11" s="13">
        <f>VLOOKUP($G11,'Visu totale'!$D$3:$DT$129,T$1,0)</f>
        <v>18</v>
      </c>
      <c r="U11" s="13" t="str">
        <f>VLOOKUP($G11,'Visu totale'!$D$3:$DT$129,U$1,0)</f>
        <v>NANCY_D</v>
      </c>
      <c r="V11" s="13" t="str">
        <f>VLOOKUP($G11,'Visu totale'!$D$3:$DT$129,V$1,0)</f>
        <v>NANCY_D</v>
      </c>
      <c r="W11" s="13" t="str">
        <f>VLOOKUP($G11,'Visu totale'!$D$3:$DT$129,W$1,0)</f>
        <v>NANCY_D</v>
      </c>
      <c r="X11" s="13" t="str">
        <f>VLOOKUP($G11,'Visu totale'!$D$3:$DT$129,X$1,0)</f>
        <v>NANCY_D</v>
      </c>
      <c r="Y11" s="13">
        <f>VLOOKUP($G11,'Visu totale'!$D$3:$DT$129,Y$1,0)</f>
        <v>18</v>
      </c>
      <c r="Z11" s="13">
        <f>VLOOKUP($G11,'Visu totale'!$D$3:$DT$129,Z$1,0)</f>
        <v>18</v>
      </c>
      <c r="AA11" s="13" t="str">
        <f>VLOOKUP($G11,'Visu totale'!$D$3:$DT$129,AA$1,0)</f>
        <v>NANCY_D</v>
      </c>
      <c r="AB11" s="13" t="str">
        <f>VLOOKUP($G11,'Visu totale'!$D$3:$DT$129,AB$1,0)</f>
        <v>NANCY_D</v>
      </c>
      <c r="AC11" s="13" t="str">
        <f>VLOOKUP($G11,'Visu totale'!$D$3:$DT$129,AC$1,0)</f>
        <v>NANCY_D</v>
      </c>
      <c r="AD11" s="15" t="str">
        <f>VLOOKUP($G11,'Visu totale'!$D$3:$DT$129,AD$1,0)</f>
        <v>NANCY_D</v>
      </c>
      <c r="AE11" s="14">
        <f>VLOOKUP($G11,'Visu totale'!$D$3:$DT$129,AE$1,0)</f>
        <v>18</v>
      </c>
      <c r="AF11" s="13">
        <f>VLOOKUP($G11,'Visu totale'!$D$3:$DT$129,AF$1,0)</f>
        <v>18</v>
      </c>
      <c r="AG11" s="13" t="str">
        <f>VLOOKUP($G11,'Visu totale'!$D$3:$DT$129,AG$1,0)</f>
        <v>NANCY_D</v>
      </c>
      <c r="AH11" s="13" t="str">
        <f>VLOOKUP($G11,'Visu totale'!$D$3:$DT$129,AH$1,0)</f>
        <v>NANCY_D</v>
      </c>
      <c r="AI11" s="13" t="str">
        <f>VLOOKUP($G11,'Visu totale'!$D$3:$DT$129,AI$1,0)</f>
        <v>NANCY_D</v>
      </c>
      <c r="AJ11" s="13" t="str">
        <f>VLOOKUP($G11,'Visu totale'!$D$3:$DT$129,AJ$1,0)</f>
        <v>NANCY_D</v>
      </c>
      <c r="AK11" s="13">
        <f>VLOOKUP($G11,'Visu totale'!$D$3:$DT$129,AK$1,0)</f>
        <v>18</v>
      </c>
      <c r="AL11" s="13">
        <f>VLOOKUP($G11,'Visu totale'!$D$3:$DT$129,AL$1,0)</f>
        <v>18</v>
      </c>
      <c r="AM11" s="13" t="str">
        <f>VLOOKUP($G11,'Visu totale'!$D$3:$DT$129,AM$1,0)</f>
        <v>NANCY_D</v>
      </c>
      <c r="AN11" s="13" t="str">
        <f>VLOOKUP($G11,'Visu totale'!$D$3:$DT$129,AN$1,0)</f>
        <v>NANCY_D</v>
      </c>
      <c r="AO11" s="13" t="str">
        <f>VLOOKUP($G11,'Visu totale'!$D$3:$DT$129,AO$1,0)</f>
        <v>NANCY_D</v>
      </c>
      <c r="AP11" s="15" t="str">
        <f>VLOOKUP($G11,'Visu totale'!$D$3:$DT$129,AP$1,0)</f>
        <v>NANCY_D</v>
      </c>
      <c r="AQ11" s="14">
        <f>VLOOKUP($G11,'Visu totale'!$D$3:$DT$129,AQ$1,0)</f>
        <v>18</v>
      </c>
      <c r="AR11" s="13">
        <f>VLOOKUP($G11,'Visu totale'!$D$3:$DT$129,AR$1,0)</f>
        <v>18</v>
      </c>
      <c r="AS11" s="13" t="str">
        <f>VLOOKUP($G11,'Visu totale'!$D$3:$DT$129,AS$1,0)</f>
        <v>NANCY_D</v>
      </c>
      <c r="AT11" s="13" t="str">
        <f>VLOOKUP($G11,'Visu totale'!$D$3:$DT$129,AT$1,0)</f>
        <v>NANCY_D</v>
      </c>
      <c r="AU11" s="13" t="str">
        <f>VLOOKUP($G11,'Visu totale'!$D$3:$DT$129,AU$1,0)</f>
        <v>NANCY_D</v>
      </c>
      <c r="AV11" s="13" t="str">
        <f>VLOOKUP($G11,'Visu totale'!$D$3:$DT$129,AV$1,0)</f>
        <v>NANCY_D</v>
      </c>
      <c r="AW11" s="13">
        <f>VLOOKUP($G11,'Visu totale'!$D$3:$DT$129,AW$1,0)</f>
        <v>18</v>
      </c>
      <c r="AX11" s="13">
        <f>VLOOKUP($G11,'Visu totale'!$D$3:$DT$129,AX$1,0)</f>
        <v>18</v>
      </c>
      <c r="AY11" s="13" t="str">
        <f>VLOOKUP($G11,'Visu totale'!$D$3:$DT$129,AY$1,0)</f>
        <v>NANCY_D</v>
      </c>
      <c r="AZ11" s="13" t="str">
        <f>VLOOKUP($G11,'Visu totale'!$D$3:$DT$129,AZ$1,0)</f>
        <v>NANCY_D</v>
      </c>
      <c r="BA11" s="13" t="str">
        <f>VLOOKUP($G11,'Visu totale'!$D$3:$DT$129,BA$1,0)</f>
        <v>NANCY_D</v>
      </c>
      <c r="BB11" s="15" t="str">
        <f>VLOOKUP($G11,'Visu totale'!$D$3:$DT$129,BB$1,0)</f>
        <v>NANCY_D</v>
      </c>
      <c r="BC11" s="14">
        <f>VLOOKUP($G11,'Visu totale'!$D$3:$DT$129,BC$1,0)</f>
        <v>18</v>
      </c>
      <c r="BD11" s="13">
        <f>VLOOKUP($G11,'Visu totale'!$D$3:$DT$129,BD$1,0)</f>
        <v>18</v>
      </c>
      <c r="BE11" s="13">
        <f>VLOOKUP($G11,'Visu totale'!$D$3:$DT$129,BE$1,0)</f>
        <v>18</v>
      </c>
      <c r="BF11" s="13" t="str">
        <f>VLOOKUP($G11,'Visu totale'!$D$3:$DT$129,BF$1,0)</f>
        <v>V30</v>
      </c>
      <c r="BG11" s="13" t="str">
        <f>VLOOKUP($G11,'Visu totale'!$D$3:$DT$129,BG$1,0)</f>
        <v>V30</v>
      </c>
      <c r="BH11" s="13" t="str">
        <f>VLOOKUP($G11,'Visu totale'!$D$3:$DT$129,BH$1,0)</f>
        <v>V30</v>
      </c>
      <c r="BI11" s="13" t="str">
        <f>VLOOKUP($G11,'Visu totale'!$D$3:$DT$129,BI$1,0)</f>
        <v>V30</v>
      </c>
      <c r="BJ11" s="13" t="str">
        <f>VLOOKUP($G11,'Visu totale'!$D$3:$DT$129,BJ$1,0)</f>
        <v>V30</v>
      </c>
      <c r="BK11" s="13" t="str">
        <f>VLOOKUP($G11,'Visu totale'!$D$3:$DT$129,BK$1,0)</f>
        <v>V30</v>
      </c>
      <c r="BL11" s="13">
        <f>VLOOKUP($G11,'Visu totale'!$D$3:$DT$129,BL$1,0)</f>
        <v>18</v>
      </c>
      <c r="BM11" s="13">
        <f>VLOOKUP($G11,'Visu totale'!$D$3:$DT$129,BM$1,0)</f>
        <v>18</v>
      </c>
      <c r="BN11" s="15" t="str">
        <f>VLOOKUP($G11,'Visu totale'!$D$3:$DT$129,BN$1,0)</f>
        <v>NANCY_D</v>
      </c>
      <c r="BO11" s="14">
        <f>VLOOKUP($G11,'Visu totale'!$D$3:$DT$129,BO$1,0)</f>
        <v>18</v>
      </c>
      <c r="BP11" s="13" t="str">
        <f>VLOOKUP($G11,'Visu totale'!$D$3:$DT$129,BP$1,0)</f>
        <v>NANCY_D</v>
      </c>
      <c r="BQ11" s="13" t="str">
        <f>VLOOKUP($G11,'Visu totale'!$D$3:$DT$129,BQ$1,0)</f>
        <v>NANCY_D</v>
      </c>
      <c r="BR11" s="13" t="str">
        <f>VLOOKUP($G11,'Visu totale'!$D$3:$DT$129,BR$1,0)</f>
        <v>NANCY_D</v>
      </c>
      <c r="BS11" s="13" t="str">
        <f>VLOOKUP($G11,'Visu totale'!$D$3:$DT$129,BS$1,0)</f>
        <v>NANCY_D</v>
      </c>
      <c r="BT11" s="13">
        <f>VLOOKUP($G11,'Visu totale'!$D$3:$DT$129,BT$1,0)</f>
        <v>18</v>
      </c>
      <c r="BU11" s="13">
        <f>VLOOKUP($G11,'Visu totale'!$D$3:$DT$129,BU$1,0)</f>
        <v>18</v>
      </c>
      <c r="BV11" s="13" t="str">
        <f>VLOOKUP($G11,'Visu totale'!$D$3:$DT$129,BV$1,0)</f>
        <v>NANCY_D</v>
      </c>
      <c r="BW11" s="13" t="str">
        <f>VLOOKUP($G11,'Visu totale'!$D$3:$DT$129,BW$1,0)</f>
        <v>NANCY_D</v>
      </c>
      <c r="BX11" s="13" t="str">
        <f>VLOOKUP($G11,'Visu totale'!$D$3:$DT$129,BX$1,0)</f>
        <v>NANCY_D</v>
      </c>
      <c r="BY11" s="13" t="str">
        <f>VLOOKUP($G11,'Visu totale'!$D$3:$DT$129,BY$1,0)</f>
        <v>NANCY_D</v>
      </c>
      <c r="BZ11" s="15">
        <f>VLOOKUP($G11,'Visu totale'!$D$3:$DT$129,BZ$1,0)</f>
        <v>18</v>
      </c>
      <c r="CA11" s="14">
        <f>VLOOKUP($G11,'Visu totale'!$D$3:$DT$129,CA$1,0)</f>
        <v>18</v>
      </c>
      <c r="CB11" s="13" t="str">
        <f>VLOOKUP($G11,'Visu totale'!$D$3:$DT$129,CB$1,0)</f>
        <v>NANCY_D</v>
      </c>
      <c r="CC11" s="13" t="str">
        <f>VLOOKUP($G11,'Visu totale'!$D$3:$DT$129,CC$1,0)</f>
        <v>NANCY_D</v>
      </c>
      <c r="CD11" s="13" t="str">
        <f>VLOOKUP($G11,'Visu totale'!$D$3:$DT$129,CD$1,0)</f>
        <v>NANCY_D</v>
      </c>
      <c r="CE11" s="13" t="str">
        <f>VLOOKUP($G11,'Visu totale'!$D$3:$DT$129,CE$1,0)</f>
        <v>NANCY_D</v>
      </c>
      <c r="CF11" s="13">
        <f>VLOOKUP($G11,'Visu totale'!$D$3:$DT$129,CF$1,0)</f>
        <v>18</v>
      </c>
      <c r="CG11" s="13">
        <f>VLOOKUP($G11,'Visu totale'!$D$3:$DT$129,CG$1,0)</f>
        <v>18</v>
      </c>
      <c r="CH11" s="13" t="str">
        <f>VLOOKUP($G11,'Visu totale'!$D$3:$DT$129,CH$1,0)</f>
        <v>NANCY_D</v>
      </c>
      <c r="CI11" s="13" t="str">
        <f>VLOOKUP($G11,'Visu totale'!$D$3:$DT$129,CI$1,0)</f>
        <v>NANCY_D</v>
      </c>
      <c r="CJ11" s="13" t="str">
        <f>VLOOKUP($G11,'Visu totale'!$D$3:$DT$129,CJ$1,0)</f>
        <v>NANCY_D</v>
      </c>
      <c r="CK11" s="13" t="str">
        <f>VLOOKUP($G11,'Visu totale'!$D$3:$DT$129,CK$1,0)</f>
        <v>NANCY_D</v>
      </c>
      <c r="CL11" s="15">
        <f>VLOOKUP($G11,'Visu totale'!$D$3:$DT$129,CL$1,0)</f>
        <v>18</v>
      </c>
      <c r="CM11" s="14">
        <f>VLOOKUP($G11,'Visu totale'!$D$3:$DT$129,CM$1,0)</f>
        <v>18</v>
      </c>
      <c r="CN11" s="13" t="str">
        <f>VLOOKUP($G11,'Visu totale'!$D$3:$DT$129,CN$1,0)</f>
        <v>NANCY_D</v>
      </c>
      <c r="CO11" s="13" t="str">
        <f>VLOOKUP($G11,'Visu totale'!$D$3:$DT$129,CO$1,0)</f>
        <v>NANCY_D</v>
      </c>
      <c r="CP11" s="13" t="str">
        <f>VLOOKUP($G11,'Visu totale'!$D$3:$DT$129,CP$1,0)</f>
        <v>NANCY_D</v>
      </c>
      <c r="CQ11" s="13" t="str">
        <f>VLOOKUP($G11,'Visu totale'!$D$3:$DT$129,CQ$1,0)</f>
        <v>NANCY_D</v>
      </c>
      <c r="CR11" s="13">
        <f>VLOOKUP($G11,'Visu totale'!$D$3:$DT$129,CR$1,0)</f>
        <v>18</v>
      </c>
      <c r="CS11" s="13">
        <f>VLOOKUP($G11,'Visu totale'!$D$3:$DT$129,CS$1,0)</f>
        <v>18</v>
      </c>
      <c r="CT11" s="13">
        <f>VLOOKUP($G11,'Visu totale'!$D$3:$DT$129,CT$1,0)</f>
        <v>18</v>
      </c>
      <c r="CU11" s="13">
        <f>VLOOKUP($G11,'Visu totale'!$D$3:$DT$129,CU$1,0)</f>
        <v>18</v>
      </c>
      <c r="CV11" s="13">
        <f>VLOOKUP($G11,'Visu totale'!$D$3:$DT$129,CV$1,0)</f>
        <v>18</v>
      </c>
      <c r="CW11" s="13">
        <f>VLOOKUP($G11,'Visu totale'!$D$3:$DT$129,CW$1,0)</f>
        <v>18</v>
      </c>
      <c r="CX11" s="15">
        <f>VLOOKUP($G11,'Visu totale'!$D$3:$DT$129,CX$1,0)</f>
        <v>18</v>
      </c>
      <c r="CY11" s="14">
        <f>VLOOKUP($G11,'Visu totale'!$D$3:$DT$129,CY$1,0)</f>
        <v>0</v>
      </c>
      <c r="CZ11" s="13">
        <f>VLOOKUP($G11,'Visu totale'!$D$3:$DT$129,CZ$1,0)</f>
        <v>0</v>
      </c>
      <c r="DA11" s="13">
        <f>VLOOKUP($G11,'Visu totale'!$D$3:$DT$129,DA$1,0)</f>
        <v>0</v>
      </c>
      <c r="DB11" s="13">
        <f>VLOOKUP($G11,'Visu totale'!$D$3:$DT$129,DB$1,0)</f>
        <v>0</v>
      </c>
      <c r="DC11" s="13">
        <f>VLOOKUP($G11,'Visu totale'!$D$3:$DT$129,DC$1,0)</f>
        <v>0</v>
      </c>
      <c r="DD11" s="13">
        <f>VLOOKUP($G11,'Visu totale'!$D$3:$DT$129,DD$1,0)</f>
        <v>0</v>
      </c>
      <c r="DE11" s="13">
        <f>VLOOKUP($G11,'Visu totale'!$D$3:$DT$129,DE$1,0)</f>
        <v>0</v>
      </c>
      <c r="DF11" s="13">
        <f>VLOOKUP($G11,'Visu totale'!$D$3:$DT$129,DF$1,0)</f>
        <v>0</v>
      </c>
      <c r="DG11" s="13">
        <f>VLOOKUP($G11,'Visu totale'!$D$3:$DT$129,DG$1,0)</f>
        <v>0</v>
      </c>
      <c r="DH11" s="13">
        <f>VLOOKUP($G11,'Visu totale'!$D$3:$DT$129,DH$1,0)</f>
        <v>0</v>
      </c>
      <c r="DI11" s="13">
        <f>VLOOKUP($G11,'Visu totale'!$D$3:$DT$129,DI$1,0)</f>
        <v>0</v>
      </c>
      <c r="DJ11" s="15">
        <f>VLOOKUP($G11,'Visu totale'!$D$3:$DT$129,DJ$1,0)</f>
        <v>0</v>
      </c>
      <c r="DK11" s="14">
        <f>VLOOKUP($G11,'Visu totale'!$D$3:$DT$129,DK$1,0)</f>
        <v>0</v>
      </c>
      <c r="DL11" s="13">
        <f>VLOOKUP($G11,'Visu totale'!$D$3:$DT$129,DL$1,0)</f>
        <v>0</v>
      </c>
      <c r="DM11" s="13">
        <f>VLOOKUP($G11,'Visu totale'!$D$3:$DT$129,DM$1,0)</f>
        <v>0</v>
      </c>
      <c r="DN11" s="13">
        <f>VLOOKUP($G11,'Visu totale'!$D$3:$DT$129,DN$1,0)</f>
        <v>0</v>
      </c>
      <c r="DO11" s="13">
        <f>VLOOKUP($G11,'Visu totale'!$D$3:$DT$129,DO$1,0)</f>
        <v>0</v>
      </c>
      <c r="DP11" s="13">
        <f>VLOOKUP($G11,'Visu totale'!$D$3:$DT$129,DP$1,0)</f>
        <v>0</v>
      </c>
      <c r="DQ11" s="13">
        <f>VLOOKUP($G11,'Visu totale'!$D$3:$DT$129,DQ$1,0)</f>
        <v>0</v>
      </c>
      <c r="DR11" s="13">
        <f>VLOOKUP($G11,'Visu totale'!$D$3:$DT$129,DR$1,0)</f>
        <v>0</v>
      </c>
      <c r="DS11" s="13">
        <f>VLOOKUP($G11,'Visu totale'!$D$3:$DT$129,DS$1,0)</f>
        <v>0</v>
      </c>
      <c r="DT11" s="13">
        <f>VLOOKUP($G11,'Visu totale'!$D$3:$DT$129,DT$1,0)</f>
        <v>0</v>
      </c>
      <c r="DU11" s="13">
        <f>VLOOKUP($G11,'Visu totale'!$D$3:$DT$129,DU$1,0)</f>
        <v>0</v>
      </c>
      <c r="DV11" s="15">
        <f>VLOOKUP($G11,'Visu totale'!$D$3:$DT$129,DV$1,0)</f>
        <v>0</v>
      </c>
    </row>
    <row r="12" spans="1:1483" x14ac:dyDescent="0.25">
      <c r="A12" s="13"/>
      <c r="B12" s="13"/>
      <c r="C12" s="13"/>
      <c r="D12" s="16"/>
      <c r="E12" s="14"/>
      <c r="F12" s="13"/>
      <c r="G12" s="17" t="s">
        <v>14</v>
      </c>
      <c r="H12" s="13" t="str">
        <f>VLOOKUP($G12,'Visu totale'!$D$3:$DT$129,H$1,0)</f>
        <v>V10</v>
      </c>
      <c r="I12" s="13" t="str">
        <f>VLOOKUP($G12,'Visu totale'!$D$3:$DT$129,I$1,0)</f>
        <v>V10</v>
      </c>
      <c r="J12" s="13" t="str">
        <f>VLOOKUP($G12,'Visu totale'!$D$3:$DT$129,J$1,0)</f>
        <v>V10</v>
      </c>
      <c r="K12" s="13" t="str">
        <f>VLOOKUP($G12,'Visu totale'!$D$3:$DT$129,K$1,0)</f>
        <v>V10</v>
      </c>
      <c r="L12" s="13" t="str">
        <f>VLOOKUP($G12,'Visu totale'!$D$3:$DT$129,L$1,0)</f>
        <v>V10</v>
      </c>
      <c r="M12" s="13" t="str">
        <f>VLOOKUP($G12,'Visu totale'!$D$3:$DT$129,M$1,0)</f>
        <v>V10</v>
      </c>
      <c r="N12" s="13">
        <f>VLOOKUP($G12,'Visu totale'!$D$3:$DT$129,N$1,0)</f>
        <v>18</v>
      </c>
      <c r="O12" s="13">
        <f>VLOOKUP($G12,'Visu totale'!$D$3:$DT$129,O$1,0)</f>
        <v>18</v>
      </c>
      <c r="P12" s="13" t="str">
        <f>VLOOKUP($G12,'Visu totale'!$D$3:$DT$129,P$1,0)</f>
        <v>NANCY_D</v>
      </c>
      <c r="Q12" s="13" t="str">
        <f>VLOOKUP($G12,'Visu totale'!$D$3:$DT$129,Q$1,0)</f>
        <v>NANCY_D</v>
      </c>
      <c r="R12" s="15" t="str">
        <f>VLOOKUP($G12,'Visu totale'!$D$3:$DT$129,R$1,0)</f>
        <v>NANCY_D</v>
      </c>
      <c r="S12" s="14" t="str">
        <f>VLOOKUP($G12,'Visu totale'!$D$3:$DT$129,S$1,0)</f>
        <v>NANCY_D</v>
      </c>
      <c r="T12" s="13">
        <f>VLOOKUP($G12,'Visu totale'!$D$3:$DT$129,T$1,0)</f>
        <v>18</v>
      </c>
      <c r="U12" s="13">
        <f>VLOOKUP($G12,'Visu totale'!$D$3:$DT$129,U$1,0)</f>
        <v>18</v>
      </c>
      <c r="V12" s="13" t="str">
        <f>VLOOKUP($G12,'Visu totale'!$D$3:$DT$129,V$1,0)</f>
        <v>NANCY_D</v>
      </c>
      <c r="W12" s="13" t="str">
        <f>VLOOKUP($G12,'Visu totale'!$D$3:$DT$129,W$1,0)</f>
        <v>NANCY_D</v>
      </c>
      <c r="X12" s="13" t="str">
        <f>VLOOKUP($G12,'Visu totale'!$D$3:$DT$129,X$1,0)</f>
        <v>NANCY_D</v>
      </c>
      <c r="Y12" s="13" t="str">
        <f>VLOOKUP($G12,'Visu totale'!$D$3:$DT$129,Y$1,0)</f>
        <v>NANCY_D</v>
      </c>
      <c r="Z12" s="13">
        <f>VLOOKUP($G12,'Visu totale'!$D$3:$DT$129,Z$1,0)</f>
        <v>18</v>
      </c>
      <c r="AA12" s="13">
        <f>VLOOKUP($G12,'Visu totale'!$D$3:$DT$129,AA$1,0)</f>
        <v>18</v>
      </c>
      <c r="AB12" s="13" t="str">
        <f>VLOOKUP($G12,'Visu totale'!$D$3:$DT$129,AB$1,0)</f>
        <v>NANCY_D</v>
      </c>
      <c r="AC12" s="13" t="str">
        <f>VLOOKUP($G12,'Visu totale'!$D$3:$DT$129,AC$1,0)</f>
        <v>NANCY_D</v>
      </c>
      <c r="AD12" s="15" t="str">
        <f>VLOOKUP($G12,'Visu totale'!$D$3:$DT$129,AD$1,0)</f>
        <v>NANCY_D</v>
      </c>
      <c r="AE12" s="14" t="str">
        <f>VLOOKUP($G12,'Visu totale'!$D$3:$DT$129,AE$1,0)</f>
        <v>NANCY_D</v>
      </c>
      <c r="AF12" s="13">
        <f>VLOOKUP($G12,'Visu totale'!$D$3:$DT$129,AF$1,0)</f>
        <v>18</v>
      </c>
      <c r="AG12" s="13">
        <f>VLOOKUP($G12,'Visu totale'!$D$3:$DT$129,AG$1,0)</f>
        <v>18</v>
      </c>
      <c r="AH12" s="13" t="str">
        <f>VLOOKUP($G12,'Visu totale'!$D$3:$DT$129,AH$1,0)</f>
        <v>NANCY_D</v>
      </c>
      <c r="AI12" s="13" t="str">
        <f>VLOOKUP($G12,'Visu totale'!$D$3:$DT$129,AI$1,0)</f>
        <v>NANCY_D</v>
      </c>
      <c r="AJ12" s="13" t="str">
        <f>VLOOKUP($G12,'Visu totale'!$D$3:$DT$129,AJ$1,0)</f>
        <v>NANCY_D</v>
      </c>
      <c r="AK12" s="13">
        <f>VLOOKUP($G12,'Visu totale'!$D$3:$DT$129,AK$1,0)</f>
        <v>18</v>
      </c>
      <c r="AL12" s="13">
        <f>VLOOKUP($G12,'Visu totale'!$D$3:$DT$129,AL$1,0)</f>
        <v>18</v>
      </c>
      <c r="AM12" s="13" t="str">
        <f>VLOOKUP($G12,'Visu totale'!$D$3:$DT$129,AM$1,0)</f>
        <v>NANCY_D</v>
      </c>
      <c r="AN12" s="13" t="str">
        <f>VLOOKUP($G12,'Visu totale'!$D$3:$DT$129,AN$1,0)</f>
        <v>NANCY_D</v>
      </c>
      <c r="AO12" s="13" t="str">
        <f>VLOOKUP($G12,'Visu totale'!$D$3:$DT$129,AO$1,0)</f>
        <v>NANCY_D</v>
      </c>
      <c r="AP12" s="15" t="str">
        <f>VLOOKUP($G12,'Visu totale'!$D$3:$DT$129,AP$1,0)</f>
        <v>NANCY_D</v>
      </c>
      <c r="AQ12" s="14">
        <f>VLOOKUP($G12,'Visu totale'!$D$3:$DT$129,AQ$1,0)</f>
        <v>18</v>
      </c>
      <c r="AR12" s="13">
        <f>VLOOKUP($G12,'Visu totale'!$D$3:$DT$129,AR$1,0)</f>
        <v>18</v>
      </c>
      <c r="AS12" s="13" t="str">
        <f>VLOOKUP($G12,'Visu totale'!$D$3:$DT$129,AS$1,0)</f>
        <v>NANCY_D</v>
      </c>
      <c r="AT12" s="13" t="str">
        <f>VLOOKUP($G12,'Visu totale'!$D$3:$DT$129,AT$1,0)</f>
        <v>NANCY_D</v>
      </c>
      <c r="AU12" s="13" t="str">
        <f>VLOOKUP($G12,'Visu totale'!$D$3:$DT$129,AU$1,0)</f>
        <v>NANCY_D</v>
      </c>
      <c r="AV12" s="13" t="str">
        <f>VLOOKUP($G12,'Visu totale'!$D$3:$DT$129,AV$1,0)</f>
        <v>NANCY_D</v>
      </c>
      <c r="AW12" s="13">
        <f>VLOOKUP($G12,'Visu totale'!$D$3:$DT$129,AW$1,0)</f>
        <v>18</v>
      </c>
      <c r="AX12" s="13">
        <f>VLOOKUP($G12,'Visu totale'!$D$3:$DT$129,AX$1,0)</f>
        <v>18</v>
      </c>
      <c r="AY12" s="13" t="str">
        <f>VLOOKUP($G12,'Visu totale'!$D$3:$DT$129,AY$1,0)</f>
        <v>NANCY_D</v>
      </c>
      <c r="AZ12" s="13" t="str">
        <f>VLOOKUP($G12,'Visu totale'!$D$3:$DT$129,AZ$1,0)</f>
        <v>NANCY_D</v>
      </c>
      <c r="BA12" s="13" t="str">
        <f>VLOOKUP($G12,'Visu totale'!$D$3:$DT$129,BA$1,0)</f>
        <v>NANCY_D</v>
      </c>
      <c r="BB12" s="15" t="str">
        <f>VLOOKUP($G12,'Visu totale'!$D$3:$DT$129,BB$1,0)</f>
        <v>NANCY_D</v>
      </c>
      <c r="BC12" s="14">
        <f>VLOOKUP($G12,'Visu totale'!$D$3:$DT$129,BC$1,0)</f>
        <v>18</v>
      </c>
      <c r="BD12" s="13">
        <f>VLOOKUP($G12,'Visu totale'!$D$3:$DT$129,BD$1,0)</f>
        <v>18</v>
      </c>
      <c r="BE12" s="13" t="str">
        <f>VLOOKUP($G12,'Visu totale'!$D$3:$DT$129,BE$1,0)</f>
        <v>NANCY_D</v>
      </c>
      <c r="BF12" s="13" t="str">
        <f>VLOOKUP($G12,'Visu totale'!$D$3:$DT$129,BF$1,0)</f>
        <v>NANCY_D</v>
      </c>
      <c r="BG12" s="13" t="str">
        <f>VLOOKUP($G12,'Visu totale'!$D$3:$DT$129,BG$1,0)</f>
        <v>NANCY_D</v>
      </c>
      <c r="BH12" s="13" t="str">
        <f>VLOOKUP($G12,'Visu totale'!$D$3:$DT$129,BH$1,0)</f>
        <v>NANCY_D</v>
      </c>
      <c r="BI12" s="13" t="str">
        <f>VLOOKUP($G12,'Visu totale'!$D$3:$DT$129,BI$1,0)</f>
        <v>V20</v>
      </c>
      <c r="BJ12" s="13" t="str">
        <f>VLOOKUP($G12,'Visu totale'!$D$3:$DT$129,BJ$1,0)</f>
        <v>V20</v>
      </c>
      <c r="BK12" s="13" t="str">
        <f>VLOOKUP($G12,'Visu totale'!$D$3:$DT$129,BK$1,0)</f>
        <v>V20</v>
      </c>
      <c r="BL12" s="13" t="str">
        <f>VLOOKUP($G12,'Visu totale'!$D$3:$DT$129,BL$1,0)</f>
        <v>V20</v>
      </c>
      <c r="BM12" s="13" t="str">
        <f>VLOOKUP($G12,'Visu totale'!$D$3:$DT$129,BM$1,0)</f>
        <v>V20</v>
      </c>
      <c r="BN12" s="15" t="str">
        <f>VLOOKUP($G12,'Visu totale'!$D$3:$DT$129,BN$1,0)</f>
        <v>V20</v>
      </c>
      <c r="BO12" s="14" t="str">
        <f>VLOOKUP($G12,'Visu totale'!$D$3:$DT$129,BO$1,0)</f>
        <v>V5</v>
      </c>
      <c r="BP12" s="13" t="str">
        <f>VLOOKUP($G12,'Visu totale'!$D$3:$DT$129,BP$1,0)</f>
        <v>V5</v>
      </c>
      <c r="BQ12" s="13" t="str">
        <f>VLOOKUP($G12,'Visu totale'!$D$3:$DT$129,BQ$1,0)</f>
        <v>V5</v>
      </c>
      <c r="BR12" s="13" t="str">
        <f>VLOOKUP($G12,'Visu totale'!$D$3:$DT$129,BR$1,0)</f>
        <v>V5</v>
      </c>
      <c r="BS12" s="13">
        <f>VLOOKUP($G12,'Visu totale'!$D$3:$DT$129,BS$1,0)</f>
        <v>18</v>
      </c>
      <c r="BT12" s="13">
        <f>VLOOKUP($G12,'Visu totale'!$D$3:$DT$129,BT$1,0)</f>
        <v>18</v>
      </c>
      <c r="BU12" s="13" t="str">
        <f>VLOOKUP($G12,'Visu totale'!$D$3:$DT$129,BU$1,0)</f>
        <v>NANCY_D</v>
      </c>
      <c r="BV12" s="13" t="str">
        <f>VLOOKUP($G12,'Visu totale'!$D$3:$DT$129,BV$1,0)</f>
        <v>NANCY_D</v>
      </c>
      <c r="BW12" s="13" t="str">
        <f>VLOOKUP($G12,'Visu totale'!$D$3:$DT$129,BW$1,0)</f>
        <v>NANCY_D</v>
      </c>
      <c r="BX12" s="13" t="str">
        <f>VLOOKUP($G12,'Visu totale'!$D$3:$DT$129,BX$1,0)</f>
        <v>NANCY_D</v>
      </c>
      <c r="BY12" s="13">
        <f>VLOOKUP($G12,'Visu totale'!$D$3:$DT$129,BY$1,0)</f>
        <v>18</v>
      </c>
      <c r="BZ12" s="15">
        <f>VLOOKUP($G12,'Visu totale'!$D$3:$DT$129,BZ$1,0)</f>
        <v>18</v>
      </c>
      <c r="CA12" s="14" t="str">
        <f>VLOOKUP($G12,'Visu totale'!$D$3:$DT$129,CA$1,0)</f>
        <v>NANCY_D</v>
      </c>
      <c r="CB12" s="13" t="str">
        <f>VLOOKUP($G12,'Visu totale'!$D$3:$DT$129,CB$1,0)</f>
        <v>NANCY_D</v>
      </c>
      <c r="CC12" s="13" t="str">
        <f>VLOOKUP($G12,'Visu totale'!$D$3:$DT$129,CC$1,0)</f>
        <v>NANCY_D</v>
      </c>
      <c r="CD12" s="13" t="str">
        <f>VLOOKUP($G12,'Visu totale'!$D$3:$DT$129,CD$1,0)</f>
        <v>NANCY_D</v>
      </c>
      <c r="CE12" s="13">
        <f>VLOOKUP($G12,'Visu totale'!$D$3:$DT$129,CE$1,0)</f>
        <v>18</v>
      </c>
      <c r="CF12" s="13">
        <f>VLOOKUP($G12,'Visu totale'!$D$3:$DT$129,CF$1,0)</f>
        <v>18</v>
      </c>
      <c r="CG12" s="13" t="str">
        <f>VLOOKUP($G12,'Visu totale'!$D$3:$DT$129,CG$1,0)</f>
        <v>NANCY_D</v>
      </c>
      <c r="CH12" s="13" t="str">
        <f>VLOOKUP($G12,'Visu totale'!$D$3:$DT$129,CH$1,0)</f>
        <v>NANCY_D</v>
      </c>
      <c r="CI12" s="13" t="str">
        <f>VLOOKUP($G12,'Visu totale'!$D$3:$DT$129,CI$1,0)</f>
        <v>NANCY_D</v>
      </c>
      <c r="CJ12" s="13" t="str">
        <f>VLOOKUP($G12,'Visu totale'!$D$3:$DT$129,CJ$1,0)</f>
        <v>NANCY_D</v>
      </c>
      <c r="CK12" s="13">
        <f>VLOOKUP($G12,'Visu totale'!$D$3:$DT$129,CK$1,0)</f>
        <v>18</v>
      </c>
      <c r="CL12" s="15">
        <f>VLOOKUP($G12,'Visu totale'!$D$3:$DT$129,CL$1,0)</f>
        <v>18</v>
      </c>
      <c r="CM12" s="14" t="str">
        <f>VLOOKUP($G12,'Visu totale'!$D$3:$DT$129,CM$1,0)</f>
        <v>NANCY_D</v>
      </c>
      <c r="CN12" s="13" t="str">
        <f>VLOOKUP($G12,'Visu totale'!$D$3:$DT$129,CN$1,0)</f>
        <v>NANCY_D</v>
      </c>
      <c r="CO12" s="13" t="str">
        <f>VLOOKUP($G12,'Visu totale'!$D$3:$DT$129,CO$1,0)</f>
        <v>NANCY_D</v>
      </c>
      <c r="CP12" s="13" t="str">
        <f>VLOOKUP($G12,'Visu totale'!$D$3:$DT$129,CP$1,0)</f>
        <v>NANCY_D</v>
      </c>
      <c r="CQ12" s="13">
        <f>VLOOKUP($G12,'Visu totale'!$D$3:$DT$129,CQ$1,0)</f>
        <v>18</v>
      </c>
      <c r="CR12" s="13">
        <f>VLOOKUP($G12,'Visu totale'!$D$3:$DT$129,CR$1,0)</f>
        <v>18</v>
      </c>
      <c r="CS12" s="13" t="str">
        <f>VLOOKUP($G12,'Visu totale'!$D$3:$DT$129,CS$1,0)</f>
        <v>NANCY_D</v>
      </c>
      <c r="CT12" s="13" t="str">
        <f>VLOOKUP($G12,'Visu totale'!$D$3:$DT$129,CT$1,0)</f>
        <v>NANCY_D</v>
      </c>
      <c r="CU12" s="13" t="str">
        <f>VLOOKUP($G12,'Visu totale'!$D$3:$DT$129,CU$1,0)</f>
        <v>NANCY_D</v>
      </c>
      <c r="CV12" s="13" t="str">
        <f>VLOOKUP($G12,'Visu totale'!$D$3:$DT$129,CV$1,0)</f>
        <v>NANCY_D</v>
      </c>
      <c r="CW12" s="13">
        <f>VLOOKUP($G12,'Visu totale'!$D$3:$DT$129,CW$1,0)</f>
        <v>18</v>
      </c>
      <c r="CX12" s="15">
        <f>VLOOKUP($G12,'Visu totale'!$D$3:$DT$129,CX$1,0)</f>
        <v>18</v>
      </c>
      <c r="CY12" s="14">
        <f>VLOOKUP($G12,'Visu totale'!$D$3:$DT$129,CY$1,0)</f>
        <v>0</v>
      </c>
      <c r="CZ12" s="13">
        <f>VLOOKUP($G12,'Visu totale'!$D$3:$DT$129,CZ$1,0)</f>
        <v>0</v>
      </c>
      <c r="DA12" s="13">
        <f>VLOOKUP($G12,'Visu totale'!$D$3:$DT$129,DA$1,0)</f>
        <v>0</v>
      </c>
      <c r="DB12" s="13">
        <f>VLOOKUP($G12,'Visu totale'!$D$3:$DT$129,DB$1,0)</f>
        <v>0</v>
      </c>
      <c r="DC12" s="13">
        <f>VLOOKUP($G12,'Visu totale'!$D$3:$DT$129,DC$1,0)</f>
        <v>0</v>
      </c>
      <c r="DD12" s="13">
        <f>VLOOKUP($G12,'Visu totale'!$D$3:$DT$129,DD$1,0)</f>
        <v>0</v>
      </c>
      <c r="DE12" s="13">
        <f>VLOOKUP($G12,'Visu totale'!$D$3:$DT$129,DE$1,0)</f>
        <v>0</v>
      </c>
      <c r="DF12" s="13">
        <f>VLOOKUP($G12,'Visu totale'!$D$3:$DT$129,DF$1,0)</f>
        <v>0</v>
      </c>
      <c r="DG12" s="13">
        <f>VLOOKUP($G12,'Visu totale'!$D$3:$DT$129,DG$1,0)</f>
        <v>0</v>
      </c>
      <c r="DH12" s="13">
        <f>VLOOKUP($G12,'Visu totale'!$D$3:$DT$129,DH$1,0)</f>
        <v>0</v>
      </c>
      <c r="DI12" s="13">
        <f>VLOOKUP($G12,'Visu totale'!$D$3:$DT$129,DI$1,0)</f>
        <v>0</v>
      </c>
      <c r="DJ12" s="15">
        <f>VLOOKUP($G12,'Visu totale'!$D$3:$DT$129,DJ$1,0)</f>
        <v>0</v>
      </c>
      <c r="DK12" s="14">
        <f>VLOOKUP($G12,'Visu totale'!$D$3:$DT$129,DK$1,0)</f>
        <v>0</v>
      </c>
      <c r="DL12" s="13">
        <f>VLOOKUP($G12,'Visu totale'!$D$3:$DT$129,DL$1,0)</f>
        <v>0</v>
      </c>
      <c r="DM12" s="13">
        <f>VLOOKUP($G12,'Visu totale'!$D$3:$DT$129,DM$1,0)</f>
        <v>0</v>
      </c>
      <c r="DN12" s="13">
        <f>VLOOKUP($G12,'Visu totale'!$D$3:$DT$129,DN$1,0)</f>
        <v>0</v>
      </c>
      <c r="DO12" s="13">
        <f>VLOOKUP($G12,'Visu totale'!$D$3:$DT$129,DO$1,0)</f>
        <v>0</v>
      </c>
      <c r="DP12" s="13">
        <f>VLOOKUP($G12,'Visu totale'!$D$3:$DT$129,DP$1,0)</f>
        <v>0</v>
      </c>
      <c r="DQ12" s="13">
        <f>VLOOKUP($G12,'Visu totale'!$D$3:$DT$129,DQ$1,0)</f>
        <v>0</v>
      </c>
      <c r="DR12" s="13">
        <f>VLOOKUP($G12,'Visu totale'!$D$3:$DT$129,DR$1,0)</f>
        <v>0</v>
      </c>
      <c r="DS12" s="13">
        <f>VLOOKUP($G12,'Visu totale'!$D$3:$DT$129,DS$1,0)</f>
        <v>0</v>
      </c>
      <c r="DT12" s="13">
        <f>VLOOKUP($G12,'Visu totale'!$D$3:$DT$129,DT$1,0)</f>
        <v>0</v>
      </c>
      <c r="DU12" s="13">
        <f>VLOOKUP($G12,'Visu totale'!$D$3:$DT$129,DU$1,0)</f>
        <v>0</v>
      </c>
      <c r="DV12" s="15">
        <f>VLOOKUP($G12,'Visu totale'!$D$3:$DT$129,DV$1,0)</f>
        <v>0</v>
      </c>
    </row>
    <row r="13" spans="1:1483" x14ac:dyDescent="0.25">
      <c r="A13" s="13"/>
      <c r="B13" s="13"/>
      <c r="C13" s="13"/>
      <c r="D13" s="16"/>
      <c r="E13" s="14"/>
      <c r="F13" s="13"/>
      <c r="G13" s="17" t="s">
        <v>15</v>
      </c>
      <c r="H13" s="13" t="str">
        <f>VLOOKUP($G13,'Visu totale'!$D$3:$DT$129,H$1,0)</f>
        <v>V10</v>
      </c>
      <c r="I13" s="13" t="str">
        <f>VLOOKUP($G13,'Visu totale'!$D$3:$DT$129,I$1,0)</f>
        <v>V10</v>
      </c>
      <c r="J13" s="13" t="str">
        <f>VLOOKUP($G13,'Visu totale'!$D$3:$DT$129,J$1,0)</f>
        <v>V10</v>
      </c>
      <c r="K13" s="13" t="str">
        <f>VLOOKUP($G13,'Visu totale'!$D$3:$DT$129,K$1,0)</f>
        <v>V10</v>
      </c>
      <c r="L13" s="13" t="str">
        <f>VLOOKUP($G13,'Visu totale'!$D$3:$DT$129,L$1,0)</f>
        <v>V10</v>
      </c>
      <c r="M13" s="13">
        <f>VLOOKUP($G13,'Visu totale'!$D$3:$DT$129,M$1,0)</f>
        <v>18</v>
      </c>
      <c r="N13" s="13">
        <f>VLOOKUP($G13,'Visu totale'!$D$3:$DT$129,N$1,0)</f>
        <v>18</v>
      </c>
      <c r="O13" s="13" t="str">
        <f>VLOOKUP($G13,'Visu totale'!$D$3:$DT$129,O$1,0)</f>
        <v>NANCY_D</v>
      </c>
      <c r="P13" s="13" t="str">
        <f>VLOOKUP($G13,'Visu totale'!$D$3:$DT$129,P$1,0)</f>
        <v>NANCY_D</v>
      </c>
      <c r="Q13" s="13" t="str">
        <f>VLOOKUP($G13,'Visu totale'!$D$3:$DT$129,Q$1,0)</f>
        <v>NANCY_D</v>
      </c>
      <c r="R13" s="15" t="str">
        <f>VLOOKUP($G13,'Visu totale'!$D$3:$DT$129,R$1,0)</f>
        <v>NANCY_D</v>
      </c>
      <c r="S13" s="14">
        <f>VLOOKUP($G13,'Visu totale'!$D$3:$DT$129,S$1,0)</f>
        <v>18</v>
      </c>
      <c r="T13" s="13">
        <f>VLOOKUP($G13,'Visu totale'!$D$3:$DT$129,T$1,0)</f>
        <v>18</v>
      </c>
      <c r="U13" s="13" t="str">
        <f>VLOOKUP($G13,'Visu totale'!$D$3:$DT$129,U$1,0)</f>
        <v>NANCY_D</v>
      </c>
      <c r="V13" s="13" t="str">
        <f>VLOOKUP($G13,'Visu totale'!$D$3:$DT$129,V$1,0)</f>
        <v>NANCY_D</v>
      </c>
      <c r="W13" s="13" t="str">
        <f>VLOOKUP($G13,'Visu totale'!$D$3:$DT$129,W$1,0)</f>
        <v>NANCY_D</v>
      </c>
      <c r="X13" s="13" t="str">
        <f>VLOOKUP($G13,'Visu totale'!$D$3:$DT$129,X$1,0)</f>
        <v>NANCY_D</v>
      </c>
      <c r="Y13" s="13">
        <f>VLOOKUP($G13,'Visu totale'!$D$3:$DT$129,Y$1,0)</f>
        <v>18</v>
      </c>
      <c r="Z13" s="13">
        <f>VLOOKUP($G13,'Visu totale'!$D$3:$DT$129,Z$1,0)</f>
        <v>18</v>
      </c>
      <c r="AA13" s="13" t="str">
        <f>VLOOKUP($G13,'Visu totale'!$D$3:$DT$129,AA$1,0)</f>
        <v>NANCY_D</v>
      </c>
      <c r="AB13" s="13" t="str">
        <f>VLOOKUP($G13,'Visu totale'!$D$3:$DT$129,AB$1,0)</f>
        <v>NANCY_D</v>
      </c>
      <c r="AC13" s="13" t="str">
        <f>VLOOKUP($G13,'Visu totale'!$D$3:$DT$129,AC$1,0)</f>
        <v>NANCY_D</v>
      </c>
      <c r="AD13" s="15" t="str">
        <f>VLOOKUP($G13,'Visu totale'!$D$3:$DT$129,AD$1,0)</f>
        <v>NANCY_D</v>
      </c>
      <c r="AE13" s="14">
        <f>VLOOKUP($G13,'Visu totale'!$D$3:$DT$129,AE$1,0)</f>
        <v>18</v>
      </c>
      <c r="AF13" s="13">
        <f>VLOOKUP($G13,'Visu totale'!$D$3:$DT$129,AF$1,0)</f>
        <v>18</v>
      </c>
      <c r="AG13" s="13" t="str">
        <f>VLOOKUP($G13,'Visu totale'!$D$3:$DT$129,AG$1,0)</f>
        <v>NANCY_D</v>
      </c>
      <c r="AH13" s="13" t="str">
        <f>VLOOKUP($G13,'Visu totale'!$D$3:$DT$129,AH$1,0)</f>
        <v>NANCY_D</v>
      </c>
      <c r="AI13" s="13" t="str">
        <f>VLOOKUP($G13,'Visu totale'!$D$3:$DT$129,AI$1,0)</f>
        <v>NANCY_D</v>
      </c>
      <c r="AJ13" s="13" t="str">
        <f>VLOOKUP($G13,'Visu totale'!$D$3:$DT$129,AJ$1,0)</f>
        <v>NANCY_D</v>
      </c>
      <c r="AK13" s="13">
        <f>VLOOKUP($G13,'Visu totale'!$D$3:$DT$129,AK$1,0)</f>
        <v>18</v>
      </c>
      <c r="AL13" s="13">
        <f>VLOOKUP($G13,'Visu totale'!$D$3:$DT$129,AL$1,0)</f>
        <v>18</v>
      </c>
      <c r="AM13" s="13" t="str">
        <f>VLOOKUP($G13,'Visu totale'!$D$3:$DT$129,AM$1,0)</f>
        <v>NANCY_D</v>
      </c>
      <c r="AN13" s="13" t="str">
        <f>VLOOKUP($G13,'Visu totale'!$D$3:$DT$129,AN$1,0)</f>
        <v>NANCY_D</v>
      </c>
      <c r="AO13" s="13" t="str">
        <f>VLOOKUP($G13,'Visu totale'!$D$3:$DT$129,AO$1,0)</f>
        <v>NANCY_D</v>
      </c>
      <c r="AP13" s="15" t="str">
        <f>VLOOKUP($G13,'Visu totale'!$D$3:$DT$129,AP$1,0)</f>
        <v>NANCY_D</v>
      </c>
      <c r="AQ13" s="14">
        <f>VLOOKUP($G13,'Visu totale'!$D$3:$DT$129,AQ$1,0)</f>
        <v>18</v>
      </c>
      <c r="AR13" s="13">
        <f>VLOOKUP($G13,'Visu totale'!$D$3:$DT$129,AR$1,0)</f>
        <v>18</v>
      </c>
      <c r="AS13" s="13" t="str">
        <f>VLOOKUP($G13,'Visu totale'!$D$3:$DT$129,AS$1,0)</f>
        <v>NANCY_D</v>
      </c>
      <c r="AT13" s="13" t="str">
        <f>VLOOKUP($G13,'Visu totale'!$D$3:$DT$129,AT$1,0)</f>
        <v>NANCY_D</v>
      </c>
      <c r="AU13" s="13" t="str">
        <f>VLOOKUP($G13,'Visu totale'!$D$3:$DT$129,AU$1,0)</f>
        <v>NANCY_D</v>
      </c>
      <c r="AV13" s="13" t="str">
        <f>VLOOKUP($G13,'Visu totale'!$D$3:$DT$129,AV$1,0)</f>
        <v>NANCY_D</v>
      </c>
      <c r="AW13" s="13">
        <f>VLOOKUP($G13,'Visu totale'!$D$3:$DT$129,AW$1,0)</f>
        <v>18</v>
      </c>
      <c r="AX13" s="13">
        <f>VLOOKUP($G13,'Visu totale'!$D$3:$DT$129,AX$1,0)</f>
        <v>18</v>
      </c>
      <c r="AY13" s="13" t="str">
        <f>VLOOKUP($G13,'Visu totale'!$D$3:$DT$129,AY$1,0)</f>
        <v>NANCY_D</v>
      </c>
      <c r="AZ13" s="13" t="str">
        <f>VLOOKUP($G13,'Visu totale'!$D$3:$DT$129,AZ$1,0)</f>
        <v>NANCY_D</v>
      </c>
      <c r="BA13" s="13" t="str">
        <f>VLOOKUP($G13,'Visu totale'!$D$3:$DT$129,BA$1,0)</f>
        <v>NANCY_D</v>
      </c>
      <c r="BB13" s="15" t="str">
        <f>VLOOKUP($G13,'Visu totale'!$D$3:$DT$129,BB$1,0)</f>
        <v>NANCY_D</v>
      </c>
      <c r="BC13" s="14">
        <f>VLOOKUP($G13,'Visu totale'!$D$3:$DT$129,BC$1,0)</f>
        <v>18</v>
      </c>
      <c r="BD13" s="13">
        <f>VLOOKUP($G13,'Visu totale'!$D$3:$DT$129,BD$1,0)</f>
        <v>18</v>
      </c>
      <c r="BE13" s="13" t="str">
        <f>VLOOKUP($G13,'Visu totale'!$D$3:$DT$129,BE$1,0)</f>
        <v>NANCY_D</v>
      </c>
      <c r="BF13" s="13" t="str">
        <f>VLOOKUP($G13,'Visu totale'!$D$3:$DT$129,BF$1,0)</f>
        <v>NANCY_D</v>
      </c>
      <c r="BG13" s="13" t="str">
        <f>VLOOKUP($G13,'Visu totale'!$D$3:$DT$129,BG$1,0)</f>
        <v>NANCY_D</v>
      </c>
      <c r="BH13" s="13" t="str">
        <f>VLOOKUP($G13,'Visu totale'!$D$3:$DT$129,BH$1,0)</f>
        <v>NANCY_D</v>
      </c>
      <c r="BI13" s="13" t="str">
        <f>VLOOKUP($G13,'Visu totale'!$D$3:$DT$129,BI$1,0)</f>
        <v>V15</v>
      </c>
      <c r="BJ13" s="13" t="str">
        <f>VLOOKUP($G13,'Visu totale'!$D$3:$DT$129,BJ$1,0)</f>
        <v>V15</v>
      </c>
      <c r="BK13" s="13" t="str">
        <f>VLOOKUP($G13,'Visu totale'!$D$3:$DT$129,BK$1,0)</f>
        <v>V15</v>
      </c>
      <c r="BL13" s="13" t="str">
        <f>VLOOKUP($G13,'Visu totale'!$D$3:$DT$129,BL$1,0)</f>
        <v>V15</v>
      </c>
      <c r="BM13" s="13" t="str">
        <f>VLOOKUP($G13,'Visu totale'!$D$3:$DT$129,BM$1,0)</f>
        <v>V15</v>
      </c>
      <c r="BN13" s="15" t="str">
        <f>VLOOKUP($G13,'Visu totale'!$D$3:$DT$129,BN$1,0)</f>
        <v>V15</v>
      </c>
      <c r="BO13" s="14" t="str">
        <f>VLOOKUP($G13,'Visu totale'!$D$3:$DT$129,BO$1,0)</f>
        <v>V25</v>
      </c>
      <c r="BP13" s="13" t="str">
        <f>VLOOKUP($G13,'Visu totale'!$D$3:$DT$129,BP$1,0)</f>
        <v>V25</v>
      </c>
      <c r="BQ13" s="13">
        <f>VLOOKUP($G13,'Visu totale'!$D$3:$DT$129,BQ$1,0)</f>
        <v>18</v>
      </c>
      <c r="BR13" s="13">
        <f>VLOOKUP($G13,'Visu totale'!$D$3:$DT$129,BR$1,0)</f>
        <v>18</v>
      </c>
      <c r="BS13" s="13" t="str">
        <f>VLOOKUP($G13,'Visu totale'!$D$3:$DT$129,BS$1,0)</f>
        <v>NANCY_D</v>
      </c>
      <c r="BT13" s="13" t="str">
        <f>VLOOKUP($G13,'Visu totale'!$D$3:$DT$129,BT$1,0)</f>
        <v>NANCY_D</v>
      </c>
      <c r="BU13" s="13" t="str">
        <f>VLOOKUP($G13,'Visu totale'!$D$3:$DT$129,BU$1,0)</f>
        <v>NANCY_D</v>
      </c>
      <c r="BV13" s="13" t="str">
        <f>VLOOKUP($G13,'Visu totale'!$D$3:$DT$129,BV$1,0)</f>
        <v>NANCY_D</v>
      </c>
      <c r="BW13" s="13">
        <f>VLOOKUP($G13,'Visu totale'!$D$3:$DT$129,BW$1,0)</f>
        <v>18</v>
      </c>
      <c r="BX13" s="13">
        <f>VLOOKUP($G13,'Visu totale'!$D$3:$DT$129,BX$1,0)</f>
        <v>18</v>
      </c>
      <c r="BY13" s="13" t="str">
        <f>VLOOKUP($G13,'Visu totale'!$D$3:$DT$129,BY$1,0)</f>
        <v>NANCY_D</v>
      </c>
      <c r="BZ13" s="15" t="str">
        <f>VLOOKUP($G13,'Visu totale'!$D$3:$DT$129,BZ$1,0)</f>
        <v>NANCY_D</v>
      </c>
      <c r="CA13" s="14" t="str">
        <f>VLOOKUP($G13,'Visu totale'!$D$3:$DT$129,CA$1,0)</f>
        <v>NANCY_D</v>
      </c>
      <c r="CB13" s="13" t="str">
        <f>VLOOKUP($G13,'Visu totale'!$D$3:$DT$129,CB$1,0)</f>
        <v>NANCY_D</v>
      </c>
      <c r="CC13" s="13">
        <f>VLOOKUP($G13,'Visu totale'!$D$3:$DT$129,CC$1,0)</f>
        <v>18</v>
      </c>
      <c r="CD13" s="13">
        <f>VLOOKUP($G13,'Visu totale'!$D$3:$DT$129,CD$1,0)</f>
        <v>18</v>
      </c>
      <c r="CE13" s="13" t="str">
        <f>VLOOKUP($G13,'Visu totale'!$D$3:$DT$129,CE$1,0)</f>
        <v>NANCY_D</v>
      </c>
      <c r="CF13" s="13" t="str">
        <f>VLOOKUP($G13,'Visu totale'!$D$3:$DT$129,CF$1,0)</f>
        <v>NANCY_D</v>
      </c>
      <c r="CG13" s="13" t="str">
        <f>VLOOKUP($G13,'Visu totale'!$D$3:$DT$129,CG$1,0)</f>
        <v>NANCY_D</v>
      </c>
      <c r="CH13" s="13" t="str">
        <f>VLOOKUP($G13,'Visu totale'!$D$3:$DT$129,CH$1,0)</f>
        <v>NANCY_D</v>
      </c>
      <c r="CI13" s="13">
        <f>VLOOKUP($G13,'Visu totale'!$D$3:$DT$129,CI$1,0)</f>
        <v>18</v>
      </c>
      <c r="CJ13" s="13">
        <f>VLOOKUP($G13,'Visu totale'!$D$3:$DT$129,CJ$1,0)</f>
        <v>18</v>
      </c>
      <c r="CK13" s="13" t="str">
        <f>VLOOKUP($G13,'Visu totale'!$D$3:$DT$129,CK$1,0)</f>
        <v>NANCY_D</v>
      </c>
      <c r="CL13" s="15" t="str">
        <f>VLOOKUP($G13,'Visu totale'!$D$3:$DT$129,CL$1,0)</f>
        <v>NANCY_D</v>
      </c>
      <c r="CM13" s="14" t="str">
        <f>VLOOKUP($G13,'Visu totale'!$D$3:$DT$129,CM$1,0)</f>
        <v>NANCY_D</v>
      </c>
      <c r="CN13" s="13" t="str">
        <f>VLOOKUP($G13,'Visu totale'!$D$3:$DT$129,CN$1,0)</f>
        <v>NANCY_D</v>
      </c>
      <c r="CO13" s="13">
        <f>VLOOKUP($G13,'Visu totale'!$D$3:$DT$129,CO$1,0)</f>
        <v>18</v>
      </c>
      <c r="CP13" s="13">
        <f>VLOOKUP($G13,'Visu totale'!$D$3:$DT$129,CP$1,0)</f>
        <v>18</v>
      </c>
      <c r="CQ13" s="13" t="str">
        <f>VLOOKUP($G13,'Visu totale'!$D$3:$DT$129,CQ$1,0)</f>
        <v>NANCY_D</v>
      </c>
      <c r="CR13" s="13" t="str">
        <f>VLOOKUP($G13,'Visu totale'!$D$3:$DT$129,CR$1,0)</f>
        <v>NANCY_D</v>
      </c>
      <c r="CS13" s="13" t="str">
        <f>VLOOKUP($G13,'Visu totale'!$D$3:$DT$129,CS$1,0)</f>
        <v>NANCY_D</v>
      </c>
      <c r="CT13" s="13" t="str">
        <f>VLOOKUP($G13,'Visu totale'!$D$3:$DT$129,CT$1,0)</f>
        <v>NANCY_D</v>
      </c>
      <c r="CU13" s="13">
        <f>VLOOKUP($G13,'Visu totale'!$D$3:$DT$129,CU$1,0)</f>
        <v>18</v>
      </c>
      <c r="CV13" s="13">
        <f>VLOOKUP($G13,'Visu totale'!$D$3:$DT$129,CV$1,0)</f>
        <v>18</v>
      </c>
      <c r="CW13" s="13">
        <f>VLOOKUP($G13,'Visu totale'!$D$3:$DT$129,CW$1,0)</f>
        <v>18</v>
      </c>
      <c r="CX13" s="15">
        <f>VLOOKUP($G13,'Visu totale'!$D$3:$DT$129,CX$1,0)</f>
        <v>18</v>
      </c>
      <c r="CY13" s="14">
        <f>VLOOKUP($G13,'Visu totale'!$D$3:$DT$129,CY$1,0)</f>
        <v>0</v>
      </c>
      <c r="CZ13" s="13">
        <f>VLOOKUP($G13,'Visu totale'!$D$3:$DT$129,CZ$1,0)</f>
        <v>0</v>
      </c>
      <c r="DA13" s="13">
        <f>VLOOKUP($G13,'Visu totale'!$D$3:$DT$129,DA$1,0)</f>
        <v>0</v>
      </c>
      <c r="DB13" s="13">
        <f>VLOOKUP($G13,'Visu totale'!$D$3:$DT$129,DB$1,0)</f>
        <v>0</v>
      </c>
      <c r="DC13" s="13">
        <f>VLOOKUP($G13,'Visu totale'!$D$3:$DT$129,DC$1,0)</f>
        <v>0</v>
      </c>
      <c r="DD13" s="13">
        <f>VLOOKUP($G13,'Visu totale'!$D$3:$DT$129,DD$1,0)</f>
        <v>0</v>
      </c>
      <c r="DE13" s="13">
        <f>VLOOKUP($G13,'Visu totale'!$D$3:$DT$129,DE$1,0)</f>
        <v>0</v>
      </c>
      <c r="DF13" s="13">
        <f>VLOOKUP($G13,'Visu totale'!$D$3:$DT$129,DF$1,0)</f>
        <v>0</v>
      </c>
      <c r="DG13" s="13">
        <f>VLOOKUP($G13,'Visu totale'!$D$3:$DT$129,DG$1,0)</f>
        <v>0</v>
      </c>
      <c r="DH13" s="13">
        <f>VLOOKUP($G13,'Visu totale'!$D$3:$DT$129,DH$1,0)</f>
        <v>0</v>
      </c>
      <c r="DI13" s="13">
        <f>VLOOKUP($G13,'Visu totale'!$D$3:$DT$129,DI$1,0)</f>
        <v>0</v>
      </c>
      <c r="DJ13" s="15">
        <f>VLOOKUP($G13,'Visu totale'!$D$3:$DT$129,DJ$1,0)</f>
        <v>0</v>
      </c>
      <c r="DK13" s="14">
        <f>VLOOKUP($G13,'Visu totale'!$D$3:$DT$129,DK$1,0)</f>
        <v>0</v>
      </c>
      <c r="DL13" s="13">
        <f>VLOOKUP($G13,'Visu totale'!$D$3:$DT$129,DL$1,0)</f>
        <v>0</v>
      </c>
      <c r="DM13" s="13">
        <f>VLOOKUP($G13,'Visu totale'!$D$3:$DT$129,DM$1,0)</f>
        <v>0</v>
      </c>
      <c r="DN13" s="13">
        <f>VLOOKUP($G13,'Visu totale'!$D$3:$DT$129,DN$1,0)</f>
        <v>0</v>
      </c>
      <c r="DO13" s="13">
        <f>VLOOKUP($G13,'Visu totale'!$D$3:$DT$129,DO$1,0)</f>
        <v>0</v>
      </c>
      <c r="DP13" s="13">
        <f>VLOOKUP($G13,'Visu totale'!$D$3:$DT$129,DP$1,0)</f>
        <v>0</v>
      </c>
      <c r="DQ13" s="13">
        <f>VLOOKUP($G13,'Visu totale'!$D$3:$DT$129,DQ$1,0)</f>
        <v>0</v>
      </c>
      <c r="DR13" s="13">
        <f>VLOOKUP($G13,'Visu totale'!$D$3:$DT$129,DR$1,0)</f>
        <v>0</v>
      </c>
      <c r="DS13" s="13">
        <f>VLOOKUP($G13,'Visu totale'!$D$3:$DT$129,DS$1,0)</f>
        <v>0</v>
      </c>
      <c r="DT13" s="13">
        <f>VLOOKUP($G13,'Visu totale'!$D$3:$DT$129,DT$1,0)</f>
        <v>0</v>
      </c>
      <c r="DU13" s="13">
        <f>VLOOKUP($G13,'Visu totale'!$D$3:$DT$129,DU$1,0)</f>
        <v>0</v>
      </c>
      <c r="DV13" s="15">
        <f>VLOOKUP($G13,'Visu totale'!$D$3:$DT$129,DV$1,0)</f>
        <v>0</v>
      </c>
    </row>
    <row r="14" spans="1:1483" x14ac:dyDescent="0.25">
      <c r="A14" s="13"/>
      <c r="B14" s="13"/>
      <c r="C14" s="13"/>
      <c r="D14" s="16"/>
      <c r="E14" s="14"/>
      <c r="F14" s="13"/>
      <c r="G14" s="17" t="s">
        <v>16</v>
      </c>
      <c r="H14" s="13" t="str">
        <f>VLOOKUP($G14,'Visu totale'!$D$3:$DT$129,H$1,0)</f>
        <v>NIAMEY_D</v>
      </c>
      <c r="I14" s="13" t="str">
        <f>VLOOKUP($G14,'Visu totale'!$D$3:$DT$129,I$1,0)</f>
        <v>NIAMEY_D</v>
      </c>
      <c r="J14" s="13" t="str">
        <f>VLOOKUP($G14,'Visu totale'!$D$3:$DT$129,J$1,0)</f>
        <v>NIAMEY_D</v>
      </c>
      <c r="K14" s="13" t="str">
        <f>VLOOKUP($G14,'Visu totale'!$D$3:$DT$129,K$1,0)</f>
        <v>NIAMEY_D</v>
      </c>
      <c r="L14" s="13" t="str">
        <f>VLOOKUP($G14,'Visu totale'!$D$3:$DT$129,L$1,0)</f>
        <v>V30</v>
      </c>
      <c r="M14" s="13" t="str">
        <f>VLOOKUP($G14,'Visu totale'!$D$3:$DT$129,M$1,0)</f>
        <v>V30</v>
      </c>
      <c r="N14" s="13" t="str">
        <f>VLOOKUP($G14,'Visu totale'!$D$3:$DT$129,N$1,0)</f>
        <v>V30</v>
      </c>
      <c r="O14" s="13" t="str">
        <f>VLOOKUP($G14,'Visu totale'!$D$3:$DT$129,O$1,0)</f>
        <v>V30</v>
      </c>
      <c r="P14" s="13" t="str">
        <f>VLOOKUP($G14,'Visu totale'!$D$3:$DT$129,P$1,0)</f>
        <v>V30</v>
      </c>
      <c r="Q14" s="13" t="str">
        <f>VLOOKUP($G14,'Visu totale'!$D$3:$DT$129,Q$1,0)</f>
        <v>V30</v>
      </c>
      <c r="R14" s="15">
        <f>VLOOKUP($G14,'Visu totale'!$D$3:$DT$129,R$1,0)</f>
        <v>18</v>
      </c>
      <c r="S14" s="14">
        <f>VLOOKUP($G14,'Visu totale'!$D$3:$DT$129,S$1,0)</f>
        <v>18</v>
      </c>
      <c r="T14" s="13" t="str">
        <f>VLOOKUP($G14,'Visu totale'!$D$3:$DT$129,T$1,0)</f>
        <v>CHAMMAL_D</v>
      </c>
      <c r="U14" s="13" t="str">
        <f>VLOOKUP($G14,'Visu totale'!$D$3:$DT$129,U$1,0)</f>
        <v>CHAMMAL_D</v>
      </c>
      <c r="V14" s="13" t="str">
        <f>VLOOKUP($G14,'Visu totale'!$D$3:$DT$129,V$1,0)</f>
        <v>CHAMMAL_D</v>
      </c>
      <c r="W14" s="13" t="str">
        <f>VLOOKUP($G14,'Visu totale'!$D$3:$DT$129,W$1,0)</f>
        <v>CHAMMAL_D</v>
      </c>
      <c r="X14" s="13">
        <f>VLOOKUP($G14,'Visu totale'!$D$3:$DT$129,X$1,0)</f>
        <v>18</v>
      </c>
      <c r="Y14" s="13">
        <f>VLOOKUP($G14,'Visu totale'!$D$3:$DT$129,Y$1,0)</f>
        <v>18</v>
      </c>
      <c r="Z14" s="13" t="str">
        <f>VLOOKUP($G14,'Visu totale'!$D$3:$DT$129,Z$1,0)</f>
        <v>CHAMMAL_D</v>
      </c>
      <c r="AA14" s="13" t="str">
        <f>VLOOKUP($G14,'Visu totale'!$D$3:$DT$129,AA$1,0)</f>
        <v>CHAMMAL_D</v>
      </c>
      <c r="AB14" s="13" t="str">
        <f>VLOOKUP($G14,'Visu totale'!$D$3:$DT$129,AB$1,0)</f>
        <v>CHAMMAL_D</v>
      </c>
      <c r="AC14" s="13" t="str">
        <f>VLOOKUP($G14,'Visu totale'!$D$3:$DT$129,AC$1,0)</f>
        <v>CHAMMAL_D</v>
      </c>
      <c r="AD14" s="15">
        <f>VLOOKUP($G14,'Visu totale'!$D$3:$DT$129,AD$1,0)</f>
        <v>18</v>
      </c>
      <c r="AE14" s="14">
        <f>VLOOKUP($G14,'Visu totale'!$D$3:$DT$129,AE$1,0)</f>
        <v>18</v>
      </c>
      <c r="AF14" s="13" t="str">
        <f>VLOOKUP($G14,'Visu totale'!$D$3:$DT$129,AF$1,0)</f>
        <v>NANCY_D</v>
      </c>
      <c r="AG14" s="13" t="str">
        <f>VLOOKUP($G14,'Visu totale'!$D$3:$DT$129,AG$1,0)</f>
        <v>NANCY_D</v>
      </c>
      <c r="AH14" s="13" t="str">
        <f>VLOOKUP($G14,'Visu totale'!$D$3:$DT$129,AH$1,0)</f>
        <v>NANCY_D</v>
      </c>
      <c r="AI14" s="13" t="str">
        <f>VLOOKUP($G14,'Visu totale'!$D$3:$DT$129,AI$1,0)</f>
        <v>NANCY_D</v>
      </c>
      <c r="AJ14" s="13">
        <f>VLOOKUP($G14,'Visu totale'!$D$3:$DT$129,AJ$1,0)</f>
        <v>18</v>
      </c>
      <c r="AK14" s="13">
        <f>VLOOKUP($G14,'Visu totale'!$D$3:$DT$129,AK$1,0)</f>
        <v>18</v>
      </c>
      <c r="AL14" s="13">
        <f>VLOOKUP($G14,'Visu totale'!$D$3:$DT$129,AL$1,0)</f>
        <v>18</v>
      </c>
      <c r="AM14" s="13">
        <f>VLOOKUP($G14,'Visu totale'!$D$3:$DT$129,AM$1,0)</f>
        <v>18</v>
      </c>
      <c r="AN14" s="13">
        <f>VLOOKUP($G14,'Visu totale'!$D$3:$DT$129,AN$1,0)</f>
        <v>18</v>
      </c>
      <c r="AO14" s="13">
        <f>VLOOKUP($G14,'Visu totale'!$D$3:$DT$129,AO$1,0)</f>
        <v>18</v>
      </c>
      <c r="AP14" s="15">
        <f>VLOOKUP($G14,'Visu totale'!$D$3:$DT$129,AP$1,0)</f>
        <v>18</v>
      </c>
      <c r="AQ14" s="14">
        <f>VLOOKUP($G14,'Visu totale'!$D$3:$DT$129,AQ$1,0)</f>
        <v>18</v>
      </c>
      <c r="AR14" s="13">
        <f>VLOOKUP($G14,'Visu totale'!$D$3:$DT$129,AR$1,0)</f>
        <v>18</v>
      </c>
      <c r="AS14" s="13">
        <f>VLOOKUP($G14,'Visu totale'!$D$3:$DT$129,AS$1,0)</f>
        <v>18</v>
      </c>
      <c r="AT14" s="13">
        <f>VLOOKUP($G14,'Visu totale'!$D$3:$DT$129,AT$1,0)</f>
        <v>18</v>
      </c>
      <c r="AU14" s="13">
        <f>VLOOKUP($G14,'Visu totale'!$D$3:$DT$129,AU$1,0)</f>
        <v>0</v>
      </c>
      <c r="AV14" s="13">
        <f>VLOOKUP($G14,'Visu totale'!$D$3:$DT$129,AV$1,0)</f>
        <v>0</v>
      </c>
      <c r="AW14" s="13">
        <f>VLOOKUP($G14,'Visu totale'!$D$3:$DT$129,AW$1,0)</f>
        <v>0</v>
      </c>
      <c r="AX14" s="13">
        <f>VLOOKUP($G14,'Visu totale'!$D$3:$DT$129,AX$1,0)</f>
        <v>0</v>
      </c>
      <c r="AY14" s="13">
        <f>VLOOKUP($G14,'Visu totale'!$D$3:$DT$129,AY$1,0)</f>
        <v>0</v>
      </c>
      <c r="AZ14" s="13">
        <f>VLOOKUP($G14,'Visu totale'!$D$3:$DT$129,AZ$1,0)</f>
        <v>0</v>
      </c>
      <c r="BA14" s="13">
        <f>VLOOKUP($G14,'Visu totale'!$D$3:$DT$129,BA$1,0)</f>
        <v>0</v>
      </c>
      <c r="BB14" s="15">
        <f>VLOOKUP($G14,'Visu totale'!$D$3:$DT$129,BB$1,0)</f>
        <v>0</v>
      </c>
      <c r="BC14" s="14">
        <f>VLOOKUP($G14,'Visu totale'!$D$3:$DT$129,BC$1,0)</f>
        <v>0</v>
      </c>
      <c r="BD14" s="13">
        <f>VLOOKUP($G14,'Visu totale'!$D$3:$DT$129,BD$1,0)</f>
        <v>0</v>
      </c>
      <c r="BE14" s="13">
        <f>VLOOKUP($G14,'Visu totale'!$D$3:$DT$129,BE$1,0)</f>
        <v>0</v>
      </c>
      <c r="BF14" s="13">
        <f>VLOOKUP($G14,'Visu totale'!$D$3:$DT$129,BF$1,0)</f>
        <v>0</v>
      </c>
      <c r="BG14" s="13">
        <f>VLOOKUP($G14,'Visu totale'!$D$3:$DT$129,BG$1,0)</f>
        <v>0</v>
      </c>
      <c r="BH14" s="13">
        <f>VLOOKUP($G14,'Visu totale'!$D$3:$DT$129,BH$1,0)</f>
        <v>0</v>
      </c>
      <c r="BI14" s="13">
        <f>VLOOKUP($G14,'Visu totale'!$D$3:$DT$129,BI$1,0)</f>
        <v>0</v>
      </c>
      <c r="BJ14" s="13">
        <f>VLOOKUP($G14,'Visu totale'!$D$3:$DT$129,BJ$1,0)</f>
        <v>0</v>
      </c>
      <c r="BK14" s="13" t="str">
        <f>VLOOKUP($G14,'Visu totale'!$D$3:$DT$129,BK$1,0)</f>
        <v>V5</v>
      </c>
      <c r="BL14" s="13" t="str">
        <f>VLOOKUP($G14,'Visu totale'!$D$3:$DT$129,BL$1,0)</f>
        <v>V5</v>
      </c>
      <c r="BM14" s="13" t="str">
        <f>VLOOKUP($G14,'Visu totale'!$D$3:$DT$129,BM$1,0)</f>
        <v>V5</v>
      </c>
      <c r="BN14" s="15" t="str">
        <f>VLOOKUP($G14,'Visu totale'!$D$3:$DT$129,BN$1,0)</f>
        <v>V5</v>
      </c>
      <c r="BO14" s="14" t="str">
        <f>VLOOKUP($G14,'Visu totale'!$D$3:$DT$129,BO$1,0)</f>
        <v>V15</v>
      </c>
      <c r="BP14" s="13" t="str">
        <f>VLOOKUP($G14,'Visu totale'!$D$3:$DT$129,BP$1,0)</f>
        <v>V15</v>
      </c>
      <c r="BQ14" s="13" t="str">
        <f>VLOOKUP($G14,'Visu totale'!$D$3:$DT$129,BQ$1,0)</f>
        <v>V15</v>
      </c>
      <c r="BR14" s="13" t="str">
        <f>VLOOKUP($G14,'Visu totale'!$D$3:$DT$129,BR$1,0)</f>
        <v>V15</v>
      </c>
      <c r="BS14" s="13" t="str">
        <f>VLOOKUP($G14,'Visu totale'!$D$3:$DT$129,BS$1,0)</f>
        <v>V15</v>
      </c>
      <c r="BT14" s="13" t="str">
        <f>VLOOKUP($G14,'Visu totale'!$D$3:$DT$129,BT$1,0)</f>
        <v>V15</v>
      </c>
      <c r="BU14" s="13">
        <f>VLOOKUP($G14,'Visu totale'!$D$3:$DT$129,BU$1,0)</f>
        <v>18</v>
      </c>
      <c r="BV14" s="13">
        <f>VLOOKUP($G14,'Visu totale'!$D$3:$DT$129,BV$1,0)</f>
        <v>18</v>
      </c>
      <c r="BW14" s="13" t="str">
        <f>VLOOKUP($G14,'Visu totale'!$D$3:$DT$129,BW$1,0)</f>
        <v>NANCY_D</v>
      </c>
      <c r="BX14" s="13" t="str">
        <f>VLOOKUP($G14,'Visu totale'!$D$3:$DT$129,BX$1,0)</f>
        <v>NANCY_D</v>
      </c>
      <c r="BY14" s="13" t="str">
        <f>VLOOKUP($G14,'Visu totale'!$D$3:$DT$129,BY$1,0)</f>
        <v>NANCY_D</v>
      </c>
      <c r="BZ14" s="15" t="str">
        <f>VLOOKUP($G14,'Visu totale'!$D$3:$DT$129,BZ$1,0)</f>
        <v>NANCY_D</v>
      </c>
      <c r="CA14" s="14">
        <f>VLOOKUP($G14,'Visu totale'!$D$3:$DT$129,CA$1,0)</f>
        <v>18</v>
      </c>
      <c r="CB14" s="13">
        <f>VLOOKUP($G14,'Visu totale'!$D$3:$DT$129,CB$1,0)</f>
        <v>18</v>
      </c>
      <c r="CC14" s="13" t="str">
        <f>VLOOKUP($G14,'Visu totale'!$D$3:$DT$129,CC$1,0)</f>
        <v>NANCY_D</v>
      </c>
      <c r="CD14" s="13" t="str">
        <f>VLOOKUP($G14,'Visu totale'!$D$3:$DT$129,CD$1,0)</f>
        <v>NANCY_D</v>
      </c>
      <c r="CE14" s="13" t="str">
        <f>VLOOKUP($G14,'Visu totale'!$D$3:$DT$129,CE$1,0)</f>
        <v>NANCY_D</v>
      </c>
      <c r="CF14" s="13" t="str">
        <f>VLOOKUP($G14,'Visu totale'!$D$3:$DT$129,CF$1,0)</f>
        <v>NANCY_D</v>
      </c>
      <c r="CG14" s="13">
        <f>VLOOKUP($G14,'Visu totale'!$D$3:$DT$129,CG$1,0)</f>
        <v>18</v>
      </c>
      <c r="CH14" s="13">
        <f>VLOOKUP($G14,'Visu totale'!$D$3:$DT$129,CH$1,0)</f>
        <v>18</v>
      </c>
      <c r="CI14" s="13" t="str">
        <f>VLOOKUP($G14,'Visu totale'!$D$3:$DT$129,CI$1,0)</f>
        <v>NANCY_D</v>
      </c>
      <c r="CJ14" s="13" t="str">
        <f>VLOOKUP($G14,'Visu totale'!$D$3:$DT$129,CJ$1,0)</f>
        <v>NANCY_D</v>
      </c>
      <c r="CK14" s="13" t="str">
        <f>VLOOKUP($G14,'Visu totale'!$D$3:$DT$129,CK$1,0)</f>
        <v>NANCY_D</v>
      </c>
      <c r="CL14" s="15" t="str">
        <f>VLOOKUP($G14,'Visu totale'!$D$3:$DT$129,CL$1,0)</f>
        <v>NANCY_D</v>
      </c>
      <c r="CM14" s="14">
        <f>VLOOKUP($G14,'Visu totale'!$D$3:$DT$129,CM$1,0)</f>
        <v>18</v>
      </c>
      <c r="CN14" s="13">
        <f>VLOOKUP($G14,'Visu totale'!$D$3:$DT$129,CN$1,0)</f>
        <v>18</v>
      </c>
      <c r="CO14" s="13" t="str">
        <f>VLOOKUP($G14,'Visu totale'!$D$3:$DT$129,CO$1,0)</f>
        <v>NANCY_D</v>
      </c>
      <c r="CP14" s="13" t="str">
        <f>VLOOKUP($G14,'Visu totale'!$D$3:$DT$129,CP$1,0)</f>
        <v>NANCY_D</v>
      </c>
      <c r="CQ14" s="13" t="str">
        <f>VLOOKUP($G14,'Visu totale'!$D$3:$DT$129,CQ$1,0)</f>
        <v>NANCY_D</v>
      </c>
      <c r="CR14" s="13" t="str">
        <f>VLOOKUP($G14,'Visu totale'!$D$3:$DT$129,CR$1,0)</f>
        <v>NANCY_D</v>
      </c>
      <c r="CS14" s="13">
        <f>VLOOKUP($G14,'Visu totale'!$D$3:$DT$129,CS$1,0)</f>
        <v>18</v>
      </c>
      <c r="CT14" s="13">
        <f>VLOOKUP($G14,'Visu totale'!$D$3:$DT$129,CT$1,0)</f>
        <v>18</v>
      </c>
      <c r="CU14" s="13">
        <f>VLOOKUP($G14,'Visu totale'!$D$3:$DT$129,CU$1,0)</f>
        <v>18</v>
      </c>
      <c r="CV14" s="13">
        <f>VLOOKUP($G14,'Visu totale'!$D$3:$DT$129,CV$1,0)</f>
        <v>18</v>
      </c>
      <c r="CW14" s="13">
        <f>VLOOKUP($G14,'Visu totale'!$D$3:$DT$129,CW$1,0)</f>
        <v>18</v>
      </c>
      <c r="CX14" s="15">
        <f>VLOOKUP($G14,'Visu totale'!$D$3:$DT$129,CX$1,0)</f>
        <v>18</v>
      </c>
      <c r="CY14" s="14">
        <f>VLOOKUP($G14,'Visu totale'!$D$3:$DT$129,CY$1,0)</f>
        <v>0</v>
      </c>
      <c r="CZ14" s="13">
        <f>VLOOKUP($G14,'Visu totale'!$D$3:$DT$129,CZ$1,0)</f>
        <v>0</v>
      </c>
      <c r="DA14" s="13">
        <f>VLOOKUP($G14,'Visu totale'!$D$3:$DT$129,DA$1,0)</f>
        <v>0</v>
      </c>
      <c r="DB14" s="13">
        <f>VLOOKUP($G14,'Visu totale'!$D$3:$DT$129,DB$1,0)</f>
        <v>0</v>
      </c>
      <c r="DC14" s="13">
        <f>VLOOKUP($G14,'Visu totale'!$D$3:$DT$129,DC$1,0)</f>
        <v>0</v>
      </c>
      <c r="DD14" s="13">
        <f>VLOOKUP($G14,'Visu totale'!$D$3:$DT$129,DD$1,0)</f>
        <v>0</v>
      </c>
      <c r="DE14" s="13">
        <f>VLOOKUP($G14,'Visu totale'!$D$3:$DT$129,DE$1,0)</f>
        <v>0</v>
      </c>
      <c r="DF14" s="13">
        <f>VLOOKUP($G14,'Visu totale'!$D$3:$DT$129,DF$1,0)</f>
        <v>0</v>
      </c>
      <c r="DG14" s="13">
        <f>VLOOKUP($G14,'Visu totale'!$D$3:$DT$129,DG$1,0)</f>
        <v>0</v>
      </c>
      <c r="DH14" s="13">
        <f>VLOOKUP($G14,'Visu totale'!$D$3:$DT$129,DH$1,0)</f>
        <v>0</v>
      </c>
      <c r="DI14" s="13">
        <f>VLOOKUP($G14,'Visu totale'!$D$3:$DT$129,DI$1,0)</f>
        <v>0</v>
      </c>
      <c r="DJ14" s="15">
        <f>VLOOKUP($G14,'Visu totale'!$D$3:$DT$129,DJ$1,0)</f>
        <v>0</v>
      </c>
      <c r="DK14" s="14">
        <f>VLOOKUP($G14,'Visu totale'!$D$3:$DT$129,DK$1,0)</f>
        <v>0</v>
      </c>
      <c r="DL14" s="13">
        <f>VLOOKUP($G14,'Visu totale'!$D$3:$DT$129,DL$1,0)</f>
        <v>0</v>
      </c>
      <c r="DM14" s="13">
        <f>VLOOKUP($G14,'Visu totale'!$D$3:$DT$129,DM$1,0)</f>
        <v>0</v>
      </c>
      <c r="DN14" s="13">
        <f>VLOOKUP($G14,'Visu totale'!$D$3:$DT$129,DN$1,0)</f>
        <v>0</v>
      </c>
      <c r="DO14" s="13">
        <f>VLOOKUP($G14,'Visu totale'!$D$3:$DT$129,DO$1,0)</f>
        <v>0</v>
      </c>
      <c r="DP14" s="13">
        <f>VLOOKUP($G14,'Visu totale'!$D$3:$DT$129,DP$1,0)</f>
        <v>0</v>
      </c>
      <c r="DQ14" s="13">
        <f>VLOOKUP($G14,'Visu totale'!$D$3:$DT$129,DQ$1,0)</f>
        <v>0</v>
      </c>
      <c r="DR14" s="13">
        <f>VLOOKUP($G14,'Visu totale'!$D$3:$DT$129,DR$1,0)</f>
        <v>0</v>
      </c>
      <c r="DS14" s="13">
        <f>VLOOKUP($G14,'Visu totale'!$D$3:$DT$129,DS$1,0)</f>
        <v>0</v>
      </c>
      <c r="DT14" s="13">
        <f>VLOOKUP($G14,'Visu totale'!$D$3:$DT$129,DT$1,0)</f>
        <v>0</v>
      </c>
      <c r="DU14" s="13">
        <f>VLOOKUP($G14,'Visu totale'!$D$3:$DT$129,DU$1,0)</f>
        <v>0</v>
      </c>
      <c r="DV14" s="15">
        <f>VLOOKUP($G14,'Visu totale'!$D$3:$DT$129,DV$1,0)</f>
        <v>0</v>
      </c>
    </row>
    <row r="15" spans="1:1483" x14ac:dyDescent="0.25">
      <c r="A15" s="13"/>
      <c r="B15" s="13"/>
      <c r="C15" s="13"/>
      <c r="D15" s="16"/>
      <c r="E15" s="14"/>
      <c r="F15" s="13"/>
      <c r="G15" s="17" t="s">
        <v>17</v>
      </c>
      <c r="H15" s="13" t="str">
        <f>VLOOKUP($G15,'Visu totale'!$D$3:$DT$129,H$1,0)</f>
        <v>V10</v>
      </c>
      <c r="I15" s="13" t="str">
        <f>VLOOKUP($G15,'Visu totale'!$D$3:$DT$129,I$1,0)</f>
        <v>V10</v>
      </c>
      <c r="J15" s="13" t="str">
        <f>VLOOKUP($G15,'Visu totale'!$D$3:$DT$129,J$1,0)</f>
        <v>V10</v>
      </c>
      <c r="K15" s="13" t="str">
        <f>VLOOKUP($G15,'Visu totale'!$D$3:$DT$129,K$1,0)</f>
        <v>V10</v>
      </c>
      <c r="L15" s="13" t="str">
        <f>VLOOKUP($G15,'Visu totale'!$D$3:$DT$129,L$1,0)</f>
        <v>V10</v>
      </c>
      <c r="M15" s="13" t="str">
        <f>VLOOKUP($G15,'Visu totale'!$D$3:$DT$129,M$1,0)</f>
        <v>V10</v>
      </c>
      <c r="N15" s="13">
        <f>VLOOKUP($G15,'Visu totale'!$D$3:$DT$129,N$1,0)</f>
        <v>18</v>
      </c>
      <c r="O15" s="13">
        <f>VLOOKUP($G15,'Visu totale'!$D$3:$DT$129,O$1,0)</f>
        <v>18</v>
      </c>
      <c r="P15" s="13" t="str">
        <f>VLOOKUP($G15,'Visu totale'!$D$3:$DT$129,P$1,0)</f>
        <v>NANCY_D</v>
      </c>
      <c r="Q15" s="13" t="str">
        <f>VLOOKUP($G15,'Visu totale'!$D$3:$DT$129,Q$1,0)</f>
        <v>NANCY_D</v>
      </c>
      <c r="R15" s="15" t="str">
        <f>VLOOKUP($G15,'Visu totale'!$D$3:$DT$129,R$1,0)</f>
        <v>NANCY_D</v>
      </c>
      <c r="S15" s="14" t="str">
        <f>VLOOKUP($G15,'Visu totale'!$D$3:$DT$129,S$1,0)</f>
        <v>NANCY_D</v>
      </c>
      <c r="T15" s="13">
        <f>VLOOKUP($G15,'Visu totale'!$D$3:$DT$129,T$1,0)</f>
        <v>18</v>
      </c>
      <c r="U15" s="13">
        <f>VLOOKUP($G15,'Visu totale'!$D$3:$DT$129,U$1,0)</f>
        <v>18</v>
      </c>
      <c r="V15" s="13" t="str">
        <f>VLOOKUP($G15,'Visu totale'!$D$3:$DT$129,V$1,0)</f>
        <v>NANCY_D</v>
      </c>
      <c r="W15" s="13" t="str">
        <f>VLOOKUP($G15,'Visu totale'!$D$3:$DT$129,W$1,0)</f>
        <v>NANCY_D</v>
      </c>
      <c r="X15" s="13" t="str">
        <f>VLOOKUP($G15,'Visu totale'!$D$3:$DT$129,X$1,0)</f>
        <v>NANCY_D</v>
      </c>
      <c r="Y15" s="13" t="str">
        <f>VLOOKUP($G15,'Visu totale'!$D$3:$DT$129,Y$1,0)</f>
        <v>NANCY_D</v>
      </c>
      <c r="Z15" s="13">
        <f>VLOOKUP($G15,'Visu totale'!$D$3:$DT$129,Z$1,0)</f>
        <v>18</v>
      </c>
      <c r="AA15" s="13">
        <f>VLOOKUP($G15,'Visu totale'!$D$3:$DT$129,AA$1,0)</f>
        <v>18</v>
      </c>
      <c r="AB15" s="13" t="str">
        <f>VLOOKUP($G15,'Visu totale'!$D$3:$DT$129,AB$1,0)</f>
        <v>CHAMMAL_D</v>
      </c>
      <c r="AC15" s="13" t="str">
        <f>VLOOKUP($G15,'Visu totale'!$D$3:$DT$129,AC$1,0)</f>
        <v>CHAMMAL_D</v>
      </c>
      <c r="AD15" s="15" t="str">
        <f>VLOOKUP($G15,'Visu totale'!$D$3:$DT$129,AD$1,0)</f>
        <v>CHAMMAL_D</v>
      </c>
      <c r="AE15" s="14" t="str">
        <f>VLOOKUP($G15,'Visu totale'!$D$3:$DT$129,AE$1,0)</f>
        <v>CHAMMAL_D</v>
      </c>
      <c r="AF15" s="13">
        <f>VLOOKUP($G15,'Visu totale'!$D$3:$DT$129,AF$1,0)</f>
        <v>18</v>
      </c>
      <c r="AG15" s="13">
        <f>VLOOKUP($G15,'Visu totale'!$D$3:$DT$129,AG$1,0)</f>
        <v>18</v>
      </c>
      <c r="AH15" s="13" t="str">
        <f>VLOOKUP($G15,'Visu totale'!$D$3:$DT$129,AH$1,0)</f>
        <v>NANCY_D</v>
      </c>
      <c r="AI15" s="13" t="str">
        <f>VLOOKUP($G15,'Visu totale'!$D$3:$DT$129,AI$1,0)</f>
        <v>NANCY_D</v>
      </c>
      <c r="AJ15" s="13" t="str">
        <f>VLOOKUP($G15,'Visu totale'!$D$3:$DT$129,AJ$1,0)</f>
        <v>NANCY_D</v>
      </c>
      <c r="AK15" s="13">
        <f>VLOOKUP($G15,'Visu totale'!$D$3:$DT$129,AK$1,0)</f>
        <v>18</v>
      </c>
      <c r="AL15" s="13">
        <f>VLOOKUP($G15,'Visu totale'!$D$3:$DT$129,AL$1,0)</f>
        <v>18</v>
      </c>
      <c r="AM15" s="13" t="str">
        <f>VLOOKUP($G15,'Visu totale'!$D$3:$DT$129,AM$1,0)</f>
        <v>NIAMEY_D</v>
      </c>
      <c r="AN15" s="13" t="str">
        <f>VLOOKUP($G15,'Visu totale'!$D$3:$DT$129,AN$1,0)</f>
        <v>NIAMEY_D</v>
      </c>
      <c r="AO15" s="13" t="str">
        <f>VLOOKUP($G15,'Visu totale'!$D$3:$DT$129,AO$1,0)</f>
        <v>NIAMEY_D</v>
      </c>
      <c r="AP15" s="15" t="str">
        <f>VLOOKUP($G15,'Visu totale'!$D$3:$DT$129,AP$1,0)</f>
        <v>NIAMEY_D</v>
      </c>
      <c r="AQ15" s="14">
        <f>VLOOKUP($G15,'Visu totale'!$D$3:$DT$129,AQ$1,0)</f>
        <v>18</v>
      </c>
      <c r="AR15" s="13">
        <f>VLOOKUP($G15,'Visu totale'!$D$3:$DT$129,AR$1,0)</f>
        <v>18</v>
      </c>
      <c r="AS15" s="13">
        <f>VLOOKUP($G15,'Visu totale'!$D$3:$DT$129,AS$1,0)</f>
        <v>18</v>
      </c>
      <c r="AT15" s="13">
        <f>VLOOKUP($G15,'Visu totale'!$D$3:$DT$129,AT$1,0)</f>
        <v>18</v>
      </c>
      <c r="AU15" s="13">
        <f>VLOOKUP($G15,'Visu totale'!$D$3:$DT$129,AU$1,0)</f>
        <v>18</v>
      </c>
      <c r="AV15" s="13">
        <f>VLOOKUP($G15,'Visu totale'!$D$3:$DT$129,AV$1,0)</f>
        <v>18</v>
      </c>
      <c r="AW15" s="13">
        <f>VLOOKUP($G15,'Visu totale'!$D$3:$DT$129,AW$1,0)</f>
        <v>18</v>
      </c>
      <c r="AX15" s="13">
        <f>VLOOKUP($G15,'Visu totale'!$D$3:$DT$129,AX$1,0)</f>
        <v>18</v>
      </c>
      <c r="AY15" s="13">
        <f>VLOOKUP($G15,'Visu totale'!$D$3:$DT$129,AY$1,0)</f>
        <v>18</v>
      </c>
      <c r="AZ15" s="13">
        <f>VLOOKUP($G15,'Visu totale'!$D$3:$DT$129,AZ$1,0)</f>
        <v>0</v>
      </c>
      <c r="BA15" s="13">
        <f>VLOOKUP($G15,'Visu totale'!$D$3:$DT$129,BA$1,0)</f>
        <v>0</v>
      </c>
      <c r="BB15" s="15">
        <f>VLOOKUP($G15,'Visu totale'!$D$3:$DT$129,BB$1,0)</f>
        <v>0</v>
      </c>
      <c r="BC15" s="14">
        <f>VLOOKUP($G15,'Visu totale'!$D$3:$DT$129,BC$1,0)</f>
        <v>0</v>
      </c>
      <c r="BD15" s="13">
        <f>VLOOKUP($G15,'Visu totale'!$D$3:$DT$129,BD$1,0)</f>
        <v>0</v>
      </c>
      <c r="BE15" s="13">
        <f>VLOOKUP($G15,'Visu totale'!$D$3:$DT$129,BE$1,0)</f>
        <v>0</v>
      </c>
      <c r="BF15" s="13">
        <f>VLOOKUP($G15,'Visu totale'!$D$3:$DT$129,BF$1,0)</f>
        <v>0</v>
      </c>
      <c r="BG15" s="13">
        <f>VLOOKUP($G15,'Visu totale'!$D$3:$DT$129,BG$1,0)</f>
        <v>0</v>
      </c>
      <c r="BH15" s="13" t="str">
        <f>VLOOKUP($G15,'Visu totale'!$D$3:$DT$129,BH$1,0)</f>
        <v>V20</v>
      </c>
      <c r="BI15" s="13" t="str">
        <f>VLOOKUP($G15,'Visu totale'!$D$3:$DT$129,BI$1,0)</f>
        <v>V20</v>
      </c>
      <c r="BJ15" s="13" t="str">
        <f>VLOOKUP($G15,'Visu totale'!$D$3:$DT$129,BJ$1,0)</f>
        <v>V20</v>
      </c>
      <c r="BK15" s="13" t="str">
        <f>VLOOKUP($G15,'Visu totale'!$D$3:$DT$129,BK$1,0)</f>
        <v>V20</v>
      </c>
      <c r="BL15" s="13" t="str">
        <f>VLOOKUP($G15,'Visu totale'!$D$3:$DT$129,BL$1,0)</f>
        <v>V20</v>
      </c>
      <c r="BM15" s="13" t="str">
        <f>VLOOKUP($G15,'Visu totale'!$D$3:$DT$129,BM$1,0)</f>
        <v>V20</v>
      </c>
      <c r="BN15" s="15">
        <f>VLOOKUP($G15,'Visu totale'!$D$3:$DT$129,BN$1,0)</f>
        <v>18</v>
      </c>
      <c r="BO15" s="14" t="str">
        <f>VLOOKUP($G15,'Visu totale'!$D$3:$DT$129,BO$1,0)</f>
        <v>V20</v>
      </c>
      <c r="BP15" s="13" t="str">
        <f>VLOOKUP($G15,'Visu totale'!$D$3:$DT$129,BP$1,0)</f>
        <v>V20</v>
      </c>
      <c r="BQ15" s="13">
        <f>VLOOKUP($G15,'Visu totale'!$D$3:$DT$129,BQ$1,0)</f>
        <v>18</v>
      </c>
      <c r="BR15" s="13">
        <f>VLOOKUP($G15,'Visu totale'!$D$3:$DT$129,BR$1,0)</f>
        <v>18</v>
      </c>
      <c r="BS15" s="13" t="str">
        <f>VLOOKUP($G15,'Visu totale'!$D$3:$DT$129,BS$1,0)</f>
        <v>MARSAN_D</v>
      </c>
      <c r="BT15" s="13" t="str">
        <f>VLOOKUP($G15,'Visu totale'!$D$3:$DT$129,BT$1,0)</f>
        <v>MARSAN_D</v>
      </c>
      <c r="BU15" s="13" t="str">
        <f>VLOOKUP($G15,'Visu totale'!$D$3:$DT$129,BU$1,0)</f>
        <v>MARSAN_D</v>
      </c>
      <c r="BV15" s="13" t="str">
        <f>VLOOKUP($G15,'Visu totale'!$D$3:$DT$129,BV$1,0)</f>
        <v>MARSAN_D</v>
      </c>
      <c r="BW15" s="13">
        <f>VLOOKUP($G15,'Visu totale'!$D$3:$DT$129,BW$1,0)</f>
        <v>18</v>
      </c>
      <c r="BX15" s="13">
        <f>VLOOKUP($G15,'Visu totale'!$D$3:$DT$129,BX$1,0)</f>
        <v>18</v>
      </c>
      <c r="BY15" s="13" t="str">
        <f>VLOOKUP($G15,'Visu totale'!$D$3:$DT$129,BY$1,0)</f>
        <v>MARSAN_D</v>
      </c>
      <c r="BZ15" s="15" t="str">
        <f>VLOOKUP($G15,'Visu totale'!$D$3:$DT$129,BZ$1,0)</f>
        <v>MARSAN_D</v>
      </c>
      <c r="CA15" s="14" t="str">
        <f>VLOOKUP($G15,'Visu totale'!$D$3:$DT$129,CA$1,0)</f>
        <v>MARSAN_D</v>
      </c>
      <c r="CB15" s="13" t="str">
        <f>VLOOKUP($G15,'Visu totale'!$D$3:$DT$129,CB$1,0)</f>
        <v>MARSAN_D</v>
      </c>
      <c r="CC15" s="13">
        <f>VLOOKUP($G15,'Visu totale'!$D$3:$DT$129,CC$1,0)</f>
        <v>18</v>
      </c>
      <c r="CD15" s="13">
        <f>VLOOKUP($G15,'Visu totale'!$D$3:$DT$129,CD$1,0)</f>
        <v>18</v>
      </c>
      <c r="CE15" s="13" t="str">
        <f>VLOOKUP($G15,'Visu totale'!$D$3:$DT$129,CE$1,0)</f>
        <v>MARSAN_D</v>
      </c>
      <c r="CF15" s="13" t="str">
        <f>VLOOKUP($G15,'Visu totale'!$D$3:$DT$129,CF$1,0)</f>
        <v>MARSAN_D</v>
      </c>
      <c r="CG15" s="13" t="str">
        <f>VLOOKUP($G15,'Visu totale'!$D$3:$DT$129,CG$1,0)</f>
        <v>MARSAN_D</v>
      </c>
      <c r="CH15" s="13" t="str">
        <f>VLOOKUP($G15,'Visu totale'!$D$3:$DT$129,CH$1,0)</f>
        <v>MARSAN_D</v>
      </c>
      <c r="CI15" s="13">
        <f>VLOOKUP($G15,'Visu totale'!$D$3:$DT$129,CI$1,0)</f>
        <v>18</v>
      </c>
      <c r="CJ15" s="13">
        <f>VLOOKUP($G15,'Visu totale'!$D$3:$DT$129,CJ$1,0)</f>
        <v>18</v>
      </c>
      <c r="CK15" s="13" t="str">
        <f>VLOOKUP($G15,'Visu totale'!$D$3:$DT$129,CK$1,0)</f>
        <v>MARSAN_D</v>
      </c>
      <c r="CL15" s="15" t="str">
        <f>VLOOKUP($G15,'Visu totale'!$D$3:$DT$129,CL$1,0)</f>
        <v>MARSAN_D</v>
      </c>
      <c r="CM15" s="14" t="str">
        <f>VLOOKUP($G15,'Visu totale'!$D$3:$DT$129,CM$1,0)</f>
        <v>MARSAN_D</v>
      </c>
      <c r="CN15" s="13" t="str">
        <f>VLOOKUP($G15,'Visu totale'!$D$3:$DT$129,CN$1,0)</f>
        <v>MARSAN_D</v>
      </c>
      <c r="CO15" s="13">
        <f>VLOOKUP($G15,'Visu totale'!$D$3:$DT$129,CO$1,0)</f>
        <v>18</v>
      </c>
      <c r="CP15" s="13">
        <f>VLOOKUP($G15,'Visu totale'!$D$3:$DT$129,CP$1,0)</f>
        <v>18</v>
      </c>
      <c r="CQ15" s="13" t="str">
        <f>VLOOKUP($G15,'Visu totale'!$D$3:$DT$129,CQ$1,0)</f>
        <v>MARSAN_D</v>
      </c>
      <c r="CR15" s="13" t="str">
        <f>VLOOKUP($G15,'Visu totale'!$D$3:$DT$129,CR$1,0)</f>
        <v>MARSAN_D</v>
      </c>
      <c r="CS15" s="13">
        <f>VLOOKUP($G15,'Visu totale'!$D$3:$DT$129,CS$1,0)</f>
        <v>18</v>
      </c>
      <c r="CT15" s="13">
        <f>VLOOKUP($G15,'Visu totale'!$D$3:$DT$129,CT$1,0)</f>
        <v>18</v>
      </c>
      <c r="CU15" s="13">
        <f>VLOOKUP($G15,'Visu totale'!$D$3:$DT$129,CU$1,0)</f>
        <v>18</v>
      </c>
      <c r="CV15" s="13">
        <f>VLOOKUP($G15,'Visu totale'!$D$3:$DT$129,CV$1,0)</f>
        <v>18</v>
      </c>
      <c r="CW15" s="13">
        <f>VLOOKUP($G15,'Visu totale'!$D$3:$DT$129,CW$1,0)</f>
        <v>18</v>
      </c>
      <c r="CX15" s="15">
        <f>VLOOKUP($G15,'Visu totale'!$D$3:$DT$129,CX$1,0)</f>
        <v>18</v>
      </c>
      <c r="CY15" s="14">
        <f>VLOOKUP($G15,'Visu totale'!$D$3:$DT$129,CY$1,0)</f>
        <v>0</v>
      </c>
      <c r="CZ15" s="13">
        <f>VLOOKUP($G15,'Visu totale'!$D$3:$DT$129,CZ$1,0)</f>
        <v>0</v>
      </c>
      <c r="DA15" s="13">
        <f>VLOOKUP($G15,'Visu totale'!$D$3:$DT$129,DA$1,0)</f>
        <v>0</v>
      </c>
      <c r="DB15" s="13">
        <f>VLOOKUP($G15,'Visu totale'!$D$3:$DT$129,DB$1,0)</f>
        <v>0</v>
      </c>
      <c r="DC15" s="13">
        <f>VLOOKUP($G15,'Visu totale'!$D$3:$DT$129,DC$1,0)</f>
        <v>0</v>
      </c>
      <c r="DD15" s="13">
        <f>VLOOKUP($G15,'Visu totale'!$D$3:$DT$129,DD$1,0)</f>
        <v>0</v>
      </c>
      <c r="DE15" s="13">
        <f>VLOOKUP($G15,'Visu totale'!$D$3:$DT$129,DE$1,0)</f>
        <v>0</v>
      </c>
      <c r="DF15" s="13">
        <f>VLOOKUP($G15,'Visu totale'!$D$3:$DT$129,DF$1,0)</f>
        <v>0</v>
      </c>
      <c r="DG15" s="13">
        <f>VLOOKUP($G15,'Visu totale'!$D$3:$DT$129,DG$1,0)</f>
        <v>0</v>
      </c>
      <c r="DH15" s="13">
        <f>VLOOKUP($G15,'Visu totale'!$D$3:$DT$129,DH$1,0)</f>
        <v>0</v>
      </c>
      <c r="DI15" s="13">
        <f>VLOOKUP($G15,'Visu totale'!$D$3:$DT$129,DI$1,0)</f>
        <v>0</v>
      </c>
      <c r="DJ15" s="15">
        <f>VLOOKUP($G15,'Visu totale'!$D$3:$DT$129,DJ$1,0)</f>
        <v>0</v>
      </c>
      <c r="DK15" s="14">
        <f>VLOOKUP($G15,'Visu totale'!$D$3:$DT$129,DK$1,0)</f>
        <v>0</v>
      </c>
      <c r="DL15" s="13">
        <f>VLOOKUP($G15,'Visu totale'!$D$3:$DT$129,DL$1,0)</f>
        <v>0</v>
      </c>
      <c r="DM15" s="13">
        <f>VLOOKUP($G15,'Visu totale'!$D$3:$DT$129,DM$1,0)</f>
        <v>0</v>
      </c>
      <c r="DN15" s="13">
        <f>VLOOKUP($G15,'Visu totale'!$D$3:$DT$129,DN$1,0)</f>
        <v>0</v>
      </c>
      <c r="DO15" s="13">
        <f>VLOOKUP($G15,'Visu totale'!$D$3:$DT$129,DO$1,0)</f>
        <v>0</v>
      </c>
      <c r="DP15" s="13">
        <f>VLOOKUP($G15,'Visu totale'!$D$3:$DT$129,DP$1,0)</f>
        <v>0</v>
      </c>
      <c r="DQ15" s="13">
        <f>VLOOKUP($G15,'Visu totale'!$D$3:$DT$129,DQ$1,0)</f>
        <v>0</v>
      </c>
      <c r="DR15" s="13">
        <f>VLOOKUP($G15,'Visu totale'!$D$3:$DT$129,DR$1,0)</f>
        <v>0</v>
      </c>
      <c r="DS15" s="13">
        <f>VLOOKUP($G15,'Visu totale'!$D$3:$DT$129,DS$1,0)</f>
        <v>0</v>
      </c>
      <c r="DT15" s="13">
        <f>VLOOKUP($G15,'Visu totale'!$D$3:$DT$129,DT$1,0)</f>
        <v>0</v>
      </c>
      <c r="DU15" s="13">
        <f>VLOOKUP($G15,'Visu totale'!$D$3:$DT$129,DU$1,0)</f>
        <v>0</v>
      </c>
      <c r="DV15" s="15">
        <f>VLOOKUP($G15,'Visu totale'!$D$3:$DT$129,DV$1,0)</f>
        <v>0</v>
      </c>
    </row>
    <row r="16" spans="1:1483" x14ac:dyDescent="0.25">
      <c r="A16" s="13"/>
      <c r="B16" s="13"/>
      <c r="C16" s="13"/>
      <c r="D16" s="16"/>
      <c r="E16" s="14"/>
      <c r="F16" s="13"/>
      <c r="G16" s="17" t="s">
        <v>18</v>
      </c>
      <c r="H16" s="13" t="str">
        <f>VLOOKUP($G16,'Visu totale'!$D$3:$DT$129,H$1,0)</f>
        <v>V25</v>
      </c>
      <c r="I16" s="13" t="str">
        <f>VLOOKUP($G16,'Visu totale'!$D$3:$DT$129,I$1,0)</f>
        <v>V25</v>
      </c>
      <c r="J16" s="13" t="str">
        <f>VLOOKUP($G16,'Visu totale'!$D$3:$DT$129,J$1,0)</f>
        <v>V25</v>
      </c>
      <c r="K16" s="13" t="str">
        <f>VLOOKUP($G16,'Visu totale'!$D$3:$DT$129,K$1,0)</f>
        <v>V25</v>
      </c>
      <c r="L16" s="13" t="str">
        <f>VLOOKUP($G16,'Visu totale'!$D$3:$DT$129,L$1,0)</f>
        <v>V25</v>
      </c>
      <c r="M16" s="13">
        <f>VLOOKUP($G16,'Visu totale'!$D$3:$DT$129,M$1,0)</f>
        <v>18</v>
      </c>
      <c r="N16" s="13">
        <f>VLOOKUP($G16,'Visu totale'!$D$3:$DT$129,N$1,0)</f>
        <v>18</v>
      </c>
      <c r="O16" s="13" t="str">
        <f>VLOOKUP($G16,'Visu totale'!$D$3:$DT$129,O$1,0)</f>
        <v>NANCY_D</v>
      </c>
      <c r="P16" s="13" t="str">
        <f>VLOOKUP($G16,'Visu totale'!$D$3:$DT$129,P$1,0)</f>
        <v>NANCY_D</v>
      </c>
      <c r="Q16" s="13" t="str">
        <f>VLOOKUP($G16,'Visu totale'!$D$3:$DT$129,Q$1,0)</f>
        <v>NANCY_D</v>
      </c>
      <c r="R16" s="15" t="str">
        <f>VLOOKUP($G16,'Visu totale'!$D$3:$DT$129,R$1,0)</f>
        <v>NANCY_D</v>
      </c>
      <c r="S16" s="14">
        <f>VLOOKUP($G16,'Visu totale'!$D$3:$DT$129,S$1,0)</f>
        <v>18</v>
      </c>
      <c r="T16" s="13">
        <f>VLOOKUP($G16,'Visu totale'!$D$3:$DT$129,T$1,0)</f>
        <v>18</v>
      </c>
      <c r="U16" s="13" t="str">
        <f>VLOOKUP($G16,'Visu totale'!$D$3:$DT$129,U$1,0)</f>
        <v>NANCY_D</v>
      </c>
      <c r="V16" s="13" t="str">
        <f>VLOOKUP($G16,'Visu totale'!$D$3:$DT$129,V$1,0)</f>
        <v>NANCY_D</v>
      </c>
      <c r="W16" s="13" t="str">
        <f>VLOOKUP($G16,'Visu totale'!$D$3:$DT$129,W$1,0)</f>
        <v>NANCY_D</v>
      </c>
      <c r="X16" s="13" t="str">
        <f>VLOOKUP($G16,'Visu totale'!$D$3:$DT$129,X$1,0)</f>
        <v>NANCY_D</v>
      </c>
      <c r="Y16" s="13">
        <f>VLOOKUP($G16,'Visu totale'!$D$3:$DT$129,Y$1,0)</f>
        <v>18</v>
      </c>
      <c r="Z16" s="13">
        <f>VLOOKUP($G16,'Visu totale'!$D$3:$DT$129,Z$1,0)</f>
        <v>18</v>
      </c>
      <c r="AA16" s="13" t="str">
        <f>VLOOKUP($G16,'Visu totale'!$D$3:$DT$129,AA$1,0)</f>
        <v>NANCY_D</v>
      </c>
      <c r="AB16" s="13" t="str">
        <f>VLOOKUP($G16,'Visu totale'!$D$3:$DT$129,AB$1,0)</f>
        <v>NANCY_D</v>
      </c>
      <c r="AC16" s="13" t="str">
        <f>VLOOKUP($G16,'Visu totale'!$D$3:$DT$129,AC$1,0)</f>
        <v>NANCY_D</v>
      </c>
      <c r="AD16" s="15" t="str">
        <f>VLOOKUP($G16,'Visu totale'!$D$3:$DT$129,AD$1,0)</f>
        <v>NANCY_D</v>
      </c>
      <c r="AE16" s="14">
        <f>VLOOKUP($G16,'Visu totale'!$D$3:$DT$129,AE$1,0)</f>
        <v>18</v>
      </c>
      <c r="AF16" s="13">
        <f>VLOOKUP($G16,'Visu totale'!$D$3:$DT$129,AF$1,0)</f>
        <v>18</v>
      </c>
      <c r="AG16" s="13" t="str">
        <f>VLOOKUP($G16,'Visu totale'!$D$3:$DT$129,AG$1,0)</f>
        <v>NANCY_D</v>
      </c>
      <c r="AH16" s="13" t="str">
        <f>VLOOKUP($G16,'Visu totale'!$D$3:$DT$129,AH$1,0)</f>
        <v>NANCY_D</v>
      </c>
      <c r="AI16" s="13" t="str">
        <f>VLOOKUP($G16,'Visu totale'!$D$3:$DT$129,AI$1,0)</f>
        <v>NANCY_D</v>
      </c>
      <c r="AJ16" s="13" t="str">
        <f>VLOOKUP($G16,'Visu totale'!$D$3:$DT$129,AJ$1,0)</f>
        <v>NANCY_D</v>
      </c>
      <c r="AK16" s="13">
        <f>VLOOKUP($G16,'Visu totale'!$D$3:$DT$129,AK$1,0)</f>
        <v>18</v>
      </c>
      <c r="AL16" s="13">
        <f>VLOOKUP($G16,'Visu totale'!$D$3:$DT$129,AL$1,0)</f>
        <v>18</v>
      </c>
      <c r="AM16" s="13" t="str">
        <f>VLOOKUP($G16,'Visu totale'!$D$3:$DT$129,AM$1,0)</f>
        <v>NANCY_D</v>
      </c>
      <c r="AN16" s="13" t="str">
        <f>VLOOKUP($G16,'Visu totale'!$D$3:$DT$129,AN$1,0)</f>
        <v>NANCY_D</v>
      </c>
      <c r="AO16" s="13" t="str">
        <f>VLOOKUP($G16,'Visu totale'!$D$3:$DT$129,AO$1,0)</f>
        <v>NANCY_D</v>
      </c>
      <c r="AP16" s="15" t="str">
        <f>VLOOKUP($G16,'Visu totale'!$D$3:$DT$129,AP$1,0)</f>
        <v>NANCY_D</v>
      </c>
      <c r="AQ16" s="14">
        <f>VLOOKUP($G16,'Visu totale'!$D$3:$DT$129,AQ$1,0)</f>
        <v>18</v>
      </c>
      <c r="AR16" s="13">
        <f>VLOOKUP($G16,'Visu totale'!$D$3:$DT$129,AR$1,0)</f>
        <v>18</v>
      </c>
      <c r="AS16" s="13" t="str">
        <f>VLOOKUP($G16,'Visu totale'!$D$3:$DT$129,AS$1,0)</f>
        <v>NANCY_D</v>
      </c>
      <c r="AT16" s="13" t="str">
        <f>VLOOKUP($G16,'Visu totale'!$D$3:$DT$129,AT$1,0)</f>
        <v>NANCY_D</v>
      </c>
      <c r="AU16" s="13" t="str">
        <f>VLOOKUP($G16,'Visu totale'!$D$3:$DT$129,AU$1,0)</f>
        <v>NANCY_D</v>
      </c>
      <c r="AV16" s="13" t="str">
        <f>VLOOKUP($G16,'Visu totale'!$D$3:$DT$129,AV$1,0)</f>
        <v>NANCY_D</v>
      </c>
      <c r="AW16" s="13">
        <f>VLOOKUP($G16,'Visu totale'!$D$3:$DT$129,AW$1,0)</f>
        <v>18</v>
      </c>
      <c r="AX16" s="13">
        <f>VLOOKUP($G16,'Visu totale'!$D$3:$DT$129,AX$1,0)</f>
        <v>18</v>
      </c>
      <c r="AY16" s="13" t="str">
        <f>VLOOKUP($G16,'Visu totale'!$D$3:$DT$129,AY$1,0)</f>
        <v>NANCY_D</v>
      </c>
      <c r="AZ16" s="13" t="str">
        <f>VLOOKUP($G16,'Visu totale'!$D$3:$DT$129,AZ$1,0)</f>
        <v>NANCY_D</v>
      </c>
      <c r="BA16" s="13" t="str">
        <f>VLOOKUP($G16,'Visu totale'!$D$3:$DT$129,BA$1,0)</f>
        <v>NANCY_D</v>
      </c>
      <c r="BB16" s="15" t="str">
        <f>VLOOKUP($G16,'Visu totale'!$D$3:$DT$129,BB$1,0)</f>
        <v>NANCY_D</v>
      </c>
      <c r="BC16" s="14">
        <f>VLOOKUP($G16,'Visu totale'!$D$3:$DT$129,BC$1,0)</f>
        <v>18</v>
      </c>
      <c r="BD16" s="13">
        <f>VLOOKUP($G16,'Visu totale'!$D$3:$DT$129,BD$1,0)</f>
        <v>18</v>
      </c>
      <c r="BE16" s="13" t="str">
        <f>VLOOKUP($G16,'Visu totale'!$D$3:$DT$129,BE$1,0)</f>
        <v>NANCY_D</v>
      </c>
      <c r="BF16" s="13" t="str">
        <f>VLOOKUP($G16,'Visu totale'!$D$3:$DT$129,BF$1,0)</f>
        <v>NANCY_D</v>
      </c>
      <c r="BG16" s="13" t="str">
        <f>VLOOKUP($G16,'Visu totale'!$D$3:$DT$129,BG$1,0)</f>
        <v>NANCY_D</v>
      </c>
      <c r="BH16" s="13" t="str">
        <f>VLOOKUP($G16,'Visu totale'!$D$3:$DT$129,BH$1,0)</f>
        <v>NANCY_D</v>
      </c>
      <c r="BI16" s="13" t="str">
        <f>VLOOKUP($G16,'Visu totale'!$D$3:$DT$129,BI$1,0)</f>
        <v>V30</v>
      </c>
      <c r="BJ16" s="13" t="str">
        <f>VLOOKUP($G16,'Visu totale'!$D$3:$DT$129,BJ$1,0)</f>
        <v>V30</v>
      </c>
      <c r="BK16" s="13" t="str">
        <f>VLOOKUP($G16,'Visu totale'!$D$3:$DT$129,BK$1,0)</f>
        <v>V30</v>
      </c>
      <c r="BL16" s="13" t="str">
        <f>VLOOKUP($G16,'Visu totale'!$D$3:$DT$129,BL$1,0)</f>
        <v>V30</v>
      </c>
      <c r="BM16" s="13" t="str">
        <f>VLOOKUP($G16,'Visu totale'!$D$3:$DT$129,BM$1,0)</f>
        <v>V30</v>
      </c>
      <c r="BN16" s="15" t="str">
        <f>VLOOKUP($G16,'Visu totale'!$D$3:$DT$129,BN$1,0)</f>
        <v>V30</v>
      </c>
      <c r="BO16" s="14" t="str">
        <f>VLOOKUP($G16,'Visu totale'!$D$3:$DT$129,BO$1,0)</f>
        <v>NANCY_D</v>
      </c>
      <c r="BP16" s="13" t="str">
        <f>VLOOKUP($G16,'Visu totale'!$D$3:$DT$129,BP$1,0)</f>
        <v>NANCY_D</v>
      </c>
      <c r="BQ16" s="13" t="str">
        <f>VLOOKUP($G16,'Visu totale'!$D$3:$DT$129,BQ$1,0)</f>
        <v>NANCY_D</v>
      </c>
      <c r="BR16" s="13" t="str">
        <f>VLOOKUP($G16,'Visu totale'!$D$3:$DT$129,BR$1,0)</f>
        <v>V10</v>
      </c>
      <c r="BS16" s="13" t="str">
        <f>VLOOKUP($G16,'Visu totale'!$D$3:$DT$129,BS$1,0)</f>
        <v>V10</v>
      </c>
      <c r="BT16" s="13" t="str">
        <f>VLOOKUP($G16,'Visu totale'!$D$3:$DT$129,BT$1,0)</f>
        <v>V10</v>
      </c>
      <c r="BU16" s="13" t="str">
        <f>VLOOKUP($G16,'Visu totale'!$D$3:$DT$129,BU$1,0)</f>
        <v>V10</v>
      </c>
      <c r="BV16" s="13" t="str">
        <f>VLOOKUP($G16,'Visu totale'!$D$3:$DT$129,BV$1,0)</f>
        <v>V10</v>
      </c>
      <c r="BW16" s="13" t="str">
        <f>VLOOKUP($G16,'Visu totale'!$D$3:$DT$129,BW$1,0)</f>
        <v>V10</v>
      </c>
      <c r="BX16" s="13">
        <f>VLOOKUP($G16,'Visu totale'!$D$3:$DT$129,BX$1,0)</f>
        <v>18</v>
      </c>
      <c r="BY16" s="13">
        <f>VLOOKUP($G16,'Visu totale'!$D$3:$DT$129,BY$1,0)</f>
        <v>18</v>
      </c>
      <c r="BZ16" s="15" t="str">
        <f>VLOOKUP($G16,'Visu totale'!$D$3:$DT$129,BZ$1,0)</f>
        <v>NANCY_D</v>
      </c>
      <c r="CA16" s="14" t="str">
        <f>VLOOKUP($G16,'Visu totale'!$D$3:$DT$129,CA$1,0)</f>
        <v>NANCY_D</v>
      </c>
      <c r="CB16" s="13" t="str">
        <f>VLOOKUP($G16,'Visu totale'!$D$3:$DT$129,CB$1,0)</f>
        <v>NANCY_D</v>
      </c>
      <c r="CC16" s="13" t="str">
        <f>VLOOKUP($G16,'Visu totale'!$D$3:$DT$129,CC$1,0)</f>
        <v>NANCY_D</v>
      </c>
      <c r="CD16" s="13">
        <f>VLOOKUP($G16,'Visu totale'!$D$3:$DT$129,CD$1,0)</f>
        <v>18</v>
      </c>
      <c r="CE16" s="13">
        <f>VLOOKUP($G16,'Visu totale'!$D$3:$DT$129,CE$1,0)</f>
        <v>18</v>
      </c>
      <c r="CF16" s="13" t="str">
        <f>VLOOKUP($G16,'Visu totale'!$D$3:$DT$129,CF$1,0)</f>
        <v>NANCY_D</v>
      </c>
      <c r="CG16" s="13" t="str">
        <f>VLOOKUP($G16,'Visu totale'!$D$3:$DT$129,CG$1,0)</f>
        <v>NANCY_D</v>
      </c>
      <c r="CH16" s="13" t="str">
        <f>VLOOKUP($G16,'Visu totale'!$D$3:$DT$129,CH$1,0)</f>
        <v>NANCY_D</v>
      </c>
      <c r="CI16" s="13" t="str">
        <f>VLOOKUP($G16,'Visu totale'!$D$3:$DT$129,CI$1,0)</f>
        <v>NANCY_D</v>
      </c>
      <c r="CJ16" s="13">
        <f>VLOOKUP($G16,'Visu totale'!$D$3:$DT$129,CJ$1,0)</f>
        <v>18</v>
      </c>
      <c r="CK16" s="13">
        <f>VLOOKUP($G16,'Visu totale'!$D$3:$DT$129,CK$1,0)</f>
        <v>18</v>
      </c>
      <c r="CL16" s="15" t="str">
        <f>VLOOKUP($G16,'Visu totale'!$D$3:$DT$129,CL$1,0)</f>
        <v>NANCY_D</v>
      </c>
      <c r="CM16" s="14" t="str">
        <f>VLOOKUP($G16,'Visu totale'!$D$3:$DT$129,CM$1,0)</f>
        <v>NANCY_D</v>
      </c>
      <c r="CN16" s="13" t="str">
        <f>VLOOKUP($G16,'Visu totale'!$D$3:$DT$129,CN$1,0)</f>
        <v>NANCY_D</v>
      </c>
      <c r="CO16" s="13" t="str">
        <f>VLOOKUP($G16,'Visu totale'!$D$3:$DT$129,CO$1,0)</f>
        <v>NANCY_D</v>
      </c>
      <c r="CP16" s="13">
        <f>VLOOKUP($G16,'Visu totale'!$D$3:$DT$129,CP$1,0)</f>
        <v>18</v>
      </c>
      <c r="CQ16" s="13">
        <f>VLOOKUP($G16,'Visu totale'!$D$3:$DT$129,CQ$1,0)</f>
        <v>18</v>
      </c>
      <c r="CR16" s="13" t="str">
        <f>VLOOKUP($G16,'Visu totale'!$D$3:$DT$129,CR$1,0)</f>
        <v>NANCY_D</v>
      </c>
      <c r="CS16" s="13" t="str">
        <f>VLOOKUP($G16,'Visu totale'!$D$3:$DT$129,CS$1,0)</f>
        <v>NANCY_D</v>
      </c>
      <c r="CT16" s="13" t="str">
        <f>VLOOKUP($G16,'Visu totale'!$D$3:$DT$129,CT$1,0)</f>
        <v>NANCY_D</v>
      </c>
      <c r="CU16" s="13" t="str">
        <f>VLOOKUP($G16,'Visu totale'!$D$3:$DT$129,CU$1,0)</f>
        <v>NANCY_D</v>
      </c>
      <c r="CV16" s="13">
        <f>VLOOKUP($G16,'Visu totale'!$D$3:$DT$129,CV$1,0)</f>
        <v>18</v>
      </c>
      <c r="CW16" s="13">
        <f>VLOOKUP($G16,'Visu totale'!$D$3:$DT$129,CW$1,0)</f>
        <v>18</v>
      </c>
      <c r="CX16" s="15">
        <f>VLOOKUP($G16,'Visu totale'!$D$3:$DT$129,CX$1,0)</f>
        <v>18</v>
      </c>
      <c r="CY16" s="14">
        <f>VLOOKUP($G16,'Visu totale'!$D$3:$DT$129,CY$1,0)</f>
        <v>0</v>
      </c>
      <c r="CZ16" s="13">
        <f>VLOOKUP($G16,'Visu totale'!$D$3:$DT$129,CZ$1,0)</f>
        <v>0</v>
      </c>
      <c r="DA16" s="13">
        <f>VLOOKUP($G16,'Visu totale'!$D$3:$DT$129,DA$1,0)</f>
        <v>0</v>
      </c>
      <c r="DB16" s="13">
        <f>VLOOKUP($G16,'Visu totale'!$D$3:$DT$129,DB$1,0)</f>
        <v>0</v>
      </c>
      <c r="DC16" s="13">
        <f>VLOOKUP($G16,'Visu totale'!$D$3:$DT$129,DC$1,0)</f>
        <v>0</v>
      </c>
      <c r="DD16" s="13">
        <f>VLOOKUP($G16,'Visu totale'!$D$3:$DT$129,DD$1,0)</f>
        <v>0</v>
      </c>
      <c r="DE16" s="13">
        <f>VLOOKUP($G16,'Visu totale'!$D$3:$DT$129,DE$1,0)</f>
        <v>0</v>
      </c>
      <c r="DF16" s="13">
        <f>VLOOKUP($G16,'Visu totale'!$D$3:$DT$129,DF$1,0)</f>
        <v>0</v>
      </c>
      <c r="DG16" s="13">
        <f>VLOOKUP($G16,'Visu totale'!$D$3:$DT$129,DG$1,0)</f>
        <v>0</v>
      </c>
      <c r="DH16" s="13">
        <f>VLOOKUP($G16,'Visu totale'!$D$3:$DT$129,DH$1,0)</f>
        <v>0</v>
      </c>
      <c r="DI16" s="13">
        <f>VLOOKUP($G16,'Visu totale'!$D$3:$DT$129,DI$1,0)</f>
        <v>0</v>
      </c>
      <c r="DJ16" s="15">
        <f>VLOOKUP($G16,'Visu totale'!$D$3:$DT$129,DJ$1,0)</f>
        <v>0</v>
      </c>
      <c r="DK16" s="14">
        <f>VLOOKUP($G16,'Visu totale'!$D$3:$DT$129,DK$1,0)</f>
        <v>0</v>
      </c>
      <c r="DL16" s="13">
        <f>VLOOKUP($G16,'Visu totale'!$D$3:$DT$129,DL$1,0)</f>
        <v>0</v>
      </c>
      <c r="DM16" s="13">
        <f>VLOOKUP($G16,'Visu totale'!$D$3:$DT$129,DM$1,0)</f>
        <v>0</v>
      </c>
      <c r="DN16" s="13">
        <f>VLOOKUP($G16,'Visu totale'!$D$3:$DT$129,DN$1,0)</f>
        <v>0</v>
      </c>
      <c r="DO16" s="13">
        <f>VLOOKUP($G16,'Visu totale'!$D$3:$DT$129,DO$1,0)</f>
        <v>0</v>
      </c>
      <c r="DP16" s="13">
        <f>VLOOKUP($G16,'Visu totale'!$D$3:$DT$129,DP$1,0)</f>
        <v>0</v>
      </c>
      <c r="DQ16" s="13">
        <f>VLOOKUP($G16,'Visu totale'!$D$3:$DT$129,DQ$1,0)</f>
        <v>0</v>
      </c>
      <c r="DR16" s="13">
        <f>VLOOKUP($G16,'Visu totale'!$D$3:$DT$129,DR$1,0)</f>
        <v>0</v>
      </c>
      <c r="DS16" s="13">
        <f>VLOOKUP($G16,'Visu totale'!$D$3:$DT$129,DS$1,0)</f>
        <v>0</v>
      </c>
      <c r="DT16" s="13">
        <f>VLOOKUP($G16,'Visu totale'!$D$3:$DT$129,DT$1,0)</f>
        <v>0</v>
      </c>
      <c r="DU16" s="13">
        <f>VLOOKUP($G16,'Visu totale'!$D$3:$DT$129,DU$1,0)</f>
        <v>0</v>
      </c>
      <c r="DV16" s="15">
        <f>VLOOKUP($G16,'Visu totale'!$D$3:$DT$129,DV$1,0)</f>
        <v>0</v>
      </c>
    </row>
    <row r="17" spans="1:126" x14ac:dyDescent="0.25">
      <c r="A17" s="13"/>
      <c r="B17" s="13"/>
      <c r="C17" s="13"/>
      <c r="D17" s="16"/>
      <c r="E17" s="14"/>
      <c r="F17" s="13"/>
      <c r="G17" s="17" t="s">
        <v>19</v>
      </c>
      <c r="H17" s="13">
        <f>VLOOKUP($G17,'Visu totale'!$D$3:$DT$129,H$1,0)</f>
        <v>18</v>
      </c>
      <c r="I17" s="13" t="str">
        <f>VLOOKUP($G17,'Visu totale'!$D$3:$DT$129,I$1,0)</f>
        <v>NANCY_D</v>
      </c>
      <c r="J17" s="13" t="str">
        <f>VLOOKUP($G17,'Visu totale'!$D$3:$DT$129,J$1,0)</f>
        <v>NANCY_D</v>
      </c>
      <c r="K17" s="13" t="str">
        <f>VLOOKUP($G17,'Visu totale'!$D$3:$DT$129,K$1,0)</f>
        <v>NANCY_D</v>
      </c>
      <c r="L17" s="13" t="str">
        <f>VLOOKUP($G17,'Visu totale'!$D$3:$DT$129,L$1,0)</f>
        <v>NANCY_D</v>
      </c>
      <c r="M17" s="13">
        <f>VLOOKUP($G17,'Visu totale'!$D$3:$DT$129,M$1,0)</f>
        <v>18</v>
      </c>
      <c r="N17" s="13">
        <f>VLOOKUP($G17,'Visu totale'!$D$3:$DT$129,N$1,0)</f>
        <v>18</v>
      </c>
      <c r="O17" s="13" t="str">
        <f>VLOOKUP($G17,'Visu totale'!$D$3:$DT$129,O$1,0)</f>
        <v>NANCY_D</v>
      </c>
      <c r="P17" s="13" t="str">
        <f>VLOOKUP($G17,'Visu totale'!$D$3:$DT$129,P$1,0)</f>
        <v>NANCY_D</v>
      </c>
      <c r="Q17" s="13" t="str">
        <f>VLOOKUP($G17,'Visu totale'!$D$3:$DT$129,Q$1,0)</f>
        <v>NANCY_D</v>
      </c>
      <c r="R17" s="15" t="str">
        <f>VLOOKUP($G17,'Visu totale'!$D$3:$DT$129,R$1,0)</f>
        <v>NANCY_D</v>
      </c>
      <c r="S17" s="14" t="str">
        <f>VLOOKUP($G17,'Visu totale'!$D$3:$DT$129,S$1,0)</f>
        <v>V15</v>
      </c>
      <c r="T17" s="13" t="str">
        <f>VLOOKUP($G17,'Visu totale'!$D$3:$DT$129,T$1,0)</f>
        <v>V15</v>
      </c>
      <c r="U17" s="13" t="str">
        <f>VLOOKUP($G17,'Visu totale'!$D$3:$DT$129,U$1,0)</f>
        <v>V15</v>
      </c>
      <c r="V17" s="13" t="str">
        <f>VLOOKUP($G17,'Visu totale'!$D$3:$DT$129,V$1,0)</f>
        <v>V15</v>
      </c>
      <c r="W17" s="13" t="str">
        <f>VLOOKUP($G17,'Visu totale'!$D$3:$DT$129,W$1,0)</f>
        <v>V15</v>
      </c>
      <c r="X17" s="13" t="str">
        <f>VLOOKUP($G17,'Visu totale'!$D$3:$DT$129,X$1,0)</f>
        <v>V15</v>
      </c>
      <c r="Y17" s="13">
        <f>VLOOKUP($G17,'Visu totale'!$D$3:$DT$129,Y$1,0)</f>
        <v>18</v>
      </c>
      <c r="Z17" s="13">
        <f>VLOOKUP($G17,'Visu totale'!$D$3:$DT$129,Z$1,0)</f>
        <v>18</v>
      </c>
      <c r="AA17" s="13" t="str">
        <f>VLOOKUP($G17,'Visu totale'!$D$3:$DT$129,AA$1,0)</f>
        <v>CHAMMAL_D</v>
      </c>
      <c r="AB17" s="13" t="str">
        <f>VLOOKUP($G17,'Visu totale'!$D$3:$DT$129,AB$1,0)</f>
        <v>CHAMMAL_D</v>
      </c>
      <c r="AC17" s="13" t="str">
        <f>VLOOKUP($G17,'Visu totale'!$D$3:$DT$129,AC$1,0)</f>
        <v>CHAMMAL_D</v>
      </c>
      <c r="AD17" s="15" t="str">
        <f>VLOOKUP($G17,'Visu totale'!$D$3:$DT$129,AD$1,0)</f>
        <v>CHAMMAL_D</v>
      </c>
      <c r="AE17" s="14">
        <f>VLOOKUP($G17,'Visu totale'!$D$3:$DT$129,AE$1,0)</f>
        <v>18</v>
      </c>
      <c r="AF17" s="13">
        <f>VLOOKUP($G17,'Visu totale'!$D$3:$DT$129,AF$1,0)</f>
        <v>18</v>
      </c>
      <c r="AG17" s="13" t="str">
        <f>VLOOKUP($G17,'Visu totale'!$D$3:$DT$129,AG$1,0)</f>
        <v>CHAMMAL_D</v>
      </c>
      <c r="AH17" s="13" t="str">
        <f>VLOOKUP($G17,'Visu totale'!$D$3:$DT$129,AH$1,0)</f>
        <v>CHAMMAL_D</v>
      </c>
      <c r="AI17" s="13" t="str">
        <f>VLOOKUP($G17,'Visu totale'!$D$3:$DT$129,AI$1,0)</f>
        <v>CHAMMAL_D</v>
      </c>
      <c r="AJ17" s="13" t="str">
        <f>VLOOKUP($G17,'Visu totale'!$D$3:$DT$129,AJ$1,0)</f>
        <v>CHAMMAL_D</v>
      </c>
      <c r="AK17" s="13">
        <f>VLOOKUP($G17,'Visu totale'!$D$3:$DT$129,AK$1,0)</f>
        <v>18</v>
      </c>
      <c r="AL17" s="13">
        <f>VLOOKUP($G17,'Visu totale'!$D$3:$DT$129,AL$1,0)</f>
        <v>18</v>
      </c>
      <c r="AM17" s="13" t="str">
        <f>VLOOKUP($G17,'Visu totale'!$D$3:$DT$129,AM$1,0)</f>
        <v>NANCY_D</v>
      </c>
      <c r="AN17" s="13" t="str">
        <f>VLOOKUP($G17,'Visu totale'!$D$3:$DT$129,AN$1,0)</f>
        <v>NANCY_D</v>
      </c>
      <c r="AO17" s="13" t="str">
        <f>VLOOKUP($G17,'Visu totale'!$D$3:$DT$129,AO$1,0)</f>
        <v>NANCY_D</v>
      </c>
      <c r="AP17" s="15" t="str">
        <f>VLOOKUP($G17,'Visu totale'!$D$3:$DT$129,AP$1,0)</f>
        <v>NANCY_D</v>
      </c>
      <c r="AQ17" s="14">
        <f>VLOOKUP($G17,'Visu totale'!$D$3:$DT$129,AQ$1,0)</f>
        <v>18</v>
      </c>
      <c r="AR17" s="13">
        <f>VLOOKUP($G17,'Visu totale'!$D$3:$DT$129,AR$1,0)</f>
        <v>18</v>
      </c>
      <c r="AS17" s="13">
        <f>VLOOKUP($G17,'Visu totale'!$D$3:$DT$129,AS$1,0)</f>
        <v>18</v>
      </c>
      <c r="AT17" s="13">
        <f>VLOOKUP($G17,'Visu totale'!$D$3:$DT$129,AT$1,0)</f>
        <v>18</v>
      </c>
      <c r="AU17" s="13">
        <f>VLOOKUP($G17,'Visu totale'!$D$3:$DT$129,AU$1,0)</f>
        <v>18</v>
      </c>
      <c r="AV17" s="13">
        <f>VLOOKUP($G17,'Visu totale'!$D$3:$DT$129,AV$1,0)</f>
        <v>18</v>
      </c>
      <c r="AW17" s="13">
        <f>VLOOKUP($G17,'Visu totale'!$D$3:$DT$129,AW$1,0)</f>
        <v>18</v>
      </c>
      <c r="AX17" s="13">
        <f>VLOOKUP($G17,'Visu totale'!$D$3:$DT$129,AX$1,0)</f>
        <v>18</v>
      </c>
      <c r="AY17" s="13">
        <f>VLOOKUP($G17,'Visu totale'!$D$3:$DT$129,AY$1,0)</f>
        <v>18</v>
      </c>
      <c r="AZ17" s="13">
        <f>VLOOKUP($G17,'Visu totale'!$D$3:$DT$129,AZ$1,0)</f>
        <v>18</v>
      </c>
      <c r="BA17" s="13">
        <f>VLOOKUP($G17,'Visu totale'!$D$3:$DT$129,BA$1,0)</f>
        <v>18</v>
      </c>
      <c r="BB17" s="15">
        <f>VLOOKUP($G17,'Visu totale'!$D$3:$DT$129,BB$1,0)</f>
        <v>0</v>
      </c>
      <c r="BC17" s="14">
        <f>VLOOKUP($G17,'Visu totale'!$D$3:$DT$129,BC$1,0)</f>
        <v>0</v>
      </c>
      <c r="BD17" s="13">
        <f>VLOOKUP($G17,'Visu totale'!$D$3:$DT$129,BD$1,0)</f>
        <v>0</v>
      </c>
      <c r="BE17" s="13">
        <f>VLOOKUP($G17,'Visu totale'!$D$3:$DT$129,BE$1,0)</f>
        <v>0</v>
      </c>
      <c r="BF17" s="13">
        <f>VLOOKUP($G17,'Visu totale'!$D$3:$DT$129,BF$1,0)</f>
        <v>0</v>
      </c>
      <c r="BG17" s="13">
        <f>VLOOKUP($G17,'Visu totale'!$D$3:$DT$129,BG$1,0)</f>
        <v>0</v>
      </c>
      <c r="BH17" s="13">
        <f>VLOOKUP($G17,'Visu totale'!$D$3:$DT$129,BH$1,0)</f>
        <v>0</v>
      </c>
      <c r="BI17" s="13">
        <f>VLOOKUP($G17,'Visu totale'!$D$3:$DT$129,BI$1,0)</f>
        <v>0</v>
      </c>
      <c r="BJ17" s="13">
        <f>VLOOKUP($G17,'Visu totale'!$D$3:$DT$129,BJ$1,0)</f>
        <v>0</v>
      </c>
      <c r="BK17" s="13">
        <f>VLOOKUP($G17,'Visu totale'!$D$3:$DT$129,BK$1,0)</f>
        <v>0</v>
      </c>
      <c r="BL17" s="13">
        <f>VLOOKUP($G17,'Visu totale'!$D$3:$DT$129,BL$1,0)</f>
        <v>0</v>
      </c>
      <c r="BM17" s="13">
        <f>VLOOKUP($G17,'Visu totale'!$D$3:$DT$129,BM$1,0)</f>
        <v>0</v>
      </c>
      <c r="BN17" s="15">
        <f>VLOOKUP($G17,'Visu totale'!$D$3:$DT$129,BN$1,0)</f>
        <v>0</v>
      </c>
      <c r="BO17" s="14">
        <f>VLOOKUP($G17,'Visu totale'!$D$3:$DT$129,BO$1,0)</f>
        <v>18</v>
      </c>
      <c r="BP17" s="13">
        <f>VLOOKUP($G17,'Visu totale'!$D$3:$DT$129,BP$1,0)</f>
        <v>18</v>
      </c>
      <c r="BQ17" s="13">
        <f>VLOOKUP($G17,'Visu totale'!$D$3:$DT$129,BQ$1,0)</f>
        <v>18</v>
      </c>
      <c r="BR17" s="13">
        <f>VLOOKUP($G17,'Visu totale'!$D$3:$DT$129,BR$1,0)</f>
        <v>18</v>
      </c>
      <c r="BS17" s="13">
        <f>VLOOKUP($G17,'Visu totale'!$D$3:$DT$129,BS$1,0)</f>
        <v>18</v>
      </c>
      <c r="BT17" s="13">
        <f>VLOOKUP($G17,'Visu totale'!$D$3:$DT$129,BT$1,0)</f>
        <v>18</v>
      </c>
      <c r="BU17" s="13">
        <f>VLOOKUP($G17,'Visu totale'!$D$3:$DT$129,BU$1,0)</f>
        <v>18</v>
      </c>
      <c r="BV17" s="13">
        <f>VLOOKUP($G17,'Visu totale'!$D$3:$DT$129,BV$1,0)</f>
        <v>18</v>
      </c>
      <c r="BW17" s="13">
        <f>VLOOKUP($G17,'Visu totale'!$D$3:$DT$129,BW$1,0)</f>
        <v>0</v>
      </c>
      <c r="BX17" s="13">
        <f>VLOOKUP($G17,'Visu totale'!$D$3:$DT$129,BX$1,0)</f>
        <v>0</v>
      </c>
      <c r="BY17" s="13">
        <f>VLOOKUP($G17,'Visu totale'!$D$3:$DT$129,BY$1,0)</f>
        <v>0</v>
      </c>
      <c r="BZ17" s="15">
        <f>VLOOKUP($G17,'Visu totale'!$D$3:$DT$129,BZ$1,0)</f>
        <v>0</v>
      </c>
      <c r="CA17" s="14">
        <f>VLOOKUP($G17,'Visu totale'!$D$3:$DT$129,CA$1,0)</f>
        <v>0</v>
      </c>
      <c r="CB17" s="13">
        <f>VLOOKUP($G17,'Visu totale'!$D$3:$DT$129,CB$1,0)</f>
        <v>0</v>
      </c>
      <c r="CC17" s="13">
        <f>VLOOKUP($G17,'Visu totale'!$D$3:$DT$129,CC$1,0)</f>
        <v>0</v>
      </c>
      <c r="CD17" s="13">
        <f>VLOOKUP($G17,'Visu totale'!$D$3:$DT$129,CD$1,0)</f>
        <v>0</v>
      </c>
      <c r="CE17" s="13">
        <f>VLOOKUP($G17,'Visu totale'!$D$3:$DT$129,CE$1,0)</f>
        <v>0</v>
      </c>
      <c r="CF17" s="13">
        <f>VLOOKUP($G17,'Visu totale'!$D$3:$DT$129,CF$1,0)</f>
        <v>0</v>
      </c>
      <c r="CG17" s="13">
        <f>VLOOKUP($G17,'Visu totale'!$D$3:$DT$129,CG$1,0)</f>
        <v>0</v>
      </c>
      <c r="CH17" s="13">
        <f>VLOOKUP($G17,'Visu totale'!$D$3:$DT$129,CH$1,0)</f>
        <v>0</v>
      </c>
      <c r="CI17" s="13">
        <f>VLOOKUP($G17,'Visu totale'!$D$3:$DT$129,CI$1,0)</f>
        <v>0</v>
      </c>
      <c r="CJ17" s="13">
        <f>VLOOKUP($G17,'Visu totale'!$D$3:$DT$129,CJ$1,0)</f>
        <v>0</v>
      </c>
      <c r="CK17" s="13">
        <f>VLOOKUP($G17,'Visu totale'!$D$3:$DT$129,CK$1,0)</f>
        <v>0</v>
      </c>
      <c r="CL17" s="15">
        <f>VLOOKUP($G17,'Visu totale'!$D$3:$DT$129,CL$1,0)</f>
        <v>0</v>
      </c>
      <c r="CM17" s="14">
        <f>VLOOKUP($G17,'Visu totale'!$D$3:$DT$129,CM$1,0)</f>
        <v>0</v>
      </c>
      <c r="CN17" s="13">
        <f>VLOOKUP($G17,'Visu totale'!$D$3:$DT$129,CN$1,0)</f>
        <v>0</v>
      </c>
      <c r="CO17" s="13">
        <f>VLOOKUP($G17,'Visu totale'!$D$3:$DT$129,CO$1,0)</f>
        <v>0</v>
      </c>
      <c r="CP17" s="13">
        <f>VLOOKUP($G17,'Visu totale'!$D$3:$DT$129,CP$1,0)</f>
        <v>0</v>
      </c>
      <c r="CQ17" s="13" t="str">
        <f>VLOOKUP($G17,'Visu totale'!$D$3:$DT$129,CQ$1,0)</f>
        <v>V20</v>
      </c>
      <c r="CR17" s="13" t="str">
        <f>VLOOKUP($G17,'Visu totale'!$D$3:$DT$129,CR$1,0)</f>
        <v>V20</v>
      </c>
      <c r="CS17" s="13" t="str">
        <f>VLOOKUP($G17,'Visu totale'!$D$3:$DT$129,CS$1,0)</f>
        <v>V20</v>
      </c>
      <c r="CT17" s="13" t="str">
        <f>VLOOKUP($G17,'Visu totale'!$D$3:$DT$129,CT$1,0)</f>
        <v>V20</v>
      </c>
      <c r="CU17" s="13" t="str">
        <f>VLOOKUP($G17,'Visu totale'!$D$3:$DT$129,CU$1,0)</f>
        <v>V20</v>
      </c>
      <c r="CV17" s="13" t="str">
        <f>VLOOKUP($G17,'Visu totale'!$D$3:$DT$129,CV$1,0)</f>
        <v>V20</v>
      </c>
      <c r="CW17" s="13">
        <f>VLOOKUP($G17,'Visu totale'!$D$3:$DT$129,CW$1,0)</f>
        <v>18</v>
      </c>
      <c r="CX17" s="15">
        <f>VLOOKUP($G17,'Visu totale'!$D$3:$DT$129,CX$1,0)</f>
        <v>18</v>
      </c>
      <c r="CY17" s="14">
        <f>VLOOKUP($G17,'Visu totale'!$D$3:$DT$129,CY$1,0)</f>
        <v>0</v>
      </c>
      <c r="CZ17" s="13">
        <f>VLOOKUP($G17,'Visu totale'!$D$3:$DT$129,CZ$1,0)</f>
        <v>0</v>
      </c>
      <c r="DA17" s="13">
        <f>VLOOKUP($G17,'Visu totale'!$D$3:$DT$129,DA$1,0)</f>
        <v>0</v>
      </c>
      <c r="DB17" s="13">
        <f>VLOOKUP($G17,'Visu totale'!$D$3:$DT$129,DB$1,0)</f>
        <v>0</v>
      </c>
      <c r="DC17" s="13">
        <f>VLOOKUP($G17,'Visu totale'!$D$3:$DT$129,DC$1,0)</f>
        <v>0</v>
      </c>
      <c r="DD17" s="13">
        <f>VLOOKUP($G17,'Visu totale'!$D$3:$DT$129,DD$1,0)</f>
        <v>0</v>
      </c>
      <c r="DE17" s="13">
        <f>VLOOKUP($G17,'Visu totale'!$D$3:$DT$129,DE$1,0)</f>
        <v>0</v>
      </c>
      <c r="DF17" s="13">
        <f>VLOOKUP($G17,'Visu totale'!$D$3:$DT$129,DF$1,0)</f>
        <v>0</v>
      </c>
      <c r="DG17" s="13">
        <f>VLOOKUP($G17,'Visu totale'!$D$3:$DT$129,DG$1,0)</f>
        <v>0</v>
      </c>
      <c r="DH17" s="13">
        <f>VLOOKUP($G17,'Visu totale'!$D$3:$DT$129,DH$1,0)</f>
        <v>0</v>
      </c>
      <c r="DI17" s="13">
        <f>VLOOKUP($G17,'Visu totale'!$D$3:$DT$129,DI$1,0)</f>
        <v>0</v>
      </c>
      <c r="DJ17" s="15">
        <f>VLOOKUP($G17,'Visu totale'!$D$3:$DT$129,DJ$1,0)</f>
        <v>0</v>
      </c>
      <c r="DK17" s="14">
        <f>VLOOKUP($G17,'Visu totale'!$D$3:$DT$129,DK$1,0)</f>
        <v>0</v>
      </c>
      <c r="DL17" s="13">
        <f>VLOOKUP($G17,'Visu totale'!$D$3:$DT$129,DL$1,0)</f>
        <v>0</v>
      </c>
      <c r="DM17" s="13">
        <f>VLOOKUP($G17,'Visu totale'!$D$3:$DT$129,DM$1,0)</f>
        <v>0</v>
      </c>
      <c r="DN17" s="13">
        <f>VLOOKUP($G17,'Visu totale'!$D$3:$DT$129,DN$1,0)</f>
        <v>0</v>
      </c>
      <c r="DO17" s="13">
        <f>VLOOKUP($G17,'Visu totale'!$D$3:$DT$129,DO$1,0)</f>
        <v>0</v>
      </c>
      <c r="DP17" s="13">
        <f>VLOOKUP($G17,'Visu totale'!$D$3:$DT$129,DP$1,0)</f>
        <v>0</v>
      </c>
      <c r="DQ17" s="13">
        <f>VLOOKUP($G17,'Visu totale'!$D$3:$DT$129,DQ$1,0)</f>
        <v>0</v>
      </c>
      <c r="DR17" s="13">
        <f>VLOOKUP($G17,'Visu totale'!$D$3:$DT$129,DR$1,0)</f>
        <v>0</v>
      </c>
      <c r="DS17" s="13">
        <f>VLOOKUP($G17,'Visu totale'!$D$3:$DT$129,DS$1,0)</f>
        <v>0</v>
      </c>
      <c r="DT17" s="13">
        <f>VLOOKUP($G17,'Visu totale'!$D$3:$DT$129,DT$1,0)</f>
        <v>0</v>
      </c>
      <c r="DU17" s="13">
        <f>VLOOKUP($G17,'Visu totale'!$D$3:$DT$129,DU$1,0)</f>
        <v>0</v>
      </c>
      <c r="DV17" s="15">
        <f>VLOOKUP($G17,'Visu totale'!$D$3:$DT$129,DV$1,0)</f>
        <v>0</v>
      </c>
    </row>
    <row r="18" spans="1:126" x14ac:dyDescent="0.25">
      <c r="A18" s="13"/>
      <c r="B18" s="13"/>
      <c r="C18" s="13"/>
      <c r="D18" s="16"/>
      <c r="E18" s="14"/>
      <c r="F18" s="13"/>
      <c r="G18" s="17" t="s">
        <v>20</v>
      </c>
      <c r="H18" s="13" t="str">
        <f>VLOOKUP($G18,'Visu totale'!$D$3:$DT$129,H$1,0)</f>
        <v>V5</v>
      </c>
      <c r="I18" s="13" t="str">
        <f>VLOOKUP($G18,'Visu totale'!$D$3:$DT$129,I$1,0)</f>
        <v>V5</v>
      </c>
      <c r="J18" s="13" t="str">
        <f>VLOOKUP($G18,'Visu totale'!$D$3:$DT$129,J$1,0)</f>
        <v>V5</v>
      </c>
      <c r="K18" s="13" t="str">
        <f>VLOOKUP($G18,'Visu totale'!$D$3:$DT$129,K$1,0)</f>
        <v>V5</v>
      </c>
      <c r="L18" s="13" t="str">
        <f>VLOOKUP($G18,'Visu totale'!$D$3:$DT$129,L$1,0)</f>
        <v>V5</v>
      </c>
      <c r="M18" s="13">
        <f>VLOOKUP($G18,'Visu totale'!$D$3:$DT$129,M$1,0)</f>
        <v>18</v>
      </c>
      <c r="N18" s="13">
        <f>VLOOKUP($G18,'Visu totale'!$D$3:$DT$129,N$1,0)</f>
        <v>18</v>
      </c>
      <c r="O18" s="13" t="str">
        <f>VLOOKUP($G18,'Visu totale'!$D$3:$DT$129,O$1,0)</f>
        <v>NANCY_D</v>
      </c>
      <c r="P18" s="13" t="str">
        <f>VLOOKUP($G18,'Visu totale'!$D$3:$DT$129,P$1,0)</f>
        <v>NANCY_D</v>
      </c>
      <c r="Q18" s="13" t="str">
        <f>VLOOKUP($G18,'Visu totale'!$D$3:$DT$129,Q$1,0)</f>
        <v>NANCY_D</v>
      </c>
      <c r="R18" s="15" t="str">
        <f>VLOOKUP($G18,'Visu totale'!$D$3:$DT$129,R$1,0)</f>
        <v>NANCY_D</v>
      </c>
      <c r="S18" s="14">
        <f>VLOOKUP($G18,'Visu totale'!$D$3:$DT$129,S$1,0)</f>
        <v>18</v>
      </c>
      <c r="T18" s="13">
        <f>VLOOKUP($G18,'Visu totale'!$D$3:$DT$129,T$1,0)</f>
        <v>18</v>
      </c>
      <c r="U18" s="13" t="str">
        <f>VLOOKUP($G18,'Visu totale'!$D$3:$DT$129,U$1,0)</f>
        <v>NANCY_D</v>
      </c>
      <c r="V18" s="13" t="str">
        <f>VLOOKUP($G18,'Visu totale'!$D$3:$DT$129,V$1,0)</f>
        <v>NANCY_D</v>
      </c>
      <c r="W18" s="13" t="str">
        <f>VLOOKUP($G18,'Visu totale'!$D$3:$DT$129,W$1,0)</f>
        <v>NANCY_D</v>
      </c>
      <c r="X18" s="13" t="str">
        <f>VLOOKUP($G18,'Visu totale'!$D$3:$DT$129,X$1,0)</f>
        <v>NANCY_D</v>
      </c>
      <c r="Y18" s="13">
        <f>VLOOKUP($G18,'Visu totale'!$D$3:$DT$129,Y$1,0)</f>
        <v>18</v>
      </c>
      <c r="Z18" s="13">
        <f>VLOOKUP($G18,'Visu totale'!$D$3:$DT$129,Z$1,0)</f>
        <v>18</v>
      </c>
      <c r="AA18" s="13" t="str">
        <f>VLOOKUP($G18,'Visu totale'!$D$3:$DT$129,AA$1,0)</f>
        <v>NANCY_D</v>
      </c>
      <c r="AB18" s="13" t="str">
        <f>VLOOKUP($G18,'Visu totale'!$D$3:$DT$129,AB$1,0)</f>
        <v>NANCY_D</v>
      </c>
      <c r="AC18" s="13" t="str">
        <f>VLOOKUP($G18,'Visu totale'!$D$3:$DT$129,AC$1,0)</f>
        <v>NANCY_D</v>
      </c>
      <c r="AD18" s="15" t="str">
        <f>VLOOKUP($G18,'Visu totale'!$D$3:$DT$129,AD$1,0)</f>
        <v>NANCY_D</v>
      </c>
      <c r="AE18" s="14">
        <f>VLOOKUP($G18,'Visu totale'!$D$3:$DT$129,AE$1,0)</f>
        <v>18</v>
      </c>
      <c r="AF18" s="13">
        <f>VLOOKUP($G18,'Visu totale'!$D$3:$DT$129,AF$1,0)</f>
        <v>18</v>
      </c>
      <c r="AG18" s="13" t="str">
        <f>VLOOKUP($G18,'Visu totale'!$D$3:$DT$129,AG$1,0)</f>
        <v>NANCY_D</v>
      </c>
      <c r="AH18" s="13" t="str">
        <f>VLOOKUP($G18,'Visu totale'!$D$3:$DT$129,AH$1,0)</f>
        <v>NANCY_D</v>
      </c>
      <c r="AI18" s="13" t="str">
        <f>VLOOKUP($G18,'Visu totale'!$D$3:$DT$129,AI$1,0)</f>
        <v>NANCY_D</v>
      </c>
      <c r="AJ18" s="13" t="str">
        <f>VLOOKUP($G18,'Visu totale'!$D$3:$DT$129,AJ$1,0)</f>
        <v>NANCY_D</v>
      </c>
      <c r="AK18" s="13">
        <f>VLOOKUP($G18,'Visu totale'!$D$3:$DT$129,AK$1,0)</f>
        <v>18</v>
      </c>
      <c r="AL18" s="13">
        <f>VLOOKUP($G18,'Visu totale'!$D$3:$DT$129,AL$1,0)</f>
        <v>18</v>
      </c>
      <c r="AM18" s="13" t="str">
        <f>VLOOKUP($G18,'Visu totale'!$D$3:$DT$129,AM$1,0)</f>
        <v>NANCY_D</v>
      </c>
      <c r="AN18" s="13" t="str">
        <f>VLOOKUP($G18,'Visu totale'!$D$3:$DT$129,AN$1,0)</f>
        <v>NANCY_D</v>
      </c>
      <c r="AO18" s="13" t="str">
        <f>VLOOKUP($G18,'Visu totale'!$D$3:$DT$129,AO$1,0)</f>
        <v>NANCY_D</v>
      </c>
      <c r="AP18" s="15" t="str">
        <f>VLOOKUP($G18,'Visu totale'!$D$3:$DT$129,AP$1,0)</f>
        <v>NANCY_D</v>
      </c>
      <c r="AQ18" s="14">
        <f>VLOOKUP($G18,'Visu totale'!$D$3:$DT$129,AQ$1,0)</f>
        <v>18</v>
      </c>
      <c r="AR18" s="13">
        <f>VLOOKUP($G18,'Visu totale'!$D$3:$DT$129,AR$1,0)</f>
        <v>18</v>
      </c>
      <c r="AS18" s="13" t="str">
        <f>VLOOKUP($G18,'Visu totale'!$D$3:$DT$129,AS$1,0)</f>
        <v>NANCY_D</v>
      </c>
      <c r="AT18" s="13" t="str">
        <f>VLOOKUP($G18,'Visu totale'!$D$3:$DT$129,AT$1,0)</f>
        <v>NANCY_D</v>
      </c>
      <c r="AU18" s="13" t="str">
        <f>VLOOKUP($G18,'Visu totale'!$D$3:$DT$129,AU$1,0)</f>
        <v>NANCY_D</v>
      </c>
      <c r="AV18" s="13" t="str">
        <f>VLOOKUP($G18,'Visu totale'!$D$3:$DT$129,AV$1,0)</f>
        <v>NANCY_D</v>
      </c>
      <c r="AW18" s="13">
        <f>VLOOKUP($G18,'Visu totale'!$D$3:$DT$129,AW$1,0)</f>
        <v>18</v>
      </c>
      <c r="AX18" s="13">
        <f>VLOOKUP($G18,'Visu totale'!$D$3:$DT$129,AX$1,0)</f>
        <v>18</v>
      </c>
      <c r="AY18" s="13" t="str">
        <f>VLOOKUP($G18,'Visu totale'!$D$3:$DT$129,AY$1,0)</f>
        <v>NANCY_D</v>
      </c>
      <c r="AZ18" s="13" t="str">
        <f>VLOOKUP($G18,'Visu totale'!$D$3:$DT$129,AZ$1,0)</f>
        <v>NANCY_D</v>
      </c>
      <c r="BA18" s="13" t="str">
        <f>VLOOKUP($G18,'Visu totale'!$D$3:$DT$129,BA$1,0)</f>
        <v>NANCY_D</v>
      </c>
      <c r="BB18" s="15" t="str">
        <f>VLOOKUP($G18,'Visu totale'!$D$3:$DT$129,BB$1,0)</f>
        <v>NANCY_D</v>
      </c>
      <c r="BC18" s="14">
        <f>VLOOKUP($G18,'Visu totale'!$D$3:$DT$129,BC$1,0)</f>
        <v>18</v>
      </c>
      <c r="BD18" s="13">
        <f>VLOOKUP($G18,'Visu totale'!$D$3:$DT$129,BD$1,0)</f>
        <v>18</v>
      </c>
      <c r="BE18" s="13" t="str">
        <f>VLOOKUP($G18,'Visu totale'!$D$3:$DT$129,BE$1,0)</f>
        <v>NANCY_D</v>
      </c>
      <c r="BF18" s="13" t="str">
        <f>VLOOKUP($G18,'Visu totale'!$D$3:$DT$129,BF$1,0)</f>
        <v>NANCY_D</v>
      </c>
      <c r="BG18" s="13" t="str">
        <f>VLOOKUP($G18,'Visu totale'!$D$3:$DT$129,BG$1,0)</f>
        <v>NANCY_D</v>
      </c>
      <c r="BH18" s="13" t="str">
        <f>VLOOKUP($G18,'Visu totale'!$D$3:$DT$129,BH$1,0)</f>
        <v>NANCY_D</v>
      </c>
      <c r="BI18" s="13" t="str">
        <f>VLOOKUP($G18,'Visu totale'!$D$3:$DT$129,BI$1,0)</f>
        <v>V10</v>
      </c>
      <c r="BJ18" s="13" t="str">
        <f>VLOOKUP($G18,'Visu totale'!$D$3:$DT$129,BJ$1,0)</f>
        <v>V10</v>
      </c>
      <c r="BK18" s="13" t="str">
        <f>VLOOKUP($G18,'Visu totale'!$D$3:$DT$129,BK$1,0)</f>
        <v>V10</v>
      </c>
      <c r="BL18" s="13" t="str">
        <f>VLOOKUP($G18,'Visu totale'!$D$3:$DT$129,BL$1,0)</f>
        <v>V10</v>
      </c>
      <c r="BM18" s="13" t="str">
        <f>VLOOKUP($G18,'Visu totale'!$D$3:$DT$129,BM$1,0)</f>
        <v>V10</v>
      </c>
      <c r="BN18" s="15" t="str">
        <f>VLOOKUP($G18,'Visu totale'!$D$3:$DT$129,BN$1,0)</f>
        <v>V10</v>
      </c>
      <c r="BO18" s="14">
        <f>VLOOKUP($G18,'Visu totale'!$D$3:$DT$129,BO$1,0)</f>
        <v>18</v>
      </c>
      <c r="BP18" s="13">
        <f>VLOOKUP($G18,'Visu totale'!$D$3:$DT$129,BP$1,0)</f>
        <v>18</v>
      </c>
      <c r="BQ18" s="13" t="str">
        <f>VLOOKUP($G18,'Visu totale'!$D$3:$DT$129,BQ$1,0)</f>
        <v>NANCY_D</v>
      </c>
      <c r="BR18" s="13" t="str">
        <f>VLOOKUP($G18,'Visu totale'!$D$3:$DT$129,BR$1,0)</f>
        <v>NANCY_D</v>
      </c>
      <c r="BS18" s="13" t="str">
        <f>VLOOKUP($G18,'Visu totale'!$D$3:$DT$129,BS$1,0)</f>
        <v>NANCY_D</v>
      </c>
      <c r="BT18" s="13" t="str">
        <f>VLOOKUP($G18,'Visu totale'!$D$3:$DT$129,BT$1,0)</f>
        <v>NANCY_D</v>
      </c>
      <c r="BU18" s="13">
        <f>VLOOKUP($G18,'Visu totale'!$D$3:$DT$129,BU$1,0)</f>
        <v>18</v>
      </c>
      <c r="BV18" s="13">
        <f>VLOOKUP($G18,'Visu totale'!$D$3:$DT$129,BV$1,0)</f>
        <v>18</v>
      </c>
      <c r="BW18" s="13" t="str">
        <f>VLOOKUP($G18,'Visu totale'!$D$3:$DT$129,BW$1,0)</f>
        <v>NANCY_D</v>
      </c>
      <c r="BX18" s="13" t="str">
        <f>VLOOKUP($G18,'Visu totale'!$D$3:$DT$129,BX$1,0)</f>
        <v>NANCY_D</v>
      </c>
      <c r="BY18" s="13" t="str">
        <f>VLOOKUP($G18,'Visu totale'!$D$3:$DT$129,BY$1,0)</f>
        <v>NANCY_D</v>
      </c>
      <c r="BZ18" s="15" t="str">
        <f>VLOOKUP($G18,'Visu totale'!$D$3:$DT$129,BZ$1,0)</f>
        <v>NANCY_D</v>
      </c>
      <c r="CA18" s="14">
        <f>VLOOKUP($G18,'Visu totale'!$D$3:$DT$129,CA$1,0)</f>
        <v>18</v>
      </c>
      <c r="CB18" s="13">
        <f>VLOOKUP($G18,'Visu totale'!$D$3:$DT$129,CB$1,0)</f>
        <v>18</v>
      </c>
      <c r="CC18" s="13" t="str">
        <f>VLOOKUP($G18,'Visu totale'!$D$3:$DT$129,CC$1,0)</f>
        <v>NANCY_D</v>
      </c>
      <c r="CD18" s="13" t="str">
        <f>VLOOKUP($G18,'Visu totale'!$D$3:$DT$129,CD$1,0)</f>
        <v>NANCY_D</v>
      </c>
      <c r="CE18" s="13" t="str">
        <f>VLOOKUP($G18,'Visu totale'!$D$3:$DT$129,CE$1,0)</f>
        <v>NANCY_D</v>
      </c>
      <c r="CF18" s="13" t="str">
        <f>VLOOKUP($G18,'Visu totale'!$D$3:$DT$129,CF$1,0)</f>
        <v>NANCY_D</v>
      </c>
      <c r="CG18" s="13">
        <f>VLOOKUP($G18,'Visu totale'!$D$3:$DT$129,CG$1,0)</f>
        <v>18</v>
      </c>
      <c r="CH18" s="13">
        <f>VLOOKUP($G18,'Visu totale'!$D$3:$DT$129,CH$1,0)</f>
        <v>18</v>
      </c>
      <c r="CI18" s="13" t="str">
        <f>VLOOKUP($G18,'Visu totale'!$D$3:$DT$129,CI$1,0)</f>
        <v>NANCY_D</v>
      </c>
      <c r="CJ18" s="13" t="str">
        <f>VLOOKUP($G18,'Visu totale'!$D$3:$DT$129,CJ$1,0)</f>
        <v>NANCY_D</v>
      </c>
      <c r="CK18" s="13" t="str">
        <f>VLOOKUP($G18,'Visu totale'!$D$3:$DT$129,CK$1,0)</f>
        <v>NANCY_D</v>
      </c>
      <c r="CL18" s="15" t="str">
        <f>VLOOKUP($G18,'Visu totale'!$D$3:$DT$129,CL$1,0)</f>
        <v>NANCY_D</v>
      </c>
      <c r="CM18" s="14">
        <f>VLOOKUP($G18,'Visu totale'!$D$3:$DT$129,CM$1,0)</f>
        <v>18</v>
      </c>
      <c r="CN18" s="13">
        <f>VLOOKUP($G18,'Visu totale'!$D$3:$DT$129,CN$1,0)</f>
        <v>18</v>
      </c>
      <c r="CO18" s="13" t="str">
        <f>VLOOKUP($G18,'Visu totale'!$D$3:$DT$129,CO$1,0)</f>
        <v>NANCY_D</v>
      </c>
      <c r="CP18" s="13" t="str">
        <f>VLOOKUP($G18,'Visu totale'!$D$3:$DT$129,CP$1,0)</f>
        <v>NANCY_D</v>
      </c>
      <c r="CQ18" s="13" t="str">
        <f>VLOOKUP($G18,'Visu totale'!$D$3:$DT$129,CQ$1,0)</f>
        <v>NANCY_D</v>
      </c>
      <c r="CR18" s="13" t="str">
        <f>VLOOKUP($G18,'Visu totale'!$D$3:$DT$129,CR$1,0)</f>
        <v>NANCY_D</v>
      </c>
      <c r="CS18" s="13">
        <f>VLOOKUP($G18,'Visu totale'!$D$3:$DT$129,CS$1,0)</f>
        <v>18</v>
      </c>
      <c r="CT18" s="13">
        <f>VLOOKUP($G18,'Visu totale'!$D$3:$DT$129,CT$1,0)</f>
        <v>18</v>
      </c>
      <c r="CU18" s="13">
        <f>VLOOKUP($G18,'Visu totale'!$D$3:$DT$129,CU$1,0)</f>
        <v>18</v>
      </c>
      <c r="CV18" s="13">
        <f>VLOOKUP($G18,'Visu totale'!$D$3:$DT$129,CV$1,0)</f>
        <v>18</v>
      </c>
      <c r="CW18" s="13">
        <f>VLOOKUP($G18,'Visu totale'!$D$3:$DT$129,CW$1,0)</f>
        <v>18</v>
      </c>
      <c r="CX18" s="15">
        <f>VLOOKUP($G18,'Visu totale'!$D$3:$DT$129,CX$1,0)</f>
        <v>18</v>
      </c>
      <c r="CY18" s="14">
        <f>VLOOKUP($G18,'Visu totale'!$D$3:$DT$129,CY$1,0)</f>
        <v>0</v>
      </c>
      <c r="CZ18" s="13">
        <f>VLOOKUP($G18,'Visu totale'!$D$3:$DT$129,CZ$1,0)</f>
        <v>0</v>
      </c>
      <c r="DA18" s="13">
        <f>VLOOKUP($G18,'Visu totale'!$D$3:$DT$129,DA$1,0)</f>
        <v>0</v>
      </c>
      <c r="DB18" s="13">
        <f>VLOOKUP($G18,'Visu totale'!$D$3:$DT$129,DB$1,0)</f>
        <v>0</v>
      </c>
      <c r="DC18" s="13">
        <f>VLOOKUP($G18,'Visu totale'!$D$3:$DT$129,DC$1,0)</f>
        <v>0</v>
      </c>
      <c r="DD18" s="13">
        <f>VLOOKUP($G18,'Visu totale'!$D$3:$DT$129,DD$1,0)</f>
        <v>0</v>
      </c>
      <c r="DE18" s="13">
        <f>VLOOKUP($G18,'Visu totale'!$D$3:$DT$129,DE$1,0)</f>
        <v>0</v>
      </c>
      <c r="DF18" s="13">
        <f>VLOOKUP($G18,'Visu totale'!$D$3:$DT$129,DF$1,0)</f>
        <v>0</v>
      </c>
      <c r="DG18" s="13">
        <f>VLOOKUP($G18,'Visu totale'!$D$3:$DT$129,DG$1,0)</f>
        <v>0</v>
      </c>
      <c r="DH18" s="13">
        <f>VLOOKUP($G18,'Visu totale'!$D$3:$DT$129,DH$1,0)</f>
        <v>0</v>
      </c>
      <c r="DI18" s="13">
        <f>VLOOKUP($G18,'Visu totale'!$D$3:$DT$129,DI$1,0)</f>
        <v>0</v>
      </c>
      <c r="DJ18" s="15">
        <f>VLOOKUP($G18,'Visu totale'!$D$3:$DT$129,DJ$1,0)</f>
        <v>0</v>
      </c>
      <c r="DK18" s="14">
        <f>VLOOKUP($G18,'Visu totale'!$D$3:$DT$129,DK$1,0)</f>
        <v>0</v>
      </c>
      <c r="DL18" s="13">
        <f>VLOOKUP($G18,'Visu totale'!$D$3:$DT$129,DL$1,0)</f>
        <v>0</v>
      </c>
      <c r="DM18" s="13">
        <f>VLOOKUP($G18,'Visu totale'!$D$3:$DT$129,DM$1,0)</f>
        <v>0</v>
      </c>
      <c r="DN18" s="13">
        <f>VLOOKUP($G18,'Visu totale'!$D$3:$DT$129,DN$1,0)</f>
        <v>0</v>
      </c>
      <c r="DO18" s="13">
        <f>VLOOKUP($G18,'Visu totale'!$D$3:$DT$129,DO$1,0)</f>
        <v>0</v>
      </c>
      <c r="DP18" s="13">
        <f>VLOOKUP($G18,'Visu totale'!$D$3:$DT$129,DP$1,0)</f>
        <v>0</v>
      </c>
      <c r="DQ18" s="13">
        <f>VLOOKUP($G18,'Visu totale'!$D$3:$DT$129,DQ$1,0)</f>
        <v>0</v>
      </c>
      <c r="DR18" s="13">
        <f>VLOOKUP($G18,'Visu totale'!$D$3:$DT$129,DR$1,0)</f>
        <v>0</v>
      </c>
      <c r="DS18" s="13">
        <f>VLOOKUP($G18,'Visu totale'!$D$3:$DT$129,DS$1,0)</f>
        <v>0</v>
      </c>
      <c r="DT18" s="13">
        <f>VLOOKUP($G18,'Visu totale'!$D$3:$DT$129,DT$1,0)</f>
        <v>0</v>
      </c>
      <c r="DU18" s="13">
        <f>VLOOKUP($G18,'Visu totale'!$D$3:$DT$129,DU$1,0)</f>
        <v>0</v>
      </c>
      <c r="DV18" s="15">
        <f>VLOOKUP($G18,'Visu totale'!$D$3:$DT$129,DV$1,0)</f>
        <v>0</v>
      </c>
    </row>
    <row r="19" spans="1:126" x14ac:dyDescent="0.25">
      <c r="A19" s="13"/>
      <c r="B19" s="13"/>
      <c r="C19" s="13"/>
      <c r="D19" s="16"/>
      <c r="E19" s="14"/>
      <c r="F19" s="13"/>
      <c r="G19" s="17" t="s">
        <v>21</v>
      </c>
      <c r="H19" s="13" t="str">
        <f>VLOOKUP($G19,'Visu totale'!$D$3:$DT$129,H$1,0)</f>
        <v>V10</v>
      </c>
      <c r="I19" s="13" t="str">
        <f>VLOOKUP($G19,'Visu totale'!$D$3:$DT$129,I$1,0)</f>
        <v>V10</v>
      </c>
      <c r="J19" s="13" t="str">
        <f>VLOOKUP($G19,'Visu totale'!$D$3:$DT$129,J$1,0)</f>
        <v>V10</v>
      </c>
      <c r="K19" s="13" t="str">
        <f>VLOOKUP($G19,'Visu totale'!$D$3:$DT$129,K$1,0)</f>
        <v>V10</v>
      </c>
      <c r="L19" s="13" t="str">
        <f>VLOOKUP($G19,'Visu totale'!$D$3:$DT$129,L$1,0)</f>
        <v>V10</v>
      </c>
      <c r="M19" s="13" t="str">
        <f>VLOOKUP($G19,'Visu totale'!$D$3:$DT$129,M$1,0)</f>
        <v>V10</v>
      </c>
      <c r="N19" s="13">
        <f>VLOOKUP($G19,'Visu totale'!$D$3:$DT$129,N$1,0)</f>
        <v>18</v>
      </c>
      <c r="O19" s="13">
        <f>VLOOKUP($G19,'Visu totale'!$D$3:$DT$129,O$1,0)</f>
        <v>18</v>
      </c>
      <c r="P19" s="13" t="str">
        <f>VLOOKUP($G19,'Visu totale'!$D$3:$DT$129,P$1,0)</f>
        <v>NANCY_D</v>
      </c>
      <c r="Q19" s="13" t="str">
        <f>VLOOKUP($G19,'Visu totale'!$D$3:$DT$129,Q$1,0)</f>
        <v>NANCY_D</v>
      </c>
      <c r="R19" s="15" t="str">
        <f>VLOOKUP($G19,'Visu totale'!$D$3:$DT$129,R$1,0)</f>
        <v>NANCY_D</v>
      </c>
      <c r="S19" s="14" t="str">
        <f>VLOOKUP($G19,'Visu totale'!$D$3:$DT$129,S$1,0)</f>
        <v>NANCY_D</v>
      </c>
      <c r="T19" s="13">
        <f>VLOOKUP($G19,'Visu totale'!$D$3:$DT$129,T$1,0)</f>
        <v>18</v>
      </c>
      <c r="U19" s="13">
        <f>VLOOKUP($G19,'Visu totale'!$D$3:$DT$129,U$1,0)</f>
        <v>18</v>
      </c>
      <c r="V19" s="13" t="str">
        <f>VLOOKUP($G19,'Visu totale'!$D$3:$DT$129,V$1,0)</f>
        <v>NANCY_D</v>
      </c>
      <c r="W19" s="13" t="str">
        <f>VLOOKUP($G19,'Visu totale'!$D$3:$DT$129,W$1,0)</f>
        <v>NANCY_D</v>
      </c>
      <c r="X19" s="13" t="str">
        <f>VLOOKUP($G19,'Visu totale'!$D$3:$DT$129,X$1,0)</f>
        <v>NANCY_D</v>
      </c>
      <c r="Y19" s="13" t="str">
        <f>VLOOKUP($G19,'Visu totale'!$D$3:$DT$129,Y$1,0)</f>
        <v>NANCY_D</v>
      </c>
      <c r="Z19" s="13">
        <f>VLOOKUP($G19,'Visu totale'!$D$3:$DT$129,Z$1,0)</f>
        <v>18</v>
      </c>
      <c r="AA19" s="13">
        <f>VLOOKUP($G19,'Visu totale'!$D$3:$DT$129,AA$1,0)</f>
        <v>18</v>
      </c>
      <c r="AB19" s="13" t="str">
        <f>VLOOKUP($G19,'Visu totale'!$D$3:$DT$129,AB$1,0)</f>
        <v>NANCY_D</v>
      </c>
      <c r="AC19" s="13" t="str">
        <f>VLOOKUP($G19,'Visu totale'!$D$3:$DT$129,AC$1,0)</f>
        <v>NANCY_D</v>
      </c>
      <c r="AD19" s="15" t="str">
        <f>VLOOKUP($G19,'Visu totale'!$D$3:$DT$129,AD$1,0)</f>
        <v>NANCY_D</v>
      </c>
      <c r="AE19" s="14" t="str">
        <f>VLOOKUP($G19,'Visu totale'!$D$3:$DT$129,AE$1,0)</f>
        <v>NANCY_D</v>
      </c>
      <c r="AF19" s="13">
        <f>VLOOKUP($G19,'Visu totale'!$D$3:$DT$129,AF$1,0)</f>
        <v>18</v>
      </c>
      <c r="AG19" s="13">
        <f>VLOOKUP($G19,'Visu totale'!$D$3:$DT$129,AG$1,0)</f>
        <v>18</v>
      </c>
      <c r="AH19" s="13" t="str">
        <f>VLOOKUP($G19,'Visu totale'!$D$3:$DT$129,AH$1,0)</f>
        <v>NANCY_D</v>
      </c>
      <c r="AI19" s="13" t="str">
        <f>VLOOKUP($G19,'Visu totale'!$D$3:$DT$129,AI$1,0)</f>
        <v>NANCY_D</v>
      </c>
      <c r="AJ19" s="13" t="str">
        <f>VLOOKUP($G19,'Visu totale'!$D$3:$DT$129,AJ$1,0)</f>
        <v>NANCY_D</v>
      </c>
      <c r="AK19" s="13">
        <f>VLOOKUP($G19,'Visu totale'!$D$3:$DT$129,AK$1,0)</f>
        <v>18</v>
      </c>
      <c r="AL19" s="13">
        <f>VLOOKUP($G19,'Visu totale'!$D$3:$DT$129,AL$1,0)</f>
        <v>18</v>
      </c>
      <c r="AM19" s="13" t="str">
        <f>VLOOKUP($G19,'Visu totale'!$D$3:$DT$129,AM$1,0)</f>
        <v>NANCY_D</v>
      </c>
      <c r="AN19" s="13" t="str">
        <f>VLOOKUP($G19,'Visu totale'!$D$3:$DT$129,AN$1,0)</f>
        <v>NANCY_D</v>
      </c>
      <c r="AO19" s="13" t="str">
        <f>VLOOKUP($G19,'Visu totale'!$D$3:$DT$129,AO$1,0)</f>
        <v>NANCY_D</v>
      </c>
      <c r="AP19" s="15" t="str">
        <f>VLOOKUP($G19,'Visu totale'!$D$3:$DT$129,AP$1,0)</f>
        <v>NANCY_D</v>
      </c>
      <c r="AQ19" s="14">
        <f>VLOOKUP($G19,'Visu totale'!$D$3:$DT$129,AQ$1,0)</f>
        <v>18</v>
      </c>
      <c r="AR19" s="13">
        <f>VLOOKUP($G19,'Visu totale'!$D$3:$DT$129,AR$1,0)</f>
        <v>18</v>
      </c>
      <c r="AS19" s="13" t="str">
        <f>VLOOKUP($G19,'Visu totale'!$D$3:$DT$129,AS$1,0)</f>
        <v>NANCY_D</v>
      </c>
      <c r="AT19" s="13" t="str">
        <f>VLOOKUP($G19,'Visu totale'!$D$3:$DT$129,AT$1,0)</f>
        <v>NANCY_D</v>
      </c>
      <c r="AU19" s="13" t="str">
        <f>VLOOKUP($G19,'Visu totale'!$D$3:$DT$129,AU$1,0)</f>
        <v>NANCY_D</v>
      </c>
      <c r="AV19" s="13" t="str">
        <f>VLOOKUP($G19,'Visu totale'!$D$3:$DT$129,AV$1,0)</f>
        <v>NANCY_D</v>
      </c>
      <c r="AW19" s="13">
        <f>VLOOKUP($G19,'Visu totale'!$D$3:$DT$129,AW$1,0)</f>
        <v>18</v>
      </c>
      <c r="AX19" s="13">
        <f>VLOOKUP($G19,'Visu totale'!$D$3:$DT$129,AX$1,0)</f>
        <v>18</v>
      </c>
      <c r="AY19" s="13" t="str">
        <f>VLOOKUP($G19,'Visu totale'!$D$3:$DT$129,AY$1,0)</f>
        <v>NANCY_D</v>
      </c>
      <c r="AZ19" s="13" t="str">
        <f>VLOOKUP($G19,'Visu totale'!$D$3:$DT$129,AZ$1,0)</f>
        <v>NANCY_D</v>
      </c>
      <c r="BA19" s="13" t="str">
        <f>VLOOKUP($G19,'Visu totale'!$D$3:$DT$129,BA$1,0)</f>
        <v>NANCY_D</v>
      </c>
      <c r="BB19" s="15" t="str">
        <f>VLOOKUP($G19,'Visu totale'!$D$3:$DT$129,BB$1,0)</f>
        <v>NANCY_D</v>
      </c>
      <c r="BC19" s="14">
        <f>VLOOKUP($G19,'Visu totale'!$D$3:$DT$129,BC$1,0)</f>
        <v>18</v>
      </c>
      <c r="BD19" s="13">
        <f>VLOOKUP($G19,'Visu totale'!$D$3:$DT$129,BD$1,0)</f>
        <v>18</v>
      </c>
      <c r="BE19" s="13" t="str">
        <f>VLOOKUP($G19,'Visu totale'!$D$3:$DT$129,BE$1,0)</f>
        <v>NANCY_D</v>
      </c>
      <c r="BF19" s="13" t="str">
        <f>VLOOKUP($G19,'Visu totale'!$D$3:$DT$129,BF$1,0)</f>
        <v>NANCY_D</v>
      </c>
      <c r="BG19" s="13" t="str">
        <f>VLOOKUP($G19,'Visu totale'!$D$3:$DT$129,BG$1,0)</f>
        <v>NANCY_D</v>
      </c>
      <c r="BH19" s="13" t="str">
        <f>VLOOKUP($G19,'Visu totale'!$D$3:$DT$129,BH$1,0)</f>
        <v>NANCY_D</v>
      </c>
      <c r="BI19" s="13">
        <f>VLOOKUP($G19,'Visu totale'!$D$3:$DT$129,BI$1,0)</f>
        <v>18</v>
      </c>
      <c r="BJ19" s="13" t="str">
        <f>VLOOKUP($G19,'Visu totale'!$D$3:$DT$129,BJ$1,0)</f>
        <v>V20</v>
      </c>
      <c r="BK19" s="13" t="str">
        <f>VLOOKUP($G19,'Visu totale'!$D$3:$DT$129,BK$1,0)</f>
        <v>V20</v>
      </c>
      <c r="BL19" s="13" t="str">
        <f>VLOOKUP($G19,'Visu totale'!$D$3:$DT$129,BL$1,0)</f>
        <v>V20</v>
      </c>
      <c r="BM19" s="13" t="str">
        <f>VLOOKUP($G19,'Visu totale'!$D$3:$DT$129,BM$1,0)</f>
        <v>V20</v>
      </c>
      <c r="BN19" s="15" t="str">
        <f>VLOOKUP($G19,'Visu totale'!$D$3:$DT$129,BN$1,0)</f>
        <v>V20</v>
      </c>
      <c r="BO19" s="14" t="str">
        <f>VLOOKUP($G19,'Visu totale'!$D$3:$DT$129,BO$1,0)</f>
        <v>NANCY_D</v>
      </c>
      <c r="BP19" s="13" t="str">
        <f>VLOOKUP($G19,'Visu totale'!$D$3:$DT$129,BP$1,0)</f>
        <v>NANCY_D</v>
      </c>
      <c r="BQ19" s="13">
        <f>VLOOKUP($G19,'Visu totale'!$D$3:$DT$129,BQ$1,0)</f>
        <v>18</v>
      </c>
      <c r="BR19" s="13">
        <f>VLOOKUP($G19,'Visu totale'!$D$3:$DT$129,BR$1,0)</f>
        <v>18</v>
      </c>
      <c r="BS19" s="13" t="str">
        <f>VLOOKUP($G19,'Visu totale'!$D$3:$DT$129,BS$1,0)</f>
        <v>NANCY_D</v>
      </c>
      <c r="BT19" s="13" t="str">
        <f>VLOOKUP($G19,'Visu totale'!$D$3:$DT$129,BT$1,0)</f>
        <v>NANCY_D</v>
      </c>
      <c r="BU19" s="13" t="str">
        <f>VLOOKUP($G19,'Visu totale'!$D$3:$DT$129,BU$1,0)</f>
        <v>NANCY_D</v>
      </c>
      <c r="BV19" s="13" t="str">
        <f>VLOOKUP($G19,'Visu totale'!$D$3:$DT$129,BV$1,0)</f>
        <v>NANCY_D</v>
      </c>
      <c r="BW19" s="13">
        <f>VLOOKUP($G19,'Visu totale'!$D$3:$DT$129,BW$1,0)</f>
        <v>18</v>
      </c>
      <c r="BX19" s="13">
        <f>VLOOKUP($G19,'Visu totale'!$D$3:$DT$129,BX$1,0)</f>
        <v>18</v>
      </c>
      <c r="BY19" s="13" t="str">
        <f>VLOOKUP($G19,'Visu totale'!$D$3:$DT$129,BY$1,0)</f>
        <v>NANCY_D</v>
      </c>
      <c r="BZ19" s="15" t="str">
        <f>VLOOKUP($G19,'Visu totale'!$D$3:$DT$129,BZ$1,0)</f>
        <v>NANCY_D</v>
      </c>
      <c r="CA19" s="14" t="str">
        <f>VLOOKUP($G19,'Visu totale'!$D$3:$DT$129,CA$1,0)</f>
        <v>NANCY_D</v>
      </c>
      <c r="CB19" s="13" t="str">
        <f>VLOOKUP($G19,'Visu totale'!$D$3:$DT$129,CB$1,0)</f>
        <v>NANCY_D</v>
      </c>
      <c r="CC19" s="13">
        <f>VLOOKUP($G19,'Visu totale'!$D$3:$DT$129,CC$1,0)</f>
        <v>18</v>
      </c>
      <c r="CD19" s="13">
        <f>VLOOKUP($G19,'Visu totale'!$D$3:$DT$129,CD$1,0)</f>
        <v>18</v>
      </c>
      <c r="CE19" s="13" t="str">
        <f>VLOOKUP($G19,'Visu totale'!$D$3:$DT$129,CE$1,0)</f>
        <v>NANCY_D</v>
      </c>
      <c r="CF19" s="13" t="str">
        <f>VLOOKUP($G19,'Visu totale'!$D$3:$DT$129,CF$1,0)</f>
        <v>NANCY_D</v>
      </c>
      <c r="CG19" s="13" t="str">
        <f>VLOOKUP($G19,'Visu totale'!$D$3:$DT$129,CG$1,0)</f>
        <v>NANCY_D</v>
      </c>
      <c r="CH19" s="13" t="str">
        <f>VLOOKUP($G19,'Visu totale'!$D$3:$DT$129,CH$1,0)</f>
        <v>NANCY_D</v>
      </c>
      <c r="CI19" s="13">
        <f>VLOOKUP($G19,'Visu totale'!$D$3:$DT$129,CI$1,0)</f>
        <v>18</v>
      </c>
      <c r="CJ19" s="13">
        <f>VLOOKUP($G19,'Visu totale'!$D$3:$DT$129,CJ$1,0)</f>
        <v>18</v>
      </c>
      <c r="CK19" s="13" t="str">
        <f>VLOOKUP($G19,'Visu totale'!$D$3:$DT$129,CK$1,0)</f>
        <v>NANCY_D</v>
      </c>
      <c r="CL19" s="15" t="str">
        <f>VLOOKUP($G19,'Visu totale'!$D$3:$DT$129,CL$1,0)</f>
        <v>NANCY_D</v>
      </c>
      <c r="CM19" s="14" t="str">
        <f>VLOOKUP($G19,'Visu totale'!$D$3:$DT$129,CM$1,0)</f>
        <v>NANCY_D</v>
      </c>
      <c r="CN19" s="13" t="str">
        <f>VLOOKUP($G19,'Visu totale'!$D$3:$DT$129,CN$1,0)</f>
        <v>NANCY_D</v>
      </c>
      <c r="CO19" s="13">
        <f>VLOOKUP($G19,'Visu totale'!$D$3:$DT$129,CO$1,0)</f>
        <v>18</v>
      </c>
      <c r="CP19" s="13">
        <f>VLOOKUP($G19,'Visu totale'!$D$3:$DT$129,CP$1,0)</f>
        <v>18</v>
      </c>
      <c r="CQ19" s="13" t="str">
        <f>VLOOKUP($G19,'Visu totale'!$D$3:$DT$129,CQ$1,0)</f>
        <v>NANCY_D</v>
      </c>
      <c r="CR19" s="13" t="str">
        <f>VLOOKUP($G19,'Visu totale'!$D$3:$DT$129,CR$1,0)</f>
        <v>NANCY_D</v>
      </c>
      <c r="CS19" s="13" t="str">
        <f>VLOOKUP($G19,'Visu totale'!$D$3:$DT$129,CS$1,0)</f>
        <v>NANCY_D</v>
      </c>
      <c r="CT19" s="13" t="str">
        <f>VLOOKUP($G19,'Visu totale'!$D$3:$DT$129,CT$1,0)</f>
        <v>NANCY_D</v>
      </c>
      <c r="CU19" s="13">
        <f>VLOOKUP($G19,'Visu totale'!$D$3:$DT$129,CU$1,0)</f>
        <v>18</v>
      </c>
      <c r="CV19" s="13">
        <f>VLOOKUP($G19,'Visu totale'!$D$3:$DT$129,CV$1,0)</f>
        <v>18</v>
      </c>
      <c r="CW19" s="13">
        <f>VLOOKUP($G19,'Visu totale'!$D$3:$DT$129,CW$1,0)</f>
        <v>18</v>
      </c>
      <c r="CX19" s="15">
        <f>VLOOKUP($G19,'Visu totale'!$D$3:$DT$129,CX$1,0)</f>
        <v>18</v>
      </c>
      <c r="CY19" s="14">
        <f>VLOOKUP($G19,'Visu totale'!$D$3:$DT$129,CY$1,0)</f>
        <v>0</v>
      </c>
      <c r="CZ19" s="13">
        <f>VLOOKUP($G19,'Visu totale'!$D$3:$DT$129,CZ$1,0)</f>
        <v>0</v>
      </c>
      <c r="DA19" s="13">
        <f>VLOOKUP($G19,'Visu totale'!$D$3:$DT$129,DA$1,0)</f>
        <v>0</v>
      </c>
      <c r="DB19" s="13">
        <f>VLOOKUP($G19,'Visu totale'!$D$3:$DT$129,DB$1,0)</f>
        <v>0</v>
      </c>
      <c r="DC19" s="13">
        <f>VLOOKUP($G19,'Visu totale'!$D$3:$DT$129,DC$1,0)</f>
        <v>0</v>
      </c>
      <c r="DD19" s="13">
        <f>VLOOKUP($G19,'Visu totale'!$D$3:$DT$129,DD$1,0)</f>
        <v>0</v>
      </c>
      <c r="DE19" s="13">
        <f>VLOOKUP($G19,'Visu totale'!$D$3:$DT$129,DE$1,0)</f>
        <v>0</v>
      </c>
      <c r="DF19" s="13">
        <f>VLOOKUP($G19,'Visu totale'!$D$3:$DT$129,DF$1,0)</f>
        <v>0</v>
      </c>
      <c r="DG19" s="13">
        <f>VLOOKUP($G19,'Visu totale'!$D$3:$DT$129,DG$1,0)</f>
        <v>0</v>
      </c>
      <c r="DH19" s="13">
        <f>VLOOKUP($G19,'Visu totale'!$D$3:$DT$129,DH$1,0)</f>
        <v>0</v>
      </c>
      <c r="DI19" s="13">
        <f>VLOOKUP($G19,'Visu totale'!$D$3:$DT$129,DI$1,0)</f>
        <v>0</v>
      </c>
      <c r="DJ19" s="15">
        <f>VLOOKUP($G19,'Visu totale'!$D$3:$DT$129,DJ$1,0)</f>
        <v>0</v>
      </c>
      <c r="DK19" s="14">
        <f>VLOOKUP($G19,'Visu totale'!$D$3:$DT$129,DK$1,0)</f>
        <v>0</v>
      </c>
      <c r="DL19" s="13">
        <f>VLOOKUP($G19,'Visu totale'!$D$3:$DT$129,DL$1,0)</f>
        <v>0</v>
      </c>
      <c r="DM19" s="13">
        <f>VLOOKUP($G19,'Visu totale'!$D$3:$DT$129,DM$1,0)</f>
        <v>0</v>
      </c>
      <c r="DN19" s="13">
        <f>VLOOKUP($G19,'Visu totale'!$D$3:$DT$129,DN$1,0)</f>
        <v>0</v>
      </c>
      <c r="DO19" s="13">
        <f>VLOOKUP($G19,'Visu totale'!$D$3:$DT$129,DO$1,0)</f>
        <v>0</v>
      </c>
      <c r="DP19" s="13">
        <f>VLOOKUP($G19,'Visu totale'!$D$3:$DT$129,DP$1,0)</f>
        <v>0</v>
      </c>
      <c r="DQ19" s="13">
        <f>VLOOKUP($G19,'Visu totale'!$D$3:$DT$129,DQ$1,0)</f>
        <v>0</v>
      </c>
      <c r="DR19" s="13">
        <f>VLOOKUP($G19,'Visu totale'!$D$3:$DT$129,DR$1,0)</f>
        <v>0</v>
      </c>
      <c r="DS19" s="13">
        <f>VLOOKUP($G19,'Visu totale'!$D$3:$DT$129,DS$1,0)</f>
        <v>0</v>
      </c>
      <c r="DT19" s="13">
        <f>VLOOKUP($G19,'Visu totale'!$D$3:$DT$129,DT$1,0)</f>
        <v>0</v>
      </c>
      <c r="DU19" s="13">
        <f>VLOOKUP($G19,'Visu totale'!$D$3:$DT$129,DU$1,0)</f>
        <v>0</v>
      </c>
      <c r="DV19" s="15">
        <f>VLOOKUP($G19,'Visu totale'!$D$3:$DT$129,DV$1,0)</f>
        <v>0</v>
      </c>
    </row>
    <row r="20" spans="1:126" x14ac:dyDescent="0.25">
      <c r="A20" s="13"/>
      <c r="B20" s="13"/>
      <c r="C20" s="13"/>
      <c r="D20" s="16"/>
      <c r="E20" s="14"/>
      <c r="F20" s="13"/>
      <c r="G20" s="17" t="s">
        <v>22</v>
      </c>
      <c r="H20" s="13" t="str">
        <f>VLOOKUP($G20,'Visu totale'!$D$3:$DT$129,H$1,0)</f>
        <v>CHAMMAL_D</v>
      </c>
      <c r="I20" s="13" t="str">
        <f>VLOOKUP($G20,'Visu totale'!$D$3:$DT$129,I$1,0)</f>
        <v>CHAMMAL_D</v>
      </c>
      <c r="J20" s="13" t="str">
        <f>VLOOKUP($G20,'Visu totale'!$D$3:$DT$129,J$1,0)</f>
        <v>CHAMMAL_D</v>
      </c>
      <c r="K20" s="13" t="str">
        <f>VLOOKUP($G20,'Visu totale'!$D$3:$DT$129,K$1,0)</f>
        <v>CHAMMAL_D</v>
      </c>
      <c r="L20" s="13">
        <f>VLOOKUP($G20,'Visu totale'!$D$3:$DT$129,L$1,0)</f>
        <v>18</v>
      </c>
      <c r="M20" s="13">
        <f>VLOOKUP($G20,'Visu totale'!$D$3:$DT$129,M$1,0)</f>
        <v>18</v>
      </c>
      <c r="N20" s="13" t="str">
        <f>VLOOKUP($G20,'Visu totale'!$D$3:$DT$129,N$1,0)</f>
        <v>NIAMEY_D</v>
      </c>
      <c r="O20" s="13" t="str">
        <f>VLOOKUP($G20,'Visu totale'!$D$3:$DT$129,O$1,0)</f>
        <v>NIAMEY_D</v>
      </c>
      <c r="P20" s="13" t="str">
        <f>VLOOKUP($G20,'Visu totale'!$D$3:$DT$129,P$1,0)</f>
        <v>NIAMEY_D</v>
      </c>
      <c r="Q20" s="13" t="str">
        <f>VLOOKUP($G20,'Visu totale'!$D$3:$DT$129,Q$1,0)</f>
        <v>NIAMEY_D</v>
      </c>
      <c r="R20" s="15">
        <f>VLOOKUP($G20,'Visu totale'!$D$3:$DT$129,R$1,0)</f>
        <v>18</v>
      </c>
      <c r="S20" s="14">
        <f>VLOOKUP($G20,'Visu totale'!$D$3:$DT$129,S$1,0)</f>
        <v>18</v>
      </c>
      <c r="T20" s="13" t="str">
        <f>VLOOKUP($G20,'Visu totale'!$D$3:$DT$129,T$1,0)</f>
        <v>NANCY_D</v>
      </c>
      <c r="U20" s="13" t="str">
        <f>VLOOKUP($G20,'Visu totale'!$D$3:$DT$129,U$1,0)</f>
        <v>NANCY_D</v>
      </c>
      <c r="V20" s="13" t="str">
        <f>VLOOKUP($G20,'Visu totale'!$D$3:$DT$129,V$1,0)</f>
        <v>NANCY_D</v>
      </c>
      <c r="W20" s="13" t="str">
        <f>VLOOKUP($G20,'Visu totale'!$D$3:$DT$129,W$1,0)</f>
        <v>NANCY_D</v>
      </c>
      <c r="X20" s="13">
        <f>VLOOKUP($G20,'Visu totale'!$D$3:$DT$129,X$1,0)</f>
        <v>18</v>
      </c>
      <c r="Y20" s="13">
        <f>VLOOKUP($G20,'Visu totale'!$D$3:$DT$129,Y$1,0)</f>
        <v>18</v>
      </c>
      <c r="Z20" s="13">
        <f>VLOOKUP($G20,'Visu totale'!$D$3:$DT$129,Z$1,0)</f>
        <v>18</v>
      </c>
      <c r="AA20" s="13">
        <f>VLOOKUP($G20,'Visu totale'!$D$3:$DT$129,AA$1,0)</f>
        <v>18</v>
      </c>
      <c r="AB20" s="13">
        <f>VLOOKUP($G20,'Visu totale'!$D$3:$DT$129,AB$1,0)</f>
        <v>18</v>
      </c>
      <c r="AC20" s="13">
        <f>VLOOKUP($G20,'Visu totale'!$D$3:$DT$129,AC$1,0)</f>
        <v>18</v>
      </c>
      <c r="AD20" s="15">
        <f>VLOOKUP($G20,'Visu totale'!$D$3:$DT$129,AD$1,0)</f>
        <v>18</v>
      </c>
      <c r="AE20" s="14">
        <f>VLOOKUP($G20,'Visu totale'!$D$3:$DT$129,AE$1,0)</f>
        <v>0</v>
      </c>
      <c r="AF20" s="13">
        <f>VLOOKUP($G20,'Visu totale'!$D$3:$DT$129,AF$1,0)</f>
        <v>0</v>
      </c>
      <c r="AG20" s="13">
        <f>VLOOKUP($G20,'Visu totale'!$D$3:$DT$129,AG$1,0)</f>
        <v>0</v>
      </c>
      <c r="AH20" s="13">
        <f>VLOOKUP($G20,'Visu totale'!$D$3:$DT$129,AH$1,0)</f>
        <v>0</v>
      </c>
      <c r="AI20" s="13">
        <f>VLOOKUP($G20,'Visu totale'!$D$3:$DT$129,AI$1,0)</f>
        <v>0</v>
      </c>
      <c r="AJ20" s="13">
        <f>VLOOKUP($G20,'Visu totale'!$D$3:$DT$129,AJ$1,0)</f>
        <v>0</v>
      </c>
      <c r="AK20" s="13">
        <f>VLOOKUP($G20,'Visu totale'!$D$3:$DT$129,AK$1,0)</f>
        <v>0</v>
      </c>
      <c r="AL20" s="13">
        <f>VLOOKUP($G20,'Visu totale'!$D$3:$DT$129,AL$1,0)</f>
        <v>0</v>
      </c>
      <c r="AM20" s="13">
        <f>VLOOKUP($G20,'Visu totale'!$D$3:$DT$129,AM$1,0)</f>
        <v>0</v>
      </c>
      <c r="AN20" s="13">
        <f>VLOOKUP($G20,'Visu totale'!$D$3:$DT$129,AN$1,0)</f>
        <v>0</v>
      </c>
      <c r="AO20" s="13">
        <f>VLOOKUP($G20,'Visu totale'!$D$3:$DT$129,AO$1,0)</f>
        <v>0</v>
      </c>
      <c r="AP20" s="15">
        <f>VLOOKUP($G20,'Visu totale'!$D$3:$DT$129,AP$1,0)</f>
        <v>0</v>
      </c>
      <c r="AQ20" s="14">
        <f>VLOOKUP($G20,'Visu totale'!$D$3:$DT$129,AQ$1,0)</f>
        <v>0</v>
      </c>
      <c r="AR20" s="13" t="str">
        <f>VLOOKUP($G20,'Visu totale'!$D$3:$DT$129,AR$1,0)</f>
        <v>V10</v>
      </c>
      <c r="AS20" s="13" t="str">
        <f>VLOOKUP($G20,'Visu totale'!$D$3:$DT$129,AS$1,0)</f>
        <v>V10</v>
      </c>
      <c r="AT20" s="13" t="str">
        <f>VLOOKUP($G20,'Visu totale'!$D$3:$DT$129,AT$1,0)</f>
        <v>V10</v>
      </c>
      <c r="AU20" s="13" t="str">
        <f>VLOOKUP($G20,'Visu totale'!$D$3:$DT$129,AU$1,0)</f>
        <v>V10</v>
      </c>
      <c r="AV20" s="13" t="str">
        <f>VLOOKUP($G20,'Visu totale'!$D$3:$DT$129,AV$1,0)</f>
        <v>V10</v>
      </c>
      <c r="AW20" s="13" t="str">
        <f>VLOOKUP($G20,'Visu totale'!$D$3:$DT$129,AW$1,0)</f>
        <v>V10</v>
      </c>
      <c r="AX20" s="13">
        <f>VLOOKUP($G20,'Visu totale'!$D$3:$DT$129,AX$1,0)</f>
        <v>18</v>
      </c>
      <c r="AY20" s="13">
        <f>VLOOKUP($G20,'Visu totale'!$D$3:$DT$129,AY$1,0)</f>
        <v>18</v>
      </c>
      <c r="AZ20" s="13" t="str">
        <f>VLOOKUP($G20,'Visu totale'!$D$3:$DT$129,AZ$1,0)</f>
        <v>CHAMMAL_D</v>
      </c>
      <c r="BA20" s="13" t="str">
        <f>VLOOKUP($G20,'Visu totale'!$D$3:$DT$129,BA$1,0)</f>
        <v>CHAMMAL_D</v>
      </c>
      <c r="BB20" s="15" t="str">
        <f>VLOOKUP($G20,'Visu totale'!$D$3:$DT$129,BB$1,0)</f>
        <v>CHAMMAL_D</v>
      </c>
      <c r="BC20" s="14" t="str">
        <f>VLOOKUP($G20,'Visu totale'!$D$3:$DT$129,BC$1,0)</f>
        <v>CHAMMAL_D</v>
      </c>
      <c r="BD20" s="13">
        <f>VLOOKUP($G20,'Visu totale'!$D$3:$DT$129,BD$1,0)</f>
        <v>18</v>
      </c>
      <c r="BE20" s="13">
        <f>VLOOKUP($G20,'Visu totale'!$D$3:$DT$129,BE$1,0)</f>
        <v>18</v>
      </c>
      <c r="BF20" s="13" t="str">
        <f>VLOOKUP($G20,'Visu totale'!$D$3:$DT$129,BF$1,0)</f>
        <v>CHAMMAL_D</v>
      </c>
      <c r="BG20" s="13" t="str">
        <f>VLOOKUP($G20,'Visu totale'!$D$3:$DT$129,BG$1,0)</f>
        <v>CHAMMAL_D</v>
      </c>
      <c r="BH20" s="13" t="str">
        <f>VLOOKUP($G20,'Visu totale'!$D$3:$DT$129,BH$1,0)</f>
        <v>CHAMMAL_D</v>
      </c>
      <c r="BI20" s="13" t="str">
        <f>VLOOKUP($G20,'Visu totale'!$D$3:$DT$129,BI$1,0)</f>
        <v>CHAMMAL_D</v>
      </c>
      <c r="BJ20" s="13">
        <f>VLOOKUP($G20,'Visu totale'!$D$3:$DT$129,BJ$1,0)</f>
        <v>18</v>
      </c>
      <c r="BK20" s="13">
        <f>VLOOKUP($G20,'Visu totale'!$D$3:$DT$129,BK$1,0)</f>
        <v>18</v>
      </c>
      <c r="BL20" s="13" t="str">
        <f>VLOOKUP($G20,'Visu totale'!$D$3:$DT$129,BL$1,0)</f>
        <v>NANCY_D</v>
      </c>
      <c r="BM20" s="13" t="str">
        <f>VLOOKUP($G20,'Visu totale'!$D$3:$DT$129,BM$1,0)</f>
        <v>NANCY_D</v>
      </c>
      <c r="BN20" s="15" t="str">
        <f>VLOOKUP($G20,'Visu totale'!$D$3:$DT$129,BN$1,0)</f>
        <v>NANCY_D</v>
      </c>
      <c r="BO20" s="14" t="str">
        <f>VLOOKUP($G20,'Visu totale'!$D$3:$DT$129,BO$1,0)</f>
        <v>NANCY_D</v>
      </c>
      <c r="BP20" s="13" t="str">
        <f>VLOOKUP($G20,'Visu totale'!$D$3:$DT$129,BP$1,0)</f>
        <v>NANCY_D</v>
      </c>
      <c r="BQ20" s="13" t="str">
        <f>VLOOKUP($G20,'Visu totale'!$D$3:$DT$129,BQ$1,0)</f>
        <v>NANCY_D</v>
      </c>
      <c r="BR20" s="13" t="str">
        <f>VLOOKUP($G20,'Visu totale'!$D$3:$DT$129,BR$1,0)</f>
        <v>NANCY_D</v>
      </c>
      <c r="BS20" s="13">
        <f>VLOOKUP($G20,'Visu totale'!$D$3:$DT$129,BS$1,0)</f>
        <v>18</v>
      </c>
      <c r="BT20" s="13">
        <f>VLOOKUP($G20,'Visu totale'!$D$3:$DT$129,BT$1,0)</f>
        <v>18</v>
      </c>
      <c r="BU20" s="13" t="str">
        <f>VLOOKUP($G20,'Visu totale'!$D$3:$DT$129,BU$1,0)</f>
        <v>NANCY_D</v>
      </c>
      <c r="BV20" s="13" t="str">
        <f>VLOOKUP($G20,'Visu totale'!$D$3:$DT$129,BV$1,0)</f>
        <v>NANCY_D</v>
      </c>
      <c r="BW20" s="13" t="str">
        <f>VLOOKUP($G20,'Visu totale'!$D$3:$DT$129,BW$1,0)</f>
        <v>NANCY_D</v>
      </c>
      <c r="BX20" s="13" t="str">
        <f>VLOOKUP($G20,'Visu totale'!$D$3:$DT$129,BX$1,0)</f>
        <v>NANCY_D</v>
      </c>
      <c r="BY20" s="13">
        <f>VLOOKUP($G20,'Visu totale'!$D$3:$DT$129,BY$1,0)</f>
        <v>18</v>
      </c>
      <c r="BZ20" s="15">
        <f>VLOOKUP($G20,'Visu totale'!$D$3:$DT$129,BZ$1,0)</f>
        <v>18</v>
      </c>
      <c r="CA20" s="14" t="str">
        <f>VLOOKUP($G20,'Visu totale'!$D$3:$DT$129,CA$1,0)</f>
        <v>NANCY_D</v>
      </c>
      <c r="CB20" s="13" t="str">
        <f>VLOOKUP($G20,'Visu totale'!$D$3:$DT$129,CB$1,0)</f>
        <v>NANCY_D</v>
      </c>
      <c r="CC20" s="13" t="str">
        <f>VLOOKUP($G20,'Visu totale'!$D$3:$DT$129,CC$1,0)</f>
        <v>NANCY_D</v>
      </c>
      <c r="CD20" s="13" t="str">
        <f>VLOOKUP($G20,'Visu totale'!$D$3:$DT$129,CD$1,0)</f>
        <v>NANCY_D</v>
      </c>
      <c r="CE20" s="13">
        <f>VLOOKUP($G20,'Visu totale'!$D$3:$DT$129,CE$1,0)</f>
        <v>18</v>
      </c>
      <c r="CF20" s="13">
        <f>VLOOKUP($G20,'Visu totale'!$D$3:$DT$129,CF$1,0)</f>
        <v>18</v>
      </c>
      <c r="CG20" s="13" t="str">
        <f>VLOOKUP($G20,'Visu totale'!$D$3:$DT$129,CG$1,0)</f>
        <v>NANCY_D</v>
      </c>
      <c r="CH20" s="13" t="str">
        <f>VLOOKUP($G20,'Visu totale'!$D$3:$DT$129,CH$1,0)</f>
        <v>NANCY_D</v>
      </c>
      <c r="CI20" s="13" t="str">
        <f>VLOOKUP($G20,'Visu totale'!$D$3:$DT$129,CI$1,0)</f>
        <v>NANCY_D</v>
      </c>
      <c r="CJ20" s="13" t="str">
        <f>VLOOKUP($G20,'Visu totale'!$D$3:$DT$129,CJ$1,0)</f>
        <v>NANCY_D</v>
      </c>
      <c r="CK20" s="13">
        <f>VLOOKUP($G20,'Visu totale'!$D$3:$DT$129,CK$1,0)</f>
        <v>18</v>
      </c>
      <c r="CL20" s="15">
        <f>VLOOKUP($G20,'Visu totale'!$D$3:$DT$129,CL$1,0)</f>
        <v>18</v>
      </c>
      <c r="CM20" s="14" t="str">
        <f>VLOOKUP($G20,'Visu totale'!$D$3:$DT$129,CM$1,0)</f>
        <v>NANCY_D</v>
      </c>
      <c r="CN20" s="13" t="str">
        <f>VLOOKUP($G20,'Visu totale'!$D$3:$DT$129,CN$1,0)</f>
        <v>NANCY_D</v>
      </c>
      <c r="CO20" s="13" t="str">
        <f>VLOOKUP($G20,'Visu totale'!$D$3:$DT$129,CO$1,0)</f>
        <v>NANCY_D</v>
      </c>
      <c r="CP20" s="13" t="str">
        <f>VLOOKUP($G20,'Visu totale'!$D$3:$DT$129,CP$1,0)</f>
        <v>NANCY_D</v>
      </c>
      <c r="CQ20" s="13">
        <f>VLOOKUP($G20,'Visu totale'!$D$3:$DT$129,CQ$1,0)</f>
        <v>18</v>
      </c>
      <c r="CR20" s="13">
        <f>VLOOKUP($G20,'Visu totale'!$D$3:$DT$129,CR$1,0)</f>
        <v>18</v>
      </c>
      <c r="CS20" s="13" t="str">
        <f>VLOOKUP($G20,'Visu totale'!$D$3:$DT$129,CS$1,0)</f>
        <v>NANCY_D</v>
      </c>
      <c r="CT20" s="13" t="str">
        <f>VLOOKUP($G20,'Visu totale'!$D$3:$DT$129,CT$1,0)</f>
        <v>NANCY_D</v>
      </c>
      <c r="CU20" s="13" t="str">
        <f>VLOOKUP($G20,'Visu totale'!$D$3:$DT$129,CU$1,0)</f>
        <v>NANCY_D</v>
      </c>
      <c r="CV20" s="13" t="str">
        <f>VLOOKUP($G20,'Visu totale'!$D$3:$DT$129,CV$1,0)</f>
        <v>NANCY_D</v>
      </c>
      <c r="CW20" s="13">
        <f>VLOOKUP($G20,'Visu totale'!$D$3:$DT$129,CW$1,0)</f>
        <v>18</v>
      </c>
      <c r="CX20" s="15">
        <f>VLOOKUP($G20,'Visu totale'!$D$3:$DT$129,CX$1,0)</f>
        <v>18</v>
      </c>
      <c r="CY20" s="14">
        <f>VLOOKUP($G20,'Visu totale'!$D$3:$DT$129,CY$1,0)</f>
        <v>0</v>
      </c>
      <c r="CZ20" s="13">
        <f>VLOOKUP($G20,'Visu totale'!$D$3:$DT$129,CZ$1,0)</f>
        <v>0</v>
      </c>
      <c r="DA20" s="13">
        <f>VLOOKUP($G20,'Visu totale'!$D$3:$DT$129,DA$1,0)</f>
        <v>0</v>
      </c>
      <c r="DB20" s="13">
        <f>VLOOKUP($G20,'Visu totale'!$D$3:$DT$129,DB$1,0)</f>
        <v>0</v>
      </c>
      <c r="DC20" s="13">
        <f>VLOOKUP($G20,'Visu totale'!$D$3:$DT$129,DC$1,0)</f>
        <v>0</v>
      </c>
      <c r="DD20" s="13">
        <f>VLOOKUP($G20,'Visu totale'!$D$3:$DT$129,DD$1,0)</f>
        <v>0</v>
      </c>
      <c r="DE20" s="13">
        <f>VLOOKUP($G20,'Visu totale'!$D$3:$DT$129,DE$1,0)</f>
        <v>0</v>
      </c>
      <c r="DF20" s="13">
        <f>VLOOKUP($G20,'Visu totale'!$D$3:$DT$129,DF$1,0)</f>
        <v>0</v>
      </c>
      <c r="DG20" s="13">
        <f>VLOOKUP($G20,'Visu totale'!$D$3:$DT$129,DG$1,0)</f>
        <v>0</v>
      </c>
      <c r="DH20" s="13">
        <f>VLOOKUP($G20,'Visu totale'!$D$3:$DT$129,DH$1,0)</f>
        <v>0</v>
      </c>
      <c r="DI20" s="13">
        <f>VLOOKUP($G20,'Visu totale'!$D$3:$DT$129,DI$1,0)</f>
        <v>0</v>
      </c>
      <c r="DJ20" s="15">
        <f>VLOOKUP($G20,'Visu totale'!$D$3:$DT$129,DJ$1,0)</f>
        <v>0</v>
      </c>
      <c r="DK20" s="14">
        <f>VLOOKUP($G20,'Visu totale'!$D$3:$DT$129,DK$1,0)</f>
        <v>0</v>
      </c>
      <c r="DL20" s="13">
        <f>VLOOKUP($G20,'Visu totale'!$D$3:$DT$129,DL$1,0)</f>
        <v>0</v>
      </c>
      <c r="DM20" s="13">
        <f>VLOOKUP($G20,'Visu totale'!$D$3:$DT$129,DM$1,0)</f>
        <v>0</v>
      </c>
      <c r="DN20" s="13">
        <f>VLOOKUP($G20,'Visu totale'!$D$3:$DT$129,DN$1,0)</f>
        <v>0</v>
      </c>
      <c r="DO20" s="13">
        <f>VLOOKUP($G20,'Visu totale'!$D$3:$DT$129,DO$1,0)</f>
        <v>0</v>
      </c>
      <c r="DP20" s="13">
        <f>VLOOKUP($G20,'Visu totale'!$D$3:$DT$129,DP$1,0)</f>
        <v>0</v>
      </c>
      <c r="DQ20" s="13">
        <f>VLOOKUP($G20,'Visu totale'!$D$3:$DT$129,DQ$1,0)</f>
        <v>0</v>
      </c>
      <c r="DR20" s="13">
        <f>VLOOKUP($G20,'Visu totale'!$D$3:$DT$129,DR$1,0)</f>
        <v>0</v>
      </c>
      <c r="DS20" s="13">
        <f>VLOOKUP($G20,'Visu totale'!$D$3:$DT$129,DS$1,0)</f>
        <v>0</v>
      </c>
      <c r="DT20" s="13">
        <f>VLOOKUP($G20,'Visu totale'!$D$3:$DT$129,DT$1,0)</f>
        <v>0</v>
      </c>
      <c r="DU20" s="13">
        <f>VLOOKUP($G20,'Visu totale'!$D$3:$DT$129,DU$1,0)</f>
        <v>0</v>
      </c>
      <c r="DV20" s="15">
        <f>VLOOKUP($G20,'Visu totale'!$D$3:$DT$129,DV$1,0)</f>
        <v>0</v>
      </c>
    </row>
    <row r="21" spans="1:126" x14ac:dyDescent="0.25">
      <c r="A21" s="13"/>
      <c r="B21" s="13"/>
      <c r="C21" s="13"/>
      <c r="D21" s="16"/>
      <c r="E21" s="14"/>
      <c r="F21" s="13"/>
      <c r="G21" s="17" t="s">
        <v>23</v>
      </c>
      <c r="H21" s="13" t="str">
        <f>VLOOKUP($G21,'Visu totale'!$D$3:$DT$129,H$1,0)</f>
        <v>V10</v>
      </c>
      <c r="I21" s="13" t="str">
        <f>VLOOKUP($G21,'Visu totale'!$D$3:$DT$129,I$1,0)</f>
        <v>V10</v>
      </c>
      <c r="J21" s="13" t="str">
        <f>VLOOKUP($G21,'Visu totale'!$D$3:$DT$129,J$1,0)</f>
        <v>V10</v>
      </c>
      <c r="K21" s="13" t="str">
        <f>VLOOKUP($G21,'Visu totale'!$D$3:$DT$129,K$1,0)</f>
        <v>V10</v>
      </c>
      <c r="L21" s="13" t="str">
        <f>VLOOKUP($G21,'Visu totale'!$D$3:$DT$129,L$1,0)</f>
        <v>V10</v>
      </c>
      <c r="M21" s="13" t="str">
        <f>VLOOKUP($G21,'Visu totale'!$D$3:$DT$129,M$1,0)</f>
        <v>V10</v>
      </c>
      <c r="N21" s="13">
        <f>VLOOKUP($G21,'Visu totale'!$D$3:$DT$129,N$1,0)</f>
        <v>18</v>
      </c>
      <c r="O21" s="13">
        <f>VLOOKUP($G21,'Visu totale'!$D$3:$DT$129,O$1,0)</f>
        <v>18</v>
      </c>
      <c r="P21" s="13" t="str">
        <f>VLOOKUP($G21,'Visu totale'!$D$3:$DT$129,P$1,0)</f>
        <v>NANCY_D</v>
      </c>
      <c r="Q21" s="13" t="str">
        <f>VLOOKUP($G21,'Visu totale'!$D$3:$DT$129,Q$1,0)</f>
        <v>NANCY_D</v>
      </c>
      <c r="R21" s="15" t="str">
        <f>VLOOKUP($G21,'Visu totale'!$D$3:$DT$129,R$1,0)</f>
        <v>NANCY_D</v>
      </c>
      <c r="S21" s="14" t="str">
        <f>VLOOKUP($G21,'Visu totale'!$D$3:$DT$129,S$1,0)</f>
        <v>NANCY_D</v>
      </c>
      <c r="T21" s="13">
        <f>VLOOKUP($G21,'Visu totale'!$D$3:$DT$129,T$1,0)</f>
        <v>18</v>
      </c>
      <c r="U21" s="13">
        <f>VLOOKUP($G21,'Visu totale'!$D$3:$DT$129,U$1,0)</f>
        <v>18</v>
      </c>
      <c r="V21" s="13" t="str">
        <f>VLOOKUP($G21,'Visu totale'!$D$3:$DT$129,V$1,0)</f>
        <v>NANCY_D</v>
      </c>
      <c r="W21" s="13" t="str">
        <f>VLOOKUP($G21,'Visu totale'!$D$3:$DT$129,W$1,0)</f>
        <v>NANCY_D</v>
      </c>
      <c r="X21" s="13" t="str">
        <f>VLOOKUP($G21,'Visu totale'!$D$3:$DT$129,X$1,0)</f>
        <v>NANCY_D</v>
      </c>
      <c r="Y21" s="13" t="str">
        <f>VLOOKUP($G21,'Visu totale'!$D$3:$DT$129,Y$1,0)</f>
        <v>NANCY_D</v>
      </c>
      <c r="Z21" s="13">
        <f>VLOOKUP($G21,'Visu totale'!$D$3:$DT$129,Z$1,0)</f>
        <v>18</v>
      </c>
      <c r="AA21" s="13">
        <f>VLOOKUP($G21,'Visu totale'!$D$3:$DT$129,AA$1,0)</f>
        <v>18</v>
      </c>
      <c r="AB21" s="13" t="str">
        <f>VLOOKUP($G21,'Visu totale'!$D$3:$DT$129,AB$1,0)</f>
        <v>NANCY_D</v>
      </c>
      <c r="AC21" s="13" t="str">
        <f>VLOOKUP($G21,'Visu totale'!$D$3:$DT$129,AC$1,0)</f>
        <v>NANCY_D</v>
      </c>
      <c r="AD21" s="15" t="str">
        <f>VLOOKUP($G21,'Visu totale'!$D$3:$DT$129,AD$1,0)</f>
        <v>NANCY_D</v>
      </c>
      <c r="AE21" s="14" t="str">
        <f>VLOOKUP($G21,'Visu totale'!$D$3:$DT$129,AE$1,0)</f>
        <v>NANCY_D</v>
      </c>
      <c r="AF21" s="13">
        <f>VLOOKUP($G21,'Visu totale'!$D$3:$DT$129,AF$1,0)</f>
        <v>18</v>
      </c>
      <c r="AG21" s="13">
        <f>VLOOKUP($G21,'Visu totale'!$D$3:$DT$129,AG$1,0)</f>
        <v>18</v>
      </c>
      <c r="AH21" s="13" t="str">
        <f>VLOOKUP($G21,'Visu totale'!$D$3:$DT$129,AH$1,0)</f>
        <v>NANCY_D</v>
      </c>
      <c r="AI21" s="13" t="str">
        <f>VLOOKUP($G21,'Visu totale'!$D$3:$DT$129,AI$1,0)</f>
        <v>NANCY_D</v>
      </c>
      <c r="AJ21" s="13" t="str">
        <f>VLOOKUP($G21,'Visu totale'!$D$3:$DT$129,AJ$1,0)</f>
        <v>NANCY_D</v>
      </c>
      <c r="AK21" s="13">
        <f>VLOOKUP($G21,'Visu totale'!$D$3:$DT$129,AK$1,0)</f>
        <v>18</v>
      </c>
      <c r="AL21" s="13">
        <f>VLOOKUP($G21,'Visu totale'!$D$3:$DT$129,AL$1,0)</f>
        <v>18</v>
      </c>
      <c r="AM21" s="13" t="str">
        <f>VLOOKUP($G21,'Visu totale'!$D$3:$DT$129,AM$1,0)</f>
        <v>NANCY_D</v>
      </c>
      <c r="AN21" s="13" t="str">
        <f>VLOOKUP($G21,'Visu totale'!$D$3:$DT$129,AN$1,0)</f>
        <v>NANCY_D</v>
      </c>
      <c r="AO21" s="13" t="str">
        <f>VLOOKUP($G21,'Visu totale'!$D$3:$DT$129,AO$1,0)</f>
        <v>NANCY_D</v>
      </c>
      <c r="AP21" s="15" t="str">
        <f>VLOOKUP($G21,'Visu totale'!$D$3:$DT$129,AP$1,0)</f>
        <v>NANCY_D</v>
      </c>
      <c r="AQ21" s="14">
        <f>VLOOKUP($G21,'Visu totale'!$D$3:$DT$129,AQ$1,0)</f>
        <v>18</v>
      </c>
      <c r="AR21" s="13">
        <f>VLOOKUP($G21,'Visu totale'!$D$3:$DT$129,AR$1,0)</f>
        <v>18</v>
      </c>
      <c r="AS21" s="13" t="str">
        <f>VLOOKUP($G21,'Visu totale'!$D$3:$DT$129,AS$1,0)</f>
        <v>NANCY_D</v>
      </c>
      <c r="AT21" s="13" t="str">
        <f>VLOOKUP($G21,'Visu totale'!$D$3:$DT$129,AT$1,0)</f>
        <v>NANCY_D</v>
      </c>
      <c r="AU21" s="13" t="str">
        <f>VLOOKUP($G21,'Visu totale'!$D$3:$DT$129,AU$1,0)</f>
        <v>NANCY_D</v>
      </c>
      <c r="AV21" s="13" t="str">
        <f>VLOOKUP($G21,'Visu totale'!$D$3:$DT$129,AV$1,0)</f>
        <v>NANCY_D</v>
      </c>
      <c r="AW21" s="13">
        <f>VLOOKUP($G21,'Visu totale'!$D$3:$DT$129,AW$1,0)</f>
        <v>18</v>
      </c>
      <c r="AX21" s="13">
        <f>VLOOKUP($G21,'Visu totale'!$D$3:$DT$129,AX$1,0)</f>
        <v>18</v>
      </c>
      <c r="AY21" s="13" t="str">
        <f>VLOOKUP($G21,'Visu totale'!$D$3:$DT$129,AY$1,0)</f>
        <v>NANCY_D</v>
      </c>
      <c r="AZ21" s="13" t="str">
        <f>VLOOKUP($G21,'Visu totale'!$D$3:$DT$129,AZ$1,0)</f>
        <v>NANCY_D</v>
      </c>
      <c r="BA21" s="13" t="str">
        <f>VLOOKUP($G21,'Visu totale'!$D$3:$DT$129,BA$1,0)</f>
        <v>NANCY_D</v>
      </c>
      <c r="BB21" s="15" t="str">
        <f>VLOOKUP($G21,'Visu totale'!$D$3:$DT$129,BB$1,0)</f>
        <v>NANCY_D</v>
      </c>
      <c r="BC21" s="14">
        <f>VLOOKUP($G21,'Visu totale'!$D$3:$DT$129,BC$1,0)</f>
        <v>18</v>
      </c>
      <c r="BD21" s="13">
        <f>VLOOKUP($G21,'Visu totale'!$D$3:$DT$129,BD$1,0)</f>
        <v>18</v>
      </c>
      <c r="BE21" s="13" t="str">
        <f>VLOOKUP($G21,'Visu totale'!$D$3:$DT$129,BE$1,0)</f>
        <v>NANCY_D</v>
      </c>
      <c r="BF21" s="13" t="str">
        <f>VLOOKUP($G21,'Visu totale'!$D$3:$DT$129,BF$1,0)</f>
        <v>NANCY_D</v>
      </c>
      <c r="BG21" s="13" t="str">
        <f>VLOOKUP($G21,'Visu totale'!$D$3:$DT$129,BG$1,0)</f>
        <v>NANCY_D</v>
      </c>
      <c r="BH21" s="13" t="str">
        <f>VLOOKUP($G21,'Visu totale'!$D$3:$DT$129,BH$1,0)</f>
        <v>NANCY_D</v>
      </c>
      <c r="BI21" s="13">
        <f>VLOOKUP($G21,'Visu totale'!$D$3:$DT$129,BI$1,0)</f>
        <v>18</v>
      </c>
      <c r="BJ21" s="13" t="str">
        <f>VLOOKUP($G21,'Visu totale'!$D$3:$DT$129,BJ$1,0)</f>
        <v>V20</v>
      </c>
      <c r="BK21" s="13" t="str">
        <f>VLOOKUP($G21,'Visu totale'!$D$3:$DT$129,BK$1,0)</f>
        <v>V20</v>
      </c>
      <c r="BL21" s="13" t="str">
        <f>VLOOKUP($G21,'Visu totale'!$D$3:$DT$129,BL$1,0)</f>
        <v>V20</v>
      </c>
      <c r="BM21" s="13" t="str">
        <f>VLOOKUP($G21,'Visu totale'!$D$3:$DT$129,BM$1,0)</f>
        <v>V20</v>
      </c>
      <c r="BN21" s="15" t="str">
        <f>VLOOKUP($G21,'Visu totale'!$D$3:$DT$129,BN$1,0)</f>
        <v>V20</v>
      </c>
      <c r="BO21" s="14">
        <f>VLOOKUP($G21,'Visu totale'!$D$3:$DT$129,BO$1,0)</f>
        <v>0</v>
      </c>
      <c r="BP21" s="13" t="str">
        <f>VLOOKUP($G21,'Visu totale'!$D$3:$DT$129,BP$1,0)</f>
        <v>V15</v>
      </c>
      <c r="BQ21" s="13" t="str">
        <f>VLOOKUP($G21,'Visu totale'!$D$3:$DT$129,BQ$1,0)</f>
        <v>V15</v>
      </c>
      <c r="BR21" s="13" t="str">
        <f>VLOOKUP($G21,'Visu totale'!$D$3:$DT$129,BR$1,0)</f>
        <v>V15</v>
      </c>
      <c r="BS21" s="13" t="str">
        <f>VLOOKUP($G21,'Visu totale'!$D$3:$DT$129,BS$1,0)</f>
        <v>V15</v>
      </c>
      <c r="BT21" s="13" t="str">
        <f>VLOOKUP($G21,'Visu totale'!$D$3:$DT$129,BT$1,0)</f>
        <v>V15</v>
      </c>
      <c r="BU21" s="13" t="str">
        <f>VLOOKUP($G21,'Visu totale'!$D$3:$DT$129,BU$1,0)</f>
        <v>V15</v>
      </c>
      <c r="BV21" s="13">
        <f>VLOOKUP($G21,'Visu totale'!$D$3:$DT$129,BV$1,0)</f>
        <v>18</v>
      </c>
      <c r="BW21" s="13">
        <f>VLOOKUP($G21,'Visu totale'!$D$3:$DT$129,BW$1,0)</f>
        <v>18</v>
      </c>
      <c r="BX21" s="13" t="str">
        <f>VLOOKUP($G21,'Visu totale'!$D$3:$DT$129,BX$1,0)</f>
        <v>NANCY_D</v>
      </c>
      <c r="BY21" s="13" t="str">
        <f>VLOOKUP($G21,'Visu totale'!$D$3:$DT$129,BY$1,0)</f>
        <v>NANCY_D</v>
      </c>
      <c r="BZ21" s="15" t="str">
        <f>VLOOKUP($G21,'Visu totale'!$D$3:$DT$129,BZ$1,0)</f>
        <v>NANCY_D</v>
      </c>
      <c r="CA21" s="14" t="str">
        <f>VLOOKUP($G21,'Visu totale'!$D$3:$DT$129,CA$1,0)</f>
        <v>NANCY_D</v>
      </c>
      <c r="CB21" s="13">
        <f>VLOOKUP($G21,'Visu totale'!$D$3:$DT$129,CB$1,0)</f>
        <v>18</v>
      </c>
      <c r="CC21" s="13">
        <f>VLOOKUP($G21,'Visu totale'!$D$3:$DT$129,CC$1,0)</f>
        <v>18</v>
      </c>
      <c r="CD21" s="13" t="str">
        <f>VLOOKUP($G21,'Visu totale'!$D$3:$DT$129,CD$1,0)</f>
        <v>NANCY_D</v>
      </c>
      <c r="CE21" s="13" t="str">
        <f>VLOOKUP($G21,'Visu totale'!$D$3:$DT$129,CE$1,0)</f>
        <v>NANCY_D</v>
      </c>
      <c r="CF21" s="13" t="str">
        <f>VLOOKUP($G21,'Visu totale'!$D$3:$DT$129,CF$1,0)</f>
        <v>NANCY_D</v>
      </c>
      <c r="CG21" s="13" t="str">
        <f>VLOOKUP($G21,'Visu totale'!$D$3:$DT$129,CG$1,0)</f>
        <v>NANCY_D</v>
      </c>
      <c r="CH21" s="13">
        <f>VLOOKUP($G21,'Visu totale'!$D$3:$DT$129,CH$1,0)</f>
        <v>18</v>
      </c>
      <c r="CI21" s="13">
        <f>VLOOKUP($G21,'Visu totale'!$D$3:$DT$129,CI$1,0)</f>
        <v>18</v>
      </c>
      <c r="CJ21" s="13" t="str">
        <f>VLOOKUP($G21,'Visu totale'!$D$3:$DT$129,CJ$1,0)</f>
        <v>NANCY_D</v>
      </c>
      <c r="CK21" s="13" t="str">
        <f>VLOOKUP($G21,'Visu totale'!$D$3:$DT$129,CK$1,0)</f>
        <v>NANCY_D</v>
      </c>
      <c r="CL21" s="15" t="str">
        <f>VLOOKUP($G21,'Visu totale'!$D$3:$DT$129,CL$1,0)</f>
        <v>NANCY_D</v>
      </c>
      <c r="CM21" s="14" t="str">
        <f>VLOOKUP($G21,'Visu totale'!$D$3:$DT$129,CM$1,0)</f>
        <v>NANCY_D</v>
      </c>
      <c r="CN21" s="13">
        <f>VLOOKUP($G21,'Visu totale'!$D$3:$DT$129,CN$1,0)</f>
        <v>18</v>
      </c>
      <c r="CO21" s="13">
        <f>VLOOKUP($G21,'Visu totale'!$D$3:$DT$129,CO$1,0)</f>
        <v>18</v>
      </c>
      <c r="CP21" s="13" t="str">
        <f>VLOOKUP($G21,'Visu totale'!$D$3:$DT$129,CP$1,0)</f>
        <v>NANCY_D</v>
      </c>
      <c r="CQ21" s="13" t="str">
        <f>VLOOKUP($G21,'Visu totale'!$D$3:$DT$129,CQ$1,0)</f>
        <v>NANCY_D</v>
      </c>
      <c r="CR21" s="13" t="str">
        <f>VLOOKUP($G21,'Visu totale'!$D$3:$DT$129,CR$1,0)</f>
        <v>NANCY_D</v>
      </c>
      <c r="CS21" s="13" t="str">
        <f>VLOOKUP($G21,'Visu totale'!$D$3:$DT$129,CS$1,0)</f>
        <v>NANCY_D</v>
      </c>
      <c r="CT21" s="13">
        <f>VLOOKUP($G21,'Visu totale'!$D$3:$DT$129,CT$1,0)</f>
        <v>18</v>
      </c>
      <c r="CU21" s="13">
        <f>VLOOKUP($G21,'Visu totale'!$D$3:$DT$129,CU$1,0)</f>
        <v>18</v>
      </c>
      <c r="CV21" s="13">
        <f>VLOOKUP($G21,'Visu totale'!$D$3:$DT$129,CV$1,0)</f>
        <v>18</v>
      </c>
      <c r="CW21" s="13">
        <f>VLOOKUP($G21,'Visu totale'!$D$3:$DT$129,CW$1,0)</f>
        <v>18</v>
      </c>
      <c r="CX21" s="15">
        <f>VLOOKUP($G21,'Visu totale'!$D$3:$DT$129,CX$1,0)</f>
        <v>18</v>
      </c>
      <c r="CY21" s="14">
        <f>VLOOKUP($G21,'Visu totale'!$D$3:$DT$129,CY$1,0)</f>
        <v>0</v>
      </c>
      <c r="CZ21" s="13">
        <f>VLOOKUP($G21,'Visu totale'!$D$3:$DT$129,CZ$1,0)</f>
        <v>0</v>
      </c>
      <c r="DA21" s="13">
        <f>VLOOKUP($G21,'Visu totale'!$D$3:$DT$129,DA$1,0)</f>
        <v>0</v>
      </c>
      <c r="DB21" s="13">
        <f>VLOOKUP($G21,'Visu totale'!$D$3:$DT$129,DB$1,0)</f>
        <v>0</v>
      </c>
      <c r="DC21" s="13">
        <f>VLOOKUP($G21,'Visu totale'!$D$3:$DT$129,DC$1,0)</f>
        <v>0</v>
      </c>
      <c r="DD21" s="13">
        <f>VLOOKUP($G21,'Visu totale'!$D$3:$DT$129,DD$1,0)</f>
        <v>0</v>
      </c>
      <c r="DE21" s="13">
        <f>VLOOKUP($G21,'Visu totale'!$D$3:$DT$129,DE$1,0)</f>
        <v>0</v>
      </c>
      <c r="DF21" s="13">
        <f>VLOOKUP($G21,'Visu totale'!$D$3:$DT$129,DF$1,0)</f>
        <v>0</v>
      </c>
      <c r="DG21" s="13">
        <f>VLOOKUP($G21,'Visu totale'!$D$3:$DT$129,DG$1,0)</f>
        <v>0</v>
      </c>
      <c r="DH21" s="13">
        <f>VLOOKUP($G21,'Visu totale'!$D$3:$DT$129,DH$1,0)</f>
        <v>0</v>
      </c>
      <c r="DI21" s="13">
        <f>VLOOKUP($G21,'Visu totale'!$D$3:$DT$129,DI$1,0)</f>
        <v>0</v>
      </c>
      <c r="DJ21" s="15">
        <f>VLOOKUP($G21,'Visu totale'!$D$3:$DT$129,DJ$1,0)</f>
        <v>0</v>
      </c>
      <c r="DK21" s="14">
        <f>VLOOKUP($G21,'Visu totale'!$D$3:$DT$129,DK$1,0)</f>
        <v>0</v>
      </c>
      <c r="DL21" s="13">
        <f>VLOOKUP($G21,'Visu totale'!$D$3:$DT$129,DL$1,0)</f>
        <v>0</v>
      </c>
      <c r="DM21" s="13">
        <f>VLOOKUP($G21,'Visu totale'!$D$3:$DT$129,DM$1,0)</f>
        <v>0</v>
      </c>
      <c r="DN21" s="13">
        <f>VLOOKUP($G21,'Visu totale'!$D$3:$DT$129,DN$1,0)</f>
        <v>0</v>
      </c>
      <c r="DO21" s="13">
        <f>VLOOKUP($G21,'Visu totale'!$D$3:$DT$129,DO$1,0)</f>
        <v>0</v>
      </c>
      <c r="DP21" s="13">
        <f>VLOOKUP($G21,'Visu totale'!$D$3:$DT$129,DP$1,0)</f>
        <v>0</v>
      </c>
      <c r="DQ21" s="13">
        <f>VLOOKUP($G21,'Visu totale'!$D$3:$DT$129,DQ$1,0)</f>
        <v>0</v>
      </c>
      <c r="DR21" s="13">
        <f>VLOOKUP($G21,'Visu totale'!$D$3:$DT$129,DR$1,0)</f>
        <v>0</v>
      </c>
      <c r="DS21" s="13">
        <f>VLOOKUP($G21,'Visu totale'!$D$3:$DT$129,DS$1,0)</f>
        <v>0</v>
      </c>
      <c r="DT21" s="13">
        <f>VLOOKUP($G21,'Visu totale'!$D$3:$DT$129,DT$1,0)</f>
        <v>0</v>
      </c>
      <c r="DU21" s="13">
        <f>VLOOKUP($G21,'Visu totale'!$D$3:$DT$129,DU$1,0)</f>
        <v>0</v>
      </c>
      <c r="DV21" s="15">
        <f>VLOOKUP($G21,'Visu totale'!$D$3:$DT$129,DV$1,0)</f>
        <v>0</v>
      </c>
    </row>
    <row r="22" spans="1:126" x14ac:dyDescent="0.25">
      <c r="A22" s="13"/>
      <c r="B22" s="13"/>
      <c r="C22" s="13"/>
      <c r="D22" s="16"/>
      <c r="E22" s="14"/>
      <c r="F22" s="13"/>
      <c r="G22" s="17" t="s">
        <v>24</v>
      </c>
      <c r="H22" s="13">
        <f>VLOOKUP($G22,'Visu totale'!$D$3:$DT$129,H$1,0)</f>
        <v>18</v>
      </c>
      <c r="I22" s="13" t="str">
        <f>VLOOKUP($G22,'Visu totale'!$D$3:$DT$129,I$1,0)</f>
        <v>V10</v>
      </c>
      <c r="J22" s="13" t="str">
        <f>VLOOKUP($G22,'Visu totale'!$D$3:$DT$129,J$1,0)</f>
        <v>V10</v>
      </c>
      <c r="K22" s="13" t="str">
        <f>VLOOKUP($G22,'Visu totale'!$D$3:$DT$129,K$1,0)</f>
        <v>V10</v>
      </c>
      <c r="L22" s="13" t="str">
        <f>VLOOKUP($G22,'Visu totale'!$D$3:$DT$129,L$1,0)</f>
        <v>V10</v>
      </c>
      <c r="M22" s="13" t="str">
        <f>VLOOKUP($G22,'Visu totale'!$D$3:$DT$129,M$1,0)</f>
        <v>V10</v>
      </c>
      <c r="N22" s="13" t="str">
        <f>VLOOKUP($G22,'Visu totale'!$D$3:$DT$129,N$1,0)</f>
        <v>V10</v>
      </c>
      <c r="O22" s="13" t="str">
        <f>VLOOKUP($G22,'Visu totale'!$D$3:$DT$129,O$1,0)</f>
        <v>V10</v>
      </c>
      <c r="P22" s="13" t="str">
        <f>VLOOKUP($G22,'Visu totale'!$D$3:$DT$129,P$1,0)</f>
        <v>V10</v>
      </c>
      <c r="Q22" s="13" t="str">
        <f>VLOOKUP($G22,'Visu totale'!$D$3:$DT$129,Q$1,0)</f>
        <v>V10</v>
      </c>
      <c r="R22" s="15" t="str">
        <f>VLOOKUP($G22,'Visu totale'!$D$3:$DT$129,R$1,0)</f>
        <v>V10</v>
      </c>
      <c r="S22" s="14" t="str">
        <f>VLOOKUP($G22,'Visu totale'!$D$3:$DT$129,S$1,0)</f>
        <v>V10</v>
      </c>
      <c r="T22" s="13" t="str">
        <f>VLOOKUP($G22,'Visu totale'!$D$3:$DT$129,T$1,0)</f>
        <v>V10</v>
      </c>
      <c r="U22" s="13">
        <f>VLOOKUP($G22,'Visu totale'!$D$3:$DT$129,U$1,0)</f>
        <v>18</v>
      </c>
      <c r="V22" s="13">
        <f>VLOOKUP($G22,'Visu totale'!$D$3:$DT$129,V$1,0)</f>
        <v>18</v>
      </c>
      <c r="W22" s="13" t="str">
        <f>VLOOKUP($G22,'Visu totale'!$D$3:$DT$129,W$1,0)</f>
        <v>NANCY_D</v>
      </c>
      <c r="X22" s="13" t="str">
        <f>VLOOKUP($G22,'Visu totale'!$D$3:$DT$129,X$1,0)</f>
        <v>NANCY_D</v>
      </c>
      <c r="Y22" s="13" t="str">
        <f>VLOOKUP($G22,'Visu totale'!$D$3:$DT$129,Y$1,0)</f>
        <v>NANCY_D</v>
      </c>
      <c r="Z22" s="13" t="str">
        <f>VLOOKUP($G22,'Visu totale'!$D$3:$DT$129,Z$1,0)</f>
        <v>NANCY_D</v>
      </c>
      <c r="AA22" s="13">
        <f>VLOOKUP($G22,'Visu totale'!$D$3:$DT$129,AA$1,0)</f>
        <v>18</v>
      </c>
      <c r="AB22" s="13">
        <f>VLOOKUP($G22,'Visu totale'!$D$3:$DT$129,AB$1,0)</f>
        <v>18</v>
      </c>
      <c r="AC22" s="13" t="str">
        <f>VLOOKUP($G22,'Visu totale'!$D$3:$DT$129,AC$1,0)</f>
        <v>NANCY_D</v>
      </c>
      <c r="AD22" s="15" t="str">
        <f>VLOOKUP($G22,'Visu totale'!$D$3:$DT$129,AD$1,0)</f>
        <v>NANCY_D</v>
      </c>
      <c r="AE22" s="14" t="str">
        <f>VLOOKUP($G22,'Visu totale'!$D$3:$DT$129,AE$1,0)</f>
        <v>NANCY_D</v>
      </c>
      <c r="AF22" s="13" t="str">
        <f>VLOOKUP($G22,'Visu totale'!$D$3:$DT$129,AF$1,0)</f>
        <v>NANCY_D</v>
      </c>
      <c r="AG22" s="13">
        <f>VLOOKUP($G22,'Visu totale'!$D$3:$DT$129,AG$1,0)</f>
        <v>18</v>
      </c>
      <c r="AH22" s="13">
        <f>VLOOKUP($G22,'Visu totale'!$D$3:$DT$129,AH$1,0)</f>
        <v>18</v>
      </c>
      <c r="AI22" s="13" t="str">
        <f>VLOOKUP($G22,'Visu totale'!$D$3:$DT$129,AI$1,0)</f>
        <v>NANCY_D</v>
      </c>
      <c r="AJ22" s="13" t="str">
        <f>VLOOKUP($G22,'Visu totale'!$D$3:$DT$129,AJ$1,0)</f>
        <v>NANCY_D</v>
      </c>
      <c r="AK22" s="13">
        <f>VLOOKUP($G22,'Visu totale'!$D$3:$DT$129,AK$1,0)</f>
        <v>18</v>
      </c>
      <c r="AL22" s="13">
        <f>VLOOKUP($G22,'Visu totale'!$D$3:$DT$129,AL$1,0)</f>
        <v>18</v>
      </c>
      <c r="AM22" s="13" t="str">
        <f>VLOOKUP($G22,'Visu totale'!$D$3:$DT$129,AM$1,0)</f>
        <v>NANCY_D</v>
      </c>
      <c r="AN22" s="13" t="str">
        <f>VLOOKUP($G22,'Visu totale'!$D$3:$DT$129,AN$1,0)</f>
        <v>NANCY_D</v>
      </c>
      <c r="AO22" s="13" t="str">
        <f>VLOOKUP($G22,'Visu totale'!$D$3:$DT$129,AO$1,0)</f>
        <v>NANCY_D</v>
      </c>
      <c r="AP22" s="15" t="str">
        <f>VLOOKUP($G22,'Visu totale'!$D$3:$DT$129,AP$1,0)</f>
        <v>NANCY_D</v>
      </c>
      <c r="AQ22" s="14">
        <f>VLOOKUP($G22,'Visu totale'!$D$3:$DT$129,AQ$1,0)</f>
        <v>18</v>
      </c>
      <c r="AR22" s="13">
        <f>VLOOKUP($G22,'Visu totale'!$D$3:$DT$129,AR$1,0)</f>
        <v>18</v>
      </c>
      <c r="AS22" s="13" t="str">
        <f>VLOOKUP($G22,'Visu totale'!$D$3:$DT$129,AS$1,0)</f>
        <v>NANCY_D</v>
      </c>
      <c r="AT22" s="13" t="str">
        <f>VLOOKUP($G22,'Visu totale'!$D$3:$DT$129,AT$1,0)</f>
        <v>NANCY_D</v>
      </c>
      <c r="AU22" s="13" t="str">
        <f>VLOOKUP($G22,'Visu totale'!$D$3:$DT$129,AU$1,0)</f>
        <v>NANCY_D</v>
      </c>
      <c r="AV22" s="13" t="str">
        <f>VLOOKUP($G22,'Visu totale'!$D$3:$DT$129,AV$1,0)</f>
        <v>NANCY_D</v>
      </c>
      <c r="AW22" s="13">
        <f>VLOOKUP($G22,'Visu totale'!$D$3:$DT$129,AW$1,0)</f>
        <v>18</v>
      </c>
      <c r="AX22" s="13">
        <f>VLOOKUP($G22,'Visu totale'!$D$3:$DT$129,AX$1,0)</f>
        <v>18</v>
      </c>
      <c r="AY22" s="13" t="str">
        <f>VLOOKUP($G22,'Visu totale'!$D$3:$DT$129,AY$1,0)</f>
        <v>NANCY_D</v>
      </c>
      <c r="AZ22" s="13" t="str">
        <f>VLOOKUP($G22,'Visu totale'!$D$3:$DT$129,AZ$1,0)</f>
        <v>NANCY_D</v>
      </c>
      <c r="BA22" s="13" t="str">
        <f>VLOOKUP($G22,'Visu totale'!$D$3:$DT$129,BA$1,0)</f>
        <v>NANCY_D</v>
      </c>
      <c r="BB22" s="15" t="str">
        <f>VLOOKUP($G22,'Visu totale'!$D$3:$DT$129,BB$1,0)</f>
        <v>NANCY_D</v>
      </c>
      <c r="BC22" s="14">
        <f>VLOOKUP($G22,'Visu totale'!$D$3:$DT$129,BC$1,0)</f>
        <v>18</v>
      </c>
      <c r="BD22" s="13">
        <f>VLOOKUP($G22,'Visu totale'!$D$3:$DT$129,BD$1,0)</f>
        <v>18</v>
      </c>
      <c r="BE22" s="13" t="str">
        <f>VLOOKUP($G22,'Visu totale'!$D$3:$DT$129,BE$1,0)</f>
        <v>NANCY_D</v>
      </c>
      <c r="BF22" s="13" t="str">
        <f>VLOOKUP($G22,'Visu totale'!$D$3:$DT$129,BF$1,0)</f>
        <v>NANCY_D</v>
      </c>
      <c r="BG22" s="13" t="str">
        <f>VLOOKUP($G22,'Visu totale'!$D$3:$DT$129,BG$1,0)</f>
        <v>NANCY_D</v>
      </c>
      <c r="BH22" s="13" t="str">
        <f>VLOOKUP($G22,'Visu totale'!$D$3:$DT$129,BH$1,0)</f>
        <v>NANCY_D</v>
      </c>
      <c r="BI22" s="13">
        <f>VLOOKUP($G22,'Visu totale'!$D$3:$DT$129,BI$1,0)</f>
        <v>18</v>
      </c>
      <c r="BJ22" s="13">
        <f>VLOOKUP($G22,'Visu totale'!$D$3:$DT$129,BJ$1,0)</f>
        <v>18</v>
      </c>
      <c r="BK22" s="13" t="str">
        <f>VLOOKUP($G22,'Visu totale'!$D$3:$DT$129,BK$1,0)</f>
        <v>NANCY_D</v>
      </c>
      <c r="BL22" s="13" t="str">
        <f>VLOOKUP($G22,'Visu totale'!$D$3:$DT$129,BL$1,0)</f>
        <v>NANCY_D</v>
      </c>
      <c r="BM22" s="13" t="str">
        <f>VLOOKUP($G22,'Visu totale'!$D$3:$DT$129,BM$1,0)</f>
        <v>NANCY_D</v>
      </c>
      <c r="BN22" s="15" t="str">
        <f>VLOOKUP($G22,'Visu totale'!$D$3:$DT$129,BN$1,0)</f>
        <v>NANCY_D</v>
      </c>
      <c r="BO22" s="14" t="str">
        <f>VLOOKUP($G22,'Visu totale'!$D$3:$DT$129,BO$1,0)</f>
        <v>V20</v>
      </c>
      <c r="BP22" s="13">
        <f>VLOOKUP($G22,'Visu totale'!$D$3:$DT$129,BP$1,0)</f>
        <v>18</v>
      </c>
      <c r="BQ22" s="13">
        <f>VLOOKUP($G22,'Visu totale'!$D$3:$DT$129,BQ$1,0)</f>
        <v>18</v>
      </c>
      <c r="BR22" s="13" t="str">
        <f>VLOOKUP($G22,'Visu totale'!$D$3:$DT$129,BR$1,0)</f>
        <v>NANCY_D</v>
      </c>
      <c r="BS22" s="13" t="str">
        <f>VLOOKUP($G22,'Visu totale'!$D$3:$DT$129,BS$1,0)</f>
        <v>NANCY_D</v>
      </c>
      <c r="BT22" s="13" t="str">
        <f>VLOOKUP($G22,'Visu totale'!$D$3:$DT$129,BT$1,0)</f>
        <v>NANCY_D</v>
      </c>
      <c r="BU22" s="13" t="str">
        <f>VLOOKUP($G22,'Visu totale'!$D$3:$DT$129,BU$1,0)</f>
        <v>NANCY_D</v>
      </c>
      <c r="BV22" s="13">
        <f>VLOOKUP($G22,'Visu totale'!$D$3:$DT$129,BV$1,0)</f>
        <v>18</v>
      </c>
      <c r="BW22" s="13">
        <f>VLOOKUP($G22,'Visu totale'!$D$3:$DT$129,BW$1,0)</f>
        <v>18</v>
      </c>
      <c r="BX22" s="13" t="str">
        <f>VLOOKUP($G22,'Visu totale'!$D$3:$DT$129,BX$1,0)</f>
        <v>NANCY_D</v>
      </c>
      <c r="BY22" s="13" t="str">
        <f>VLOOKUP($G22,'Visu totale'!$D$3:$DT$129,BY$1,0)</f>
        <v>NANCY_D</v>
      </c>
      <c r="BZ22" s="15" t="str">
        <f>VLOOKUP($G22,'Visu totale'!$D$3:$DT$129,BZ$1,0)</f>
        <v>NANCY_D</v>
      </c>
      <c r="CA22" s="14" t="str">
        <f>VLOOKUP($G22,'Visu totale'!$D$3:$DT$129,CA$1,0)</f>
        <v>NANCY_D</v>
      </c>
      <c r="CB22" s="13">
        <f>VLOOKUP($G22,'Visu totale'!$D$3:$DT$129,CB$1,0)</f>
        <v>18</v>
      </c>
      <c r="CC22" s="13">
        <f>VLOOKUP($G22,'Visu totale'!$D$3:$DT$129,CC$1,0)</f>
        <v>18</v>
      </c>
      <c r="CD22" s="13" t="str">
        <f>VLOOKUP($G22,'Visu totale'!$D$3:$DT$129,CD$1,0)</f>
        <v>NANCY_D</v>
      </c>
      <c r="CE22" s="13" t="str">
        <f>VLOOKUP($G22,'Visu totale'!$D$3:$DT$129,CE$1,0)</f>
        <v>NANCY_D</v>
      </c>
      <c r="CF22" s="13" t="str">
        <f>VLOOKUP($G22,'Visu totale'!$D$3:$DT$129,CF$1,0)</f>
        <v>NANCY_D</v>
      </c>
      <c r="CG22" s="13" t="str">
        <f>VLOOKUP($G22,'Visu totale'!$D$3:$DT$129,CG$1,0)</f>
        <v>NANCY_D</v>
      </c>
      <c r="CH22" s="13">
        <f>VLOOKUP($G22,'Visu totale'!$D$3:$DT$129,CH$1,0)</f>
        <v>18</v>
      </c>
      <c r="CI22" s="13">
        <f>VLOOKUP($G22,'Visu totale'!$D$3:$DT$129,CI$1,0)</f>
        <v>18</v>
      </c>
      <c r="CJ22" s="13" t="str">
        <f>VLOOKUP($G22,'Visu totale'!$D$3:$DT$129,CJ$1,0)</f>
        <v>NANCY_D</v>
      </c>
      <c r="CK22" s="13" t="str">
        <f>VLOOKUP($G22,'Visu totale'!$D$3:$DT$129,CK$1,0)</f>
        <v>NANCY_D</v>
      </c>
      <c r="CL22" s="15" t="str">
        <f>VLOOKUP($G22,'Visu totale'!$D$3:$DT$129,CL$1,0)</f>
        <v>NANCY_D</v>
      </c>
      <c r="CM22" s="14" t="str">
        <f>VLOOKUP($G22,'Visu totale'!$D$3:$DT$129,CM$1,0)</f>
        <v>NANCY_D</v>
      </c>
      <c r="CN22" s="13">
        <f>VLOOKUP($G22,'Visu totale'!$D$3:$DT$129,CN$1,0)</f>
        <v>18</v>
      </c>
      <c r="CO22" s="13">
        <f>VLOOKUP($G22,'Visu totale'!$D$3:$DT$129,CO$1,0)</f>
        <v>18</v>
      </c>
      <c r="CP22" s="13" t="str">
        <f>VLOOKUP($G22,'Visu totale'!$D$3:$DT$129,CP$1,0)</f>
        <v>NANCY_D</v>
      </c>
      <c r="CQ22" s="13" t="str">
        <f>VLOOKUP($G22,'Visu totale'!$D$3:$DT$129,CQ$1,0)</f>
        <v>NANCY_D</v>
      </c>
      <c r="CR22" s="13" t="str">
        <f>VLOOKUP($G22,'Visu totale'!$D$3:$DT$129,CR$1,0)</f>
        <v>NANCY_D</v>
      </c>
      <c r="CS22" s="13" t="str">
        <f>VLOOKUP($G22,'Visu totale'!$D$3:$DT$129,CS$1,0)</f>
        <v>NANCY_D</v>
      </c>
      <c r="CT22" s="13">
        <f>VLOOKUP($G22,'Visu totale'!$D$3:$DT$129,CT$1,0)</f>
        <v>18</v>
      </c>
      <c r="CU22" s="13">
        <f>VLOOKUP($G22,'Visu totale'!$D$3:$DT$129,CU$1,0)</f>
        <v>18</v>
      </c>
      <c r="CV22" s="13">
        <f>VLOOKUP($G22,'Visu totale'!$D$3:$DT$129,CV$1,0)</f>
        <v>18</v>
      </c>
      <c r="CW22" s="13">
        <f>VLOOKUP($G22,'Visu totale'!$D$3:$DT$129,CW$1,0)</f>
        <v>18</v>
      </c>
      <c r="CX22" s="15">
        <f>VLOOKUP($G22,'Visu totale'!$D$3:$DT$129,CX$1,0)</f>
        <v>18</v>
      </c>
      <c r="CY22" s="14">
        <f>VLOOKUP($G22,'Visu totale'!$D$3:$DT$129,CY$1,0)</f>
        <v>0</v>
      </c>
      <c r="CZ22" s="13">
        <f>VLOOKUP($G22,'Visu totale'!$D$3:$DT$129,CZ$1,0)</f>
        <v>0</v>
      </c>
      <c r="DA22" s="13">
        <f>VLOOKUP($G22,'Visu totale'!$D$3:$DT$129,DA$1,0)</f>
        <v>0</v>
      </c>
      <c r="DB22" s="13">
        <f>VLOOKUP($G22,'Visu totale'!$D$3:$DT$129,DB$1,0)</f>
        <v>0</v>
      </c>
      <c r="DC22" s="13">
        <f>VLOOKUP($G22,'Visu totale'!$D$3:$DT$129,DC$1,0)</f>
        <v>0</v>
      </c>
      <c r="DD22" s="13">
        <f>VLOOKUP($G22,'Visu totale'!$D$3:$DT$129,DD$1,0)</f>
        <v>0</v>
      </c>
      <c r="DE22" s="13">
        <f>VLOOKUP($G22,'Visu totale'!$D$3:$DT$129,DE$1,0)</f>
        <v>0</v>
      </c>
      <c r="DF22" s="13">
        <f>VLOOKUP($G22,'Visu totale'!$D$3:$DT$129,DF$1,0)</f>
        <v>0</v>
      </c>
      <c r="DG22" s="13">
        <f>VLOOKUP($G22,'Visu totale'!$D$3:$DT$129,DG$1,0)</f>
        <v>0</v>
      </c>
      <c r="DH22" s="13">
        <f>VLOOKUP($G22,'Visu totale'!$D$3:$DT$129,DH$1,0)</f>
        <v>0</v>
      </c>
      <c r="DI22" s="13">
        <f>VLOOKUP($G22,'Visu totale'!$D$3:$DT$129,DI$1,0)</f>
        <v>0</v>
      </c>
      <c r="DJ22" s="15">
        <f>VLOOKUP($G22,'Visu totale'!$D$3:$DT$129,DJ$1,0)</f>
        <v>0</v>
      </c>
      <c r="DK22" s="14">
        <f>VLOOKUP($G22,'Visu totale'!$D$3:$DT$129,DK$1,0)</f>
        <v>0</v>
      </c>
      <c r="DL22" s="13">
        <f>VLOOKUP($G22,'Visu totale'!$D$3:$DT$129,DL$1,0)</f>
        <v>0</v>
      </c>
      <c r="DM22" s="13">
        <f>VLOOKUP($G22,'Visu totale'!$D$3:$DT$129,DM$1,0)</f>
        <v>0</v>
      </c>
      <c r="DN22" s="13">
        <f>VLOOKUP($G22,'Visu totale'!$D$3:$DT$129,DN$1,0)</f>
        <v>0</v>
      </c>
      <c r="DO22" s="13">
        <f>VLOOKUP($G22,'Visu totale'!$D$3:$DT$129,DO$1,0)</f>
        <v>0</v>
      </c>
      <c r="DP22" s="13">
        <f>VLOOKUP($G22,'Visu totale'!$D$3:$DT$129,DP$1,0)</f>
        <v>0</v>
      </c>
      <c r="DQ22" s="13">
        <f>VLOOKUP($G22,'Visu totale'!$D$3:$DT$129,DQ$1,0)</f>
        <v>0</v>
      </c>
      <c r="DR22" s="13">
        <f>VLOOKUP($G22,'Visu totale'!$D$3:$DT$129,DR$1,0)</f>
        <v>0</v>
      </c>
      <c r="DS22" s="13">
        <f>VLOOKUP($G22,'Visu totale'!$D$3:$DT$129,DS$1,0)</f>
        <v>0</v>
      </c>
      <c r="DT22" s="13">
        <f>VLOOKUP($G22,'Visu totale'!$D$3:$DT$129,DT$1,0)</f>
        <v>0</v>
      </c>
      <c r="DU22" s="13">
        <f>VLOOKUP($G22,'Visu totale'!$D$3:$DT$129,DU$1,0)</f>
        <v>0</v>
      </c>
      <c r="DV22" s="15">
        <f>VLOOKUP($G22,'Visu totale'!$D$3:$DT$129,DV$1,0)</f>
        <v>0</v>
      </c>
    </row>
    <row r="23" spans="1:126" x14ac:dyDescent="0.25">
      <c r="A23" s="13"/>
      <c r="B23" s="13"/>
      <c r="C23" s="13"/>
      <c r="D23" s="16"/>
      <c r="E23" s="14"/>
      <c r="F23" s="13"/>
      <c r="G23" s="17" t="s">
        <v>25</v>
      </c>
      <c r="H23" s="13">
        <f>VLOOKUP($G23,'Visu totale'!$D$3:$DT$129,H$1,0)</f>
        <v>18</v>
      </c>
      <c r="I23" s="13" t="str">
        <f>VLOOKUP($G23,'Visu totale'!$D$3:$DT$129,I$1,0)</f>
        <v>NANCY_D</v>
      </c>
      <c r="J23" s="13" t="str">
        <f>VLOOKUP($G23,'Visu totale'!$D$3:$DT$129,J$1,0)</f>
        <v>NANCY_D</v>
      </c>
      <c r="K23" s="13" t="str">
        <f>VLOOKUP($G23,'Visu totale'!$D$3:$DT$129,K$1,0)</f>
        <v>NANCY_D</v>
      </c>
      <c r="L23" s="13" t="str">
        <f>VLOOKUP($G23,'Visu totale'!$D$3:$DT$129,L$1,0)</f>
        <v>NANCY_D</v>
      </c>
      <c r="M23" s="13">
        <f>VLOOKUP($G23,'Visu totale'!$D$3:$DT$129,M$1,0)</f>
        <v>18</v>
      </c>
      <c r="N23" s="13">
        <f>VLOOKUP($G23,'Visu totale'!$D$3:$DT$129,N$1,0)</f>
        <v>18</v>
      </c>
      <c r="O23" s="13">
        <f>VLOOKUP($G23,'Visu totale'!$D$3:$DT$129,O$1,0)</f>
        <v>18</v>
      </c>
      <c r="P23" s="13">
        <f>VLOOKUP($G23,'Visu totale'!$D$3:$DT$129,P$1,0)</f>
        <v>18</v>
      </c>
      <c r="Q23" s="13">
        <f>VLOOKUP($G23,'Visu totale'!$D$3:$DT$129,Q$1,0)</f>
        <v>18</v>
      </c>
      <c r="R23" s="15">
        <f>VLOOKUP($G23,'Visu totale'!$D$3:$DT$129,R$1,0)</f>
        <v>18</v>
      </c>
      <c r="S23" s="14">
        <f>VLOOKUP($G23,'Visu totale'!$D$3:$DT$129,S$1,0)</f>
        <v>0</v>
      </c>
      <c r="T23" s="13">
        <f>VLOOKUP($G23,'Visu totale'!$D$3:$DT$129,T$1,0)</f>
        <v>0</v>
      </c>
      <c r="U23" s="13">
        <f>VLOOKUP($G23,'Visu totale'!$D$3:$DT$129,U$1,0)</f>
        <v>0</v>
      </c>
      <c r="V23" s="13" t="str">
        <f>VLOOKUP($G23,'Visu totale'!$D$3:$DT$129,V$1,0)</f>
        <v>V10</v>
      </c>
      <c r="W23" s="13" t="str">
        <f>VLOOKUP($G23,'Visu totale'!$D$3:$DT$129,W$1,0)</f>
        <v>V10</v>
      </c>
      <c r="X23" s="13" t="str">
        <f>VLOOKUP($G23,'Visu totale'!$D$3:$DT$129,X$1,0)</f>
        <v>V10</v>
      </c>
      <c r="Y23" s="13" t="str">
        <f>VLOOKUP($G23,'Visu totale'!$D$3:$DT$129,Y$1,0)</f>
        <v>V10</v>
      </c>
      <c r="Z23" s="13" t="str">
        <f>VLOOKUP($G23,'Visu totale'!$D$3:$DT$129,Z$1,0)</f>
        <v>V10</v>
      </c>
      <c r="AA23" s="13" t="str">
        <f>VLOOKUP($G23,'Visu totale'!$D$3:$DT$129,AA$1,0)</f>
        <v>V10</v>
      </c>
      <c r="AB23" s="13">
        <f>VLOOKUP($G23,'Visu totale'!$D$3:$DT$129,AB$1,0)</f>
        <v>18</v>
      </c>
      <c r="AC23" s="13">
        <f>VLOOKUP($G23,'Visu totale'!$D$3:$DT$129,AC$1,0)</f>
        <v>18</v>
      </c>
      <c r="AD23" s="15" t="str">
        <f>VLOOKUP($G23,'Visu totale'!$D$3:$DT$129,AD$1,0)</f>
        <v>CHAMMAL_D</v>
      </c>
      <c r="AE23" s="14" t="str">
        <f>VLOOKUP($G23,'Visu totale'!$D$3:$DT$129,AE$1,0)</f>
        <v>CHAMMAL_D</v>
      </c>
      <c r="AF23" s="13" t="str">
        <f>VLOOKUP($G23,'Visu totale'!$D$3:$DT$129,AF$1,0)</f>
        <v>CHAMMAL_D</v>
      </c>
      <c r="AG23" s="13" t="str">
        <f>VLOOKUP($G23,'Visu totale'!$D$3:$DT$129,AG$1,0)</f>
        <v>CHAMMAL_D</v>
      </c>
      <c r="AH23" s="13">
        <f>VLOOKUP($G23,'Visu totale'!$D$3:$DT$129,AH$1,0)</f>
        <v>18</v>
      </c>
      <c r="AI23" s="13">
        <f>VLOOKUP($G23,'Visu totale'!$D$3:$DT$129,AI$1,0)</f>
        <v>18</v>
      </c>
      <c r="AJ23" s="13" t="str">
        <f>VLOOKUP($G23,'Visu totale'!$D$3:$DT$129,AJ$1,0)</f>
        <v>CHAMMAL_D</v>
      </c>
      <c r="AK23" s="13">
        <f>VLOOKUP($G23,'Visu totale'!$D$3:$DT$129,AK$1,0)</f>
        <v>18</v>
      </c>
      <c r="AL23" s="13">
        <f>VLOOKUP($G23,'Visu totale'!$D$3:$DT$129,AL$1,0)</f>
        <v>18</v>
      </c>
      <c r="AM23" s="13" t="str">
        <f>VLOOKUP($G23,'Visu totale'!$D$3:$DT$129,AM$1,0)</f>
        <v>CHAMMAL_D</v>
      </c>
      <c r="AN23" s="13" t="str">
        <f>VLOOKUP($G23,'Visu totale'!$D$3:$DT$129,AN$1,0)</f>
        <v>CHAMMAL_D</v>
      </c>
      <c r="AO23" s="13" t="str">
        <f>VLOOKUP($G23,'Visu totale'!$D$3:$DT$129,AO$1,0)</f>
        <v>CHAMMAL_D</v>
      </c>
      <c r="AP23" s="15" t="str">
        <f>VLOOKUP($G23,'Visu totale'!$D$3:$DT$129,AP$1,0)</f>
        <v>CHAMMAL_D</v>
      </c>
      <c r="AQ23" s="14">
        <f>VLOOKUP($G23,'Visu totale'!$D$3:$DT$129,AQ$1,0)</f>
        <v>18</v>
      </c>
      <c r="AR23" s="13">
        <f>VLOOKUP($G23,'Visu totale'!$D$3:$DT$129,AR$1,0)</f>
        <v>18</v>
      </c>
      <c r="AS23" s="13">
        <f>VLOOKUP($G23,'Visu totale'!$D$3:$DT$129,AS$1,0)</f>
        <v>18</v>
      </c>
      <c r="AT23" s="13">
        <f>VLOOKUP($G23,'Visu totale'!$D$3:$DT$129,AT$1,0)</f>
        <v>18</v>
      </c>
      <c r="AU23" s="13">
        <f>VLOOKUP($G23,'Visu totale'!$D$3:$DT$129,AU$1,0)</f>
        <v>18</v>
      </c>
      <c r="AV23" s="13">
        <f>VLOOKUP($G23,'Visu totale'!$D$3:$DT$129,AV$1,0)</f>
        <v>18</v>
      </c>
      <c r="AW23" s="13">
        <f>VLOOKUP($G23,'Visu totale'!$D$3:$DT$129,AW$1,0)</f>
        <v>18</v>
      </c>
      <c r="AX23" s="13">
        <f>VLOOKUP($G23,'Visu totale'!$D$3:$DT$129,AX$1,0)</f>
        <v>18</v>
      </c>
      <c r="AY23" s="13">
        <f>VLOOKUP($G23,'Visu totale'!$D$3:$DT$129,AY$1,0)</f>
        <v>18</v>
      </c>
      <c r="AZ23" s="13">
        <f>VLOOKUP($G23,'Visu totale'!$D$3:$DT$129,AZ$1,0)</f>
        <v>18</v>
      </c>
      <c r="BA23" s="13">
        <f>VLOOKUP($G23,'Visu totale'!$D$3:$DT$129,BA$1,0)</f>
        <v>0</v>
      </c>
      <c r="BB23" s="15">
        <f>VLOOKUP($G23,'Visu totale'!$D$3:$DT$129,BB$1,0)</f>
        <v>0</v>
      </c>
      <c r="BC23" s="14">
        <f>VLOOKUP($G23,'Visu totale'!$D$3:$DT$129,BC$1,0)</f>
        <v>0</v>
      </c>
      <c r="BD23" s="13">
        <f>VLOOKUP($G23,'Visu totale'!$D$3:$DT$129,BD$1,0)</f>
        <v>0</v>
      </c>
      <c r="BE23" s="13">
        <f>VLOOKUP($G23,'Visu totale'!$D$3:$DT$129,BE$1,0)</f>
        <v>0</v>
      </c>
      <c r="BF23" s="13">
        <f>VLOOKUP($G23,'Visu totale'!$D$3:$DT$129,BF$1,0)</f>
        <v>0</v>
      </c>
      <c r="BG23" s="13">
        <f>VLOOKUP($G23,'Visu totale'!$D$3:$DT$129,BG$1,0)</f>
        <v>0</v>
      </c>
      <c r="BH23" s="13">
        <f>VLOOKUP($G23,'Visu totale'!$D$3:$DT$129,BH$1,0)</f>
        <v>0</v>
      </c>
      <c r="BI23" s="13">
        <f>VLOOKUP($G23,'Visu totale'!$D$3:$DT$129,BI$1,0)</f>
        <v>0</v>
      </c>
      <c r="BJ23" s="13">
        <f>VLOOKUP($G23,'Visu totale'!$D$3:$DT$129,BJ$1,0)</f>
        <v>0</v>
      </c>
      <c r="BK23" s="13">
        <f>VLOOKUP($G23,'Visu totale'!$D$3:$DT$129,BK$1,0)</f>
        <v>0</v>
      </c>
      <c r="BL23" s="13">
        <f>VLOOKUP($G23,'Visu totale'!$D$3:$DT$129,BL$1,0)</f>
        <v>0</v>
      </c>
      <c r="BM23" s="13">
        <f>VLOOKUP($G23,'Visu totale'!$D$3:$DT$129,BM$1,0)</f>
        <v>0</v>
      </c>
      <c r="BN23" s="15">
        <f>VLOOKUP($G23,'Visu totale'!$D$3:$DT$129,BN$1,0)</f>
        <v>0</v>
      </c>
      <c r="BO23" s="14">
        <f>VLOOKUP($G23,'Visu totale'!$D$3:$DT$129,BO$1,0)</f>
        <v>0</v>
      </c>
      <c r="BP23" s="13">
        <f>VLOOKUP($G23,'Visu totale'!$D$3:$DT$129,BP$1,0)</f>
        <v>0</v>
      </c>
      <c r="BQ23" s="13">
        <f>VLOOKUP($G23,'Visu totale'!$D$3:$DT$129,BQ$1,0)</f>
        <v>0</v>
      </c>
      <c r="BR23" s="13">
        <f>VLOOKUP($G23,'Visu totale'!$D$3:$DT$129,BR$1,0)</f>
        <v>0</v>
      </c>
      <c r="BS23" s="13">
        <f>VLOOKUP($G23,'Visu totale'!$D$3:$DT$129,BS$1,0)</f>
        <v>0</v>
      </c>
      <c r="BT23" s="13">
        <f>VLOOKUP($G23,'Visu totale'!$D$3:$DT$129,BT$1,0)</f>
        <v>0</v>
      </c>
      <c r="BU23" s="13">
        <f>VLOOKUP($G23,'Visu totale'!$D$3:$DT$129,BU$1,0)</f>
        <v>0</v>
      </c>
      <c r="BV23" s="13">
        <f>VLOOKUP($G23,'Visu totale'!$D$3:$DT$129,BV$1,0)</f>
        <v>0</v>
      </c>
      <c r="BW23" s="13">
        <f>VLOOKUP($G23,'Visu totale'!$D$3:$DT$129,BW$1,0)</f>
        <v>0</v>
      </c>
      <c r="BX23" s="13">
        <f>VLOOKUP($G23,'Visu totale'!$D$3:$DT$129,BX$1,0)</f>
        <v>0</v>
      </c>
      <c r="BY23" s="13">
        <f>VLOOKUP($G23,'Visu totale'!$D$3:$DT$129,BY$1,0)</f>
        <v>0</v>
      </c>
      <c r="BZ23" s="15">
        <f>VLOOKUP($G23,'Visu totale'!$D$3:$DT$129,BZ$1,0)</f>
        <v>0</v>
      </c>
      <c r="CA23" s="14">
        <f>VLOOKUP($G23,'Visu totale'!$D$3:$DT$129,CA$1,0)</f>
        <v>0</v>
      </c>
      <c r="CB23" s="13">
        <f>VLOOKUP($G23,'Visu totale'!$D$3:$DT$129,CB$1,0)</f>
        <v>0</v>
      </c>
      <c r="CC23" s="13">
        <f>VLOOKUP($G23,'Visu totale'!$D$3:$DT$129,CC$1,0)</f>
        <v>0</v>
      </c>
      <c r="CD23" s="13">
        <f>VLOOKUP($G23,'Visu totale'!$D$3:$DT$129,CD$1,0)</f>
        <v>0</v>
      </c>
      <c r="CE23" s="13" t="str">
        <f>VLOOKUP($G23,'Visu totale'!$D$3:$DT$129,CE$1,0)</f>
        <v>V15</v>
      </c>
      <c r="CF23" s="13" t="str">
        <f>VLOOKUP($G23,'Visu totale'!$D$3:$DT$129,CF$1,0)</f>
        <v>V15</v>
      </c>
      <c r="CG23" s="13" t="str">
        <f>VLOOKUP($G23,'Visu totale'!$D$3:$DT$129,CG$1,0)</f>
        <v>V15</v>
      </c>
      <c r="CH23" s="13" t="str">
        <f>VLOOKUP($G23,'Visu totale'!$D$3:$DT$129,CH$1,0)</f>
        <v>V15</v>
      </c>
      <c r="CI23" s="13" t="str">
        <f>VLOOKUP($G23,'Visu totale'!$D$3:$DT$129,CI$1,0)</f>
        <v>V15</v>
      </c>
      <c r="CJ23" s="13" t="str">
        <f>VLOOKUP($G23,'Visu totale'!$D$3:$DT$129,CJ$1,0)</f>
        <v>V15</v>
      </c>
      <c r="CK23" s="13">
        <f>VLOOKUP($G23,'Visu totale'!$D$3:$DT$129,CK$1,0)</f>
        <v>18</v>
      </c>
      <c r="CL23" s="15">
        <f>VLOOKUP($G23,'Visu totale'!$D$3:$DT$129,CL$1,0)</f>
        <v>18</v>
      </c>
      <c r="CM23" s="14" t="str">
        <f>VLOOKUP($G23,'Visu totale'!$D$3:$DT$129,CM$1,0)</f>
        <v>NANCY_D</v>
      </c>
      <c r="CN23" s="13" t="str">
        <f>VLOOKUP($G23,'Visu totale'!$D$3:$DT$129,CN$1,0)</f>
        <v>NANCY_D</v>
      </c>
      <c r="CO23" s="13" t="str">
        <f>VLOOKUP($G23,'Visu totale'!$D$3:$DT$129,CO$1,0)</f>
        <v>NANCY_D</v>
      </c>
      <c r="CP23" s="13" t="str">
        <f>VLOOKUP($G23,'Visu totale'!$D$3:$DT$129,CP$1,0)</f>
        <v>NANCY_D</v>
      </c>
      <c r="CQ23" s="13">
        <f>VLOOKUP($G23,'Visu totale'!$D$3:$DT$129,CQ$1,0)</f>
        <v>18</v>
      </c>
      <c r="CR23" s="13">
        <f>VLOOKUP($G23,'Visu totale'!$D$3:$DT$129,CR$1,0)</f>
        <v>18</v>
      </c>
      <c r="CS23" s="13" t="str">
        <f>VLOOKUP($G23,'Visu totale'!$D$3:$DT$129,CS$1,0)</f>
        <v>NANCY_D</v>
      </c>
      <c r="CT23" s="13" t="str">
        <f>VLOOKUP($G23,'Visu totale'!$D$3:$DT$129,CT$1,0)</f>
        <v>NANCY_D</v>
      </c>
      <c r="CU23" s="13" t="str">
        <f>VLOOKUP($G23,'Visu totale'!$D$3:$DT$129,CU$1,0)</f>
        <v>NANCY_D</v>
      </c>
      <c r="CV23" s="13" t="str">
        <f>VLOOKUP($G23,'Visu totale'!$D$3:$DT$129,CV$1,0)</f>
        <v>NANCY_D</v>
      </c>
      <c r="CW23" s="13">
        <f>VLOOKUP($G23,'Visu totale'!$D$3:$DT$129,CW$1,0)</f>
        <v>18</v>
      </c>
      <c r="CX23" s="15">
        <f>VLOOKUP($G23,'Visu totale'!$D$3:$DT$129,CX$1,0)</f>
        <v>18</v>
      </c>
      <c r="CY23" s="14">
        <f>VLOOKUP($G23,'Visu totale'!$D$3:$DT$129,CY$1,0)</f>
        <v>0</v>
      </c>
      <c r="CZ23" s="13">
        <f>VLOOKUP($G23,'Visu totale'!$D$3:$DT$129,CZ$1,0)</f>
        <v>0</v>
      </c>
      <c r="DA23" s="13">
        <f>VLOOKUP($G23,'Visu totale'!$D$3:$DT$129,DA$1,0)</f>
        <v>0</v>
      </c>
      <c r="DB23" s="13">
        <f>VLOOKUP($G23,'Visu totale'!$D$3:$DT$129,DB$1,0)</f>
        <v>0</v>
      </c>
      <c r="DC23" s="13">
        <f>VLOOKUP($G23,'Visu totale'!$D$3:$DT$129,DC$1,0)</f>
        <v>0</v>
      </c>
      <c r="DD23" s="13">
        <f>VLOOKUP($G23,'Visu totale'!$D$3:$DT$129,DD$1,0)</f>
        <v>0</v>
      </c>
      <c r="DE23" s="13">
        <f>VLOOKUP($G23,'Visu totale'!$D$3:$DT$129,DE$1,0)</f>
        <v>0</v>
      </c>
      <c r="DF23" s="13">
        <f>VLOOKUP($G23,'Visu totale'!$D$3:$DT$129,DF$1,0)</f>
        <v>0</v>
      </c>
      <c r="DG23" s="13">
        <f>VLOOKUP($G23,'Visu totale'!$D$3:$DT$129,DG$1,0)</f>
        <v>0</v>
      </c>
      <c r="DH23" s="13">
        <f>VLOOKUP($G23,'Visu totale'!$D$3:$DT$129,DH$1,0)</f>
        <v>0</v>
      </c>
      <c r="DI23" s="13">
        <f>VLOOKUP($G23,'Visu totale'!$D$3:$DT$129,DI$1,0)</f>
        <v>0</v>
      </c>
      <c r="DJ23" s="15">
        <f>VLOOKUP($G23,'Visu totale'!$D$3:$DT$129,DJ$1,0)</f>
        <v>0</v>
      </c>
      <c r="DK23" s="14">
        <f>VLOOKUP($G23,'Visu totale'!$D$3:$DT$129,DK$1,0)</f>
        <v>0</v>
      </c>
      <c r="DL23" s="13">
        <f>VLOOKUP($G23,'Visu totale'!$D$3:$DT$129,DL$1,0)</f>
        <v>0</v>
      </c>
      <c r="DM23" s="13">
        <f>VLOOKUP($G23,'Visu totale'!$D$3:$DT$129,DM$1,0)</f>
        <v>0</v>
      </c>
      <c r="DN23" s="13">
        <f>VLOOKUP($G23,'Visu totale'!$D$3:$DT$129,DN$1,0)</f>
        <v>0</v>
      </c>
      <c r="DO23" s="13">
        <f>VLOOKUP($G23,'Visu totale'!$D$3:$DT$129,DO$1,0)</f>
        <v>0</v>
      </c>
      <c r="DP23" s="13">
        <f>VLOOKUP($G23,'Visu totale'!$D$3:$DT$129,DP$1,0)</f>
        <v>0</v>
      </c>
      <c r="DQ23" s="13">
        <f>VLOOKUP($G23,'Visu totale'!$D$3:$DT$129,DQ$1,0)</f>
        <v>0</v>
      </c>
      <c r="DR23" s="13">
        <f>VLOOKUP($G23,'Visu totale'!$D$3:$DT$129,DR$1,0)</f>
        <v>0</v>
      </c>
      <c r="DS23" s="13">
        <f>VLOOKUP($G23,'Visu totale'!$D$3:$DT$129,DS$1,0)</f>
        <v>0</v>
      </c>
      <c r="DT23" s="13">
        <f>VLOOKUP($G23,'Visu totale'!$D$3:$DT$129,DT$1,0)</f>
        <v>0</v>
      </c>
      <c r="DU23" s="13">
        <f>VLOOKUP($G23,'Visu totale'!$D$3:$DT$129,DU$1,0)</f>
        <v>0</v>
      </c>
      <c r="DV23" s="15">
        <f>VLOOKUP($G23,'Visu totale'!$D$3:$DT$129,DV$1,0)</f>
        <v>0</v>
      </c>
    </row>
    <row r="24" spans="1:126" x14ac:dyDescent="0.25">
      <c r="A24" s="13"/>
      <c r="B24" s="13"/>
      <c r="C24" s="13"/>
      <c r="D24" s="16"/>
      <c r="E24" s="14"/>
      <c r="F24" s="13"/>
      <c r="G24" s="17" t="s">
        <v>26</v>
      </c>
      <c r="H24" s="13">
        <f>VLOOKUP($G24,'Visu totale'!$D$3:$DT$129,H$1,0)</f>
        <v>18</v>
      </c>
      <c r="I24" s="13" t="str">
        <f>VLOOKUP($G24,'Visu totale'!$D$3:$DT$129,I$1,0)</f>
        <v>NANCY_D</v>
      </c>
      <c r="J24" s="13" t="str">
        <f>VLOOKUP($G24,'Visu totale'!$D$3:$DT$129,J$1,0)</f>
        <v>NANCY_D</v>
      </c>
      <c r="K24" s="13" t="str">
        <f>VLOOKUP($G24,'Visu totale'!$D$3:$DT$129,K$1,0)</f>
        <v>NANCY_D</v>
      </c>
      <c r="L24" s="13" t="str">
        <f>VLOOKUP($G24,'Visu totale'!$D$3:$DT$129,L$1,0)</f>
        <v>NANCY_D</v>
      </c>
      <c r="M24" s="13" t="str">
        <f>VLOOKUP($G24,'Visu totale'!$D$3:$DT$129,M$1,0)</f>
        <v>V10</v>
      </c>
      <c r="N24" s="13" t="str">
        <f>VLOOKUP($G24,'Visu totale'!$D$3:$DT$129,N$1,0)</f>
        <v>V10</v>
      </c>
      <c r="O24" s="13" t="str">
        <f>VLOOKUP($G24,'Visu totale'!$D$3:$DT$129,O$1,0)</f>
        <v>V10</v>
      </c>
      <c r="P24" s="13" t="str">
        <f>VLOOKUP($G24,'Visu totale'!$D$3:$DT$129,P$1,0)</f>
        <v>V10</v>
      </c>
      <c r="Q24" s="13" t="str">
        <f>VLOOKUP($G24,'Visu totale'!$D$3:$DT$129,Q$1,0)</f>
        <v>V10</v>
      </c>
      <c r="R24" s="15" t="str">
        <f>VLOOKUP($G24,'Visu totale'!$D$3:$DT$129,R$1,0)</f>
        <v>V10</v>
      </c>
      <c r="S24" s="14" t="str">
        <f>VLOOKUP($G24,'Visu totale'!$D$3:$DT$129,S$1,0)</f>
        <v>V10</v>
      </c>
      <c r="T24" s="13">
        <f>VLOOKUP($G24,'Visu totale'!$D$3:$DT$129,T$1,0)</f>
        <v>18</v>
      </c>
      <c r="U24" s="13">
        <f>VLOOKUP($G24,'Visu totale'!$D$3:$DT$129,U$1,0)</f>
        <v>18</v>
      </c>
      <c r="V24" s="13" t="str">
        <f>VLOOKUP($G24,'Visu totale'!$D$3:$DT$129,V$1,0)</f>
        <v>NANCY_D</v>
      </c>
      <c r="W24" s="13" t="str">
        <f>VLOOKUP($G24,'Visu totale'!$D$3:$DT$129,W$1,0)</f>
        <v>NANCY_D</v>
      </c>
      <c r="X24" s="13" t="str">
        <f>VLOOKUP($G24,'Visu totale'!$D$3:$DT$129,X$1,0)</f>
        <v>NANCY_D</v>
      </c>
      <c r="Y24" s="13" t="str">
        <f>VLOOKUP($G24,'Visu totale'!$D$3:$DT$129,Y$1,0)</f>
        <v>NANCY_D</v>
      </c>
      <c r="Z24" s="13">
        <f>VLOOKUP($G24,'Visu totale'!$D$3:$DT$129,Z$1,0)</f>
        <v>18</v>
      </c>
      <c r="AA24" s="13">
        <f>VLOOKUP($G24,'Visu totale'!$D$3:$DT$129,AA$1,0)</f>
        <v>18</v>
      </c>
      <c r="AB24" s="13" t="str">
        <f>VLOOKUP($G24,'Visu totale'!$D$3:$DT$129,AB$1,0)</f>
        <v>NANCY_D</v>
      </c>
      <c r="AC24" s="13" t="str">
        <f>VLOOKUP($G24,'Visu totale'!$D$3:$DT$129,AC$1,0)</f>
        <v>NANCY_D</v>
      </c>
      <c r="AD24" s="15" t="str">
        <f>VLOOKUP($G24,'Visu totale'!$D$3:$DT$129,AD$1,0)</f>
        <v>NANCY_D</v>
      </c>
      <c r="AE24" s="14" t="str">
        <f>VLOOKUP($G24,'Visu totale'!$D$3:$DT$129,AE$1,0)</f>
        <v>NANCY_D</v>
      </c>
      <c r="AF24" s="13">
        <f>VLOOKUP($G24,'Visu totale'!$D$3:$DT$129,AF$1,0)</f>
        <v>18</v>
      </c>
      <c r="AG24" s="13">
        <f>VLOOKUP($G24,'Visu totale'!$D$3:$DT$129,AG$1,0)</f>
        <v>18</v>
      </c>
      <c r="AH24" s="13" t="str">
        <f>VLOOKUP($G24,'Visu totale'!$D$3:$DT$129,AH$1,0)</f>
        <v>NANCY_D</v>
      </c>
      <c r="AI24" s="13" t="str">
        <f>VLOOKUP($G24,'Visu totale'!$D$3:$DT$129,AI$1,0)</f>
        <v>NANCY_D</v>
      </c>
      <c r="AJ24" s="13" t="str">
        <f>VLOOKUP($G24,'Visu totale'!$D$3:$DT$129,AJ$1,0)</f>
        <v>NANCY_D</v>
      </c>
      <c r="AK24" s="13">
        <f>VLOOKUP($G24,'Visu totale'!$D$3:$DT$129,AK$1,0)</f>
        <v>18</v>
      </c>
      <c r="AL24" s="13">
        <f>VLOOKUP($G24,'Visu totale'!$D$3:$DT$129,AL$1,0)</f>
        <v>18</v>
      </c>
      <c r="AM24" s="13" t="str">
        <f>VLOOKUP($G24,'Visu totale'!$D$3:$DT$129,AM$1,0)</f>
        <v>NANCY_D</v>
      </c>
      <c r="AN24" s="13" t="str">
        <f>VLOOKUP($G24,'Visu totale'!$D$3:$DT$129,AN$1,0)</f>
        <v>NANCY_D</v>
      </c>
      <c r="AO24" s="13" t="str">
        <f>VLOOKUP($G24,'Visu totale'!$D$3:$DT$129,AO$1,0)</f>
        <v>NANCY_D</v>
      </c>
      <c r="AP24" s="15" t="str">
        <f>VLOOKUP($G24,'Visu totale'!$D$3:$DT$129,AP$1,0)</f>
        <v>NANCY_D</v>
      </c>
      <c r="AQ24" s="14">
        <f>VLOOKUP($G24,'Visu totale'!$D$3:$DT$129,AQ$1,0)</f>
        <v>18</v>
      </c>
      <c r="AR24" s="13">
        <f>VLOOKUP($G24,'Visu totale'!$D$3:$DT$129,AR$1,0)</f>
        <v>18</v>
      </c>
      <c r="AS24" s="13" t="str">
        <f>VLOOKUP($G24,'Visu totale'!$D$3:$DT$129,AS$1,0)</f>
        <v>NANCY_D</v>
      </c>
      <c r="AT24" s="13" t="str">
        <f>VLOOKUP($G24,'Visu totale'!$D$3:$DT$129,AT$1,0)</f>
        <v>NANCY_D</v>
      </c>
      <c r="AU24" s="13" t="str">
        <f>VLOOKUP($G24,'Visu totale'!$D$3:$DT$129,AU$1,0)</f>
        <v>NANCY_D</v>
      </c>
      <c r="AV24" s="13" t="str">
        <f>VLOOKUP($G24,'Visu totale'!$D$3:$DT$129,AV$1,0)</f>
        <v>NANCY_D</v>
      </c>
      <c r="AW24" s="13">
        <f>VLOOKUP($G24,'Visu totale'!$D$3:$DT$129,AW$1,0)</f>
        <v>18</v>
      </c>
      <c r="AX24" s="13">
        <f>VLOOKUP($G24,'Visu totale'!$D$3:$DT$129,AX$1,0)</f>
        <v>18</v>
      </c>
      <c r="AY24" s="13" t="str">
        <f>VLOOKUP($G24,'Visu totale'!$D$3:$DT$129,AY$1,0)</f>
        <v>NANCY_D</v>
      </c>
      <c r="AZ24" s="13" t="str">
        <f>VLOOKUP($G24,'Visu totale'!$D$3:$DT$129,AZ$1,0)</f>
        <v>NANCY_D</v>
      </c>
      <c r="BA24" s="13" t="str">
        <f>VLOOKUP($G24,'Visu totale'!$D$3:$DT$129,BA$1,0)</f>
        <v>NANCY_D</v>
      </c>
      <c r="BB24" s="15" t="str">
        <f>VLOOKUP($G24,'Visu totale'!$D$3:$DT$129,BB$1,0)</f>
        <v>NANCY_D</v>
      </c>
      <c r="BC24" s="14">
        <f>VLOOKUP($G24,'Visu totale'!$D$3:$DT$129,BC$1,0)</f>
        <v>18</v>
      </c>
      <c r="BD24" s="13">
        <f>VLOOKUP($G24,'Visu totale'!$D$3:$DT$129,BD$1,0)</f>
        <v>18</v>
      </c>
      <c r="BE24" s="13" t="str">
        <f>VLOOKUP($G24,'Visu totale'!$D$3:$DT$129,BE$1,0)</f>
        <v>NANCY_D</v>
      </c>
      <c r="BF24" s="13" t="str">
        <f>VLOOKUP($G24,'Visu totale'!$D$3:$DT$129,BF$1,0)</f>
        <v>NANCY_D</v>
      </c>
      <c r="BG24" s="13" t="str">
        <f>VLOOKUP($G24,'Visu totale'!$D$3:$DT$129,BG$1,0)</f>
        <v>NANCY_D</v>
      </c>
      <c r="BH24" s="13" t="str">
        <f>VLOOKUP($G24,'Visu totale'!$D$3:$DT$129,BH$1,0)</f>
        <v>NANCY_D</v>
      </c>
      <c r="BI24" s="13">
        <f>VLOOKUP($G24,'Visu totale'!$D$3:$DT$129,BI$1,0)</f>
        <v>18</v>
      </c>
      <c r="BJ24" s="13">
        <f>VLOOKUP($G24,'Visu totale'!$D$3:$DT$129,BJ$1,0)</f>
        <v>18</v>
      </c>
      <c r="BK24" s="13" t="str">
        <f>VLOOKUP($G24,'Visu totale'!$D$3:$DT$129,BK$1,0)</f>
        <v>NANCY_D</v>
      </c>
      <c r="BL24" s="13" t="str">
        <f>VLOOKUP($G24,'Visu totale'!$D$3:$DT$129,BL$1,0)</f>
        <v>NANCY_D</v>
      </c>
      <c r="BM24" s="13" t="str">
        <f>VLOOKUP($G24,'Visu totale'!$D$3:$DT$129,BM$1,0)</f>
        <v>NANCY_D</v>
      </c>
      <c r="BN24" s="15" t="str">
        <f>VLOOKUP($G24,'Visu totale'!$D$3:$DT$129,BN$1,0)</f>
        <v>NANCY_D</v>
      </c>
      <c r="BO24" s="14">
        <f>VLOOKUP($G24,'Visu totale'!$D$3:$DT$129,BO$1,0)</f>
        <v>0</v>
      </c>
      <c r="BP24" s="13">
        <f>VLOOKUP($G24,'Visu totale'!$D$3:$DT$129,BP$1,0)</f>
        <v>0</v>
      </c>
      <c r="BQ24" s="13">
        <f>VLOOKUP($G24,'Visu totale'!$D$3:$DT$129,BQ$1,0)</f>
        <v>0</v>
      </c>
      <c r="BR24" s="13">
        <f>VLOOKUP($G24,'Visu totale'!$D$3:$DT$129,BR$1,0)</f>
        <v>0</v>
      </c>
      <c r="BS24" s="13">
        <f>VLOOKUP($G24,'Visu totale'!$D$3:$DT$129,BS$1,0)</f>
        <v>0</v>
      </c>
      <c r="BT24" s="13">
        <f>VLOOKUP($G24,'Visu totale'!$D$3:$DT$129,BT$1,0)</f>
        <v>0</v>
      </c>
      <c r="BU24" s="13">
        <f>VLOOKUP($G24,'Visu totale'!$D$3:$DT$129,BU$1,0)</f>
        <v>0</v>
      </c>
      <c r="BV24" s="13">
        <f>VLOOKUP($G24,'Visu totale'!$D$3:$DT$129,BV$1,0)</f>
        <v>0</v>
      </c>
      <c r="BW24" s="13">
        <f>VLOOKUP($G24,'Visu totale'!$D$3:$DT$129,BW$1,0)</f>
        <v>0</v>
      </c>
      <c r="BX24" s="13">
        <f>VLOOKUP($G24,'Visu totale'!$D$3:$DT$129,BX$1,0)</f>
        <v>0</v>
      </c>
      <c r="BY24" s="13">
        <f>VLOOKUP($G24,'Visu totale'!$D$3:$DT$129,BY$1,0)</f>
        <v>0</v>
      </c>
      <c r="BZ24" s="15">
        <f>VLOOKUP($G24,'Visu totale'!$D$3:$DT$129,BZ$1,0)</f>
        <v>0</v>
      </c>
      <c r="CA24" s="14">
        <f>VLOOKUP($G24,'Visu totale'!$D$3:$DT$129,CA$1,0)</f>
        <v>0</v>
      </c>
      <c r="CB24" s="13">
        <f>VLOOKUP($G24,'Visu totale'!$D$3:$DT$129,CB$1,0)</f>
        <v>0</v>
      </c>
      <c r="CC24" s="13">
        <f>VLOOKUP($G24,'Visu totale'!$D$3:$DT$129,CC$1,0)</f>
        <v>0</v>
      </c>
      <c r="CD24" s="13" t="str">
        <f>VLOOKUP($G24,'Visu totale'!$D$3:$DT$129,CD$1,0)</f>
        <v>V15</v>
      </c>
      <c r="CE24" s="13" t="str">
        <f>VLOOKUP($G24,'Visu totale'!$D$3:$DT$129,CE$1,0)</f>
        <v>V15</v>
      </c>
      <c r="CF24" s="13" t="str">
        <f>VLOOKUP($G24,'Visu totale'!$D$3:$DT$129,CF$1,0)</f>
        <v>V15</v>
      </c>
      <c r="CG24" s="13" t="str">
        <f>VLOOKUP($G24,'Visu totale'!$D$3:$DT$129,CG$1,0)</f>
        <v>V15</v>
      </c>
      <c r="CH24" s="13" t="str">
        <f>VLOOKUP($G24,'Visu totale'!$D$3:$DT$129,CH$1,0)</f>
        <v>V15</v>
      </c>
      <c r="CI24" s="13" t="str">
        <f>VLOOKUP($G24,'Visu totale'!$D$3:$DT$129,CI$1,0)</f>
        <v>V15</v>
      </c>
      <c r="CJ24" s="13">
        <f>VLOOKUP($G24,'Visu totale'!$D$3:$DT$129,CJ$1,0)</f>
        <v>18</v>
      </c>
      <c r="CK24" s="13">
        <f>VLOOKUP($G24,'Visu totale'!$D$3:$DT$129,CK$1,0)</f>
        <v>18</v>
      </c>
      <c r="CL24" s="15" t="str">
        <f>VLOOKUP($G24,'Visu totale'!$D$3:$DT$129,CL$1,0)</f>
        <v>NANCY_D</v>
      </c>
      <c r="CM24" s="14" t="str">
        <f>VLOOKUP($G24,'Visu totale'!$D$3:$DT$129,CM$1,0)</f>
        <v>NANCY_D</v>
      </c>
      <c r="CN24" s="13" t="str">
        <f>VLOOKUP($G24,'Visu totale'!$D$3:$DT$129,CN$1,0)</f>
        <v>NANCY_D</v>
      </c>
      <c r="CO24" s="13" t="str">
        <f>VLOOKUP($G24,'Visu totale'!$D$3:$DT$129,CO$1,0)</f>
        <v>NANCY_D</v>
      </c>
      <c r="CP24" s="13">
        <f>VLOOKUP($G24,'Visu totale'!$D$3:$DT$129,CP$1,0)</f>
        <v>18</v>
      </c>
      <c r="CQ24" s="13">
        <f>VLOOKUP($G24,'Visu totale'!$D$3:$DT$129,CQ$1,0)</f>
        <v>18</v>
      </c>
      <c r="CR24" s="13" t="str">
        <f>VLOOKUP($G24,'Visu totale'!$D$3:$DT$129,CR$1,0)</f>
        <v>NANCY_D</v>
      </c>
      <c r="CS24" s="13" t="str">
        <f>VLOOKUP($G24,'Visu totale'!$D$3:$DT$129,CS$1,0)</f>
        <v>NANCY_D</v>
      </c>
      <c r="CT24" s="13" t="str">
        <f>VLOOKUP($G24,'Visu totale'!$D$3:$DT$129,CT$1,0)</f>
        <v>NANCY_D</v>
      </c>
      <c r="CU24" s="13" t="str">
        <f>VLOOKUP($G24,'Visu totale'!$D$3:$DT$129,CU$1,0)</f>
        <v>NANCY_D</v>
      </c>
      <c r="CV24" s="13">
        <f>VLOOKUP($G24,'Visu totale'!$D$3:$DT$129,CV$1,0)</f>
        <v>18</v>
      </c>
      <c r="CW24" s="13">
        <f>VLOOKUP($G24,'Visu totale'!$D$3:$DT$129,CW$1,0)</f>
        <v>18</v>
      </c>
      <c r="CX24" s="15">
        <f>VLOOKUP($G24,'Visu totale'!$D$3:$DT$129,CX$1,0)</f>
        <v>18</v>
      </c>
      <c r="CY24" s="14">
        <f>VLOOKUP($G24,'Visu totale'!$D$3:$DT$129,CY$1,0)</f>
        <v>0</v>
      </c>
      <c r="CZ24" s="13">
        <f>VLOOKUP($G24,'Visu totale'!$D$3:$DT$129,CZ$1,0)</f>
        <v>0</v>
      </c>
      <c r="DA24" s="13">
        <f>VLOOKUP($G24,'Visu totale'!$D$3:$DT$129,DA$1,0)</f>
        <v>0</v>
      </c>
      <c r="DB24" s="13">
        <f>VLOOKUP($G24,'Visu totale'!$D$3:$DT$129,DB$1,0)</f>
        <v>0</v>
      </c>
      <c r="DC24" s="13">
        <f>VLOOKUP($G24,'Visu totale'!$D$3:$DT$129,DC$1,0)</f>
        <v>0</v>
      </c>
      <c r="DD24" s="13">
        <f>VLOOKUP($G24,'Visu totale'!$D$3:$DT$129,DD$1,0)</f>
        <v>0</v>
      </c>
      <c r="DE24" s="13">
        <f>VLOOKUP($G24,'Visu totale'!$D$3:$DT$129,DE$1,0)</f>
        <v>0</v>
      </c>
      <c r="DF24" s="13">
        <f>VLOOKUP($G24,'Visu totale'!$D$3:$DT$129,DF$1,0)</f>
        <v>0</v>
      </c>
      <c r="DG24" s="13">
        <f>VLOOKUP($G24,'Visu totale'!$D$3:$DT$129,DG$1,0)</f>
        <v>0</v>
      </c>
      <c r="DH24" s="13">
        <f>VLOOKUP($G24,'Visu totale'!$D$3:$DT$129,DH$1,0)</f>
        <v>0</v>
      </c>
      <c r="DI24" s="13">
        <f>VLOOKUP($G24,'Visu totale'!$D$3:$DT$129,DI$1,0)</f>
        <v>0</v>
      </c>
      <c r="DJ24" s="15">
        <f>VLOOKUP($G24,'Visu totale'!$D$3:$DT$129,DJ$1,0)</f>
        <v>0</v>
      </c>
      <c r="DK24" s="14">
        <f>VLOOKUP($G24,'Visu totale'!$D$3:$DT$129,DK$1,0)</f>
        <v>0</v>
      </c>
      <c r="DL24" s="13">
        <f>VLOOKUP($G24,'Visu totale'!$D$3:$DT$129,DL$1,0)</f>
        <v>0</v>
      </c>
      <c r="DM24" s="13">
        <f>VLOOKUP($G24,'Visu totale'!$D$3:$DT$129,DM$1,0)</f>
        <v>0</v>
      </c>
      <c r="DN24" s="13">
        <f>VLOOKUP($G24,'Visu totale'!$D$3:$DT$129,DN$1,0)</f>
        <v>0</v>
      </c>
      <c r="DO24" s="13">
        <f>VLOOKUP($G24,'Visu totale'!$D$3:$DT$129,DO$1,0)</f>
        <v>0</v>
      </c>
      <c r="DP24" s="13">
        <f>VLOOKUP($G24,'Visu totale'!$D$3:$DT$129,DP$1,0)</f>
        <v>0</v>
      </c>
      <c r="DQ24" s="13">
        <f>VLOOKUP($G24,'Visu totale'!$D$3:$DT$129,DQ$1,0)</f>
        <v>0</v>
      </c>
      <c r="DR24" s="13">
        <f>VLOOKUP($G24,'Visu totale'!$D$3:$DT$129,DR$1,0)</f>
        <v>0</v>
      </c>
      <c r="DS24" s="13">
        <f>VLOOKUP($G24,'Visu totale'!$D$3:$DT$129,DS$1,0)</f>
        <v>0</v>
      </c>
      <c r="DT24" s="13">
        <f>VLOOKUP($G24,'Visu totale'!$D$3:$DT$129,DT$1,0)</f>
        <v>0</v>
      </c>
      <c r="DU24" s="13">
        <f>VLOOKUP($G24,'Visu totale'!$D$3:$DT$129,DU$1,0)</f>
        <v>0</v>
      </c>
      <c r="DV24" s="15">
        <f>VLOOKUP($G24,'Visu totale'!$D$3:$DT$129,DV$1,0)</f>
        <v>0</v>
      </c>
    </row>
    <row r="25" spans="1:126" x14ac:dyDescent="0.25">
      <c r="A25" s="13"/>
      <c r="B25" s="13"/>
      <c r="C25" s="13"/>
      <c r="D25" s="16"/>
      <c r="E25" s="14"/>
      <c r="F25" s="13"/>
      <c r="G25" s="17" t="s">
        <v>27</v>
      </c>
      <c r="H25" s="13">
        <f>VLOOKUP($G25,'Visu totale'!$D$3:$DT$129,H$1,0)</f>
        <v>18</v>
      </c>
      <c r="I25" s="13" t="str">
        <f>VLOOKUP($G25,'Visu totale'!$D$3:$DT$129,I$1,0)</f>
        <v>NANCY_D</v>
      </c>
      <c r="J25" s="13" t="str">
        <f>VLOOKUP($G25,'Visu totale'!$D$3:$DT$129,J$1,0)</f>
        <v>NANCY_D</v>
      </c>
      <c r="K25" s="13" t="str">
        <f>VLOOKUP($G25,'Visu totale'!$D$3:$DT$129,K$1,0)</f>
        <v>NANCY_D</v>
      </c>
      <c r="L25" s="13" t="str">
        <f>VLOOKUP($G25,'Visu totale'!$D$3:$DT$129,L$1,0)</f>
        <v>NANCY_D</v>
      </c>
      <c r="M25" s="13">
        <f>VLOOKUP($G25,'Visu totale'!$D$3:$DT$129,M$1,0)</f>
        <v>18</v>
      </c>
      <c r="N25" s="13">
        <f>VLOOKUP($G25,'Visu totale'!$D$3:$DT$129,N$1,0)</f>
        <v>18</v>
      </c>
      <c r="O25" s="13" t="str">
        <f>VLOOKUP($G25,'Visu totale'!$D$3:$DT$129,O$1,0)</f>
        <v>NANCY_D</v>
      </c>
      <c r="P25" s="13" t="str">
        <f>VLOOKUP($G25,'Visu totale'!$D$3:$DT$129,P$1,0)</f>
        <v>NANCY_D</v>
      </c>
      <c r="Q25" s="13" t="str">
        <f>VLOOKUP($G25,'Visu totale'!$D$3:$DT$129,Q$1,0)</f>
        <v>NANCY_D</v>
      </c>
      <c r="R25" s="15" t="str">
        <f>VLOOKUP($G25,'Visu totale'!$D$3:$DT$129,R$1,0)</f>
        <v>NANCY_D</v>
      </c>
      <c r="S25" s="14">
        <f>VLOOKUP($G25,'Visu totale'!$D$3:$DT$129,S$1,0)</f>
        <v>18</v>
      </c>
      <c r="T25" s="13">
        <f>VLOOKUP($G25,'Visu totale'!$D$3:$DT$129,T$1,0)</f>
        <v>18</v>
      </c>
      <c r="U25" s="13" t="str">
        <f>VLOOKUP($G25,'Visu totale'!$D$3:$DT$129,U$1,0)</f>
        <v>NANCY_D</v>
      </c>
      <c r="V25" s="13" t="str">
        <f>VLOOKUP($G25,'Visu totale'!$D$3:$DT$129,V$1,0)</f>
        <v>NANCY_D</v>
      </c>
      <c r="W25" s="13" t="str">
        <f>VLOOKUP($G25,'Visu totale'!$D$3:$DT$129,W$1,0)</f>
        <v>NANCY_D</v>
      </c>
      <c r="X25" s="13" t="str">
        <f>VLOOKUP($G25,'Visu totale'!$D$3:$DT$129,X$1,0)</f>
        <v>NANCY_D</v>
      </c>
      <c r="Y25" s="13">
        <f>VLOOKUP($G25,'Visu totale'!$D$3:$DT$129,Y$1,0)</f>
        <v>18</v>
      </c>
      <c r="Z25" s="13">
        <f>VLOOKUP($G25,'Visu totale'!$D$3:$DT$129,Z$1,0)</f>
        <v>18</v>
      </c>
      <c r="AA25" s="13" t="str">
        <f>VLOOKUP($G25,'Visu totale'!$D$3:$DT$129,AA$1,0)</f>
        <v>NANCY_D</v>
      </c>
      <c r="AB25" s="13" t="str">
        <f>VLOOKUP($G25,'Visu totale'!$D$3:$DT$129,AB$1,0)</f>
        <v>NANCY_D</v>
      </c>
      <c r="AC25" s="13" t="str">
        <f>VLOOKUP($G25,'Visu totale'!$D$3:$DT$129,AC$1,0)</f>
        <v>NANCY_D</v>
      </c>
      <c r="AD25" s="15" t="str">
        <f>VLOOKUP($G25,'Visu totale'!$D$3:$DT$129,AD$1,0)</f>
        <v>NANCY_D</v>
      </c>
      <c r="AE25" s="14" t="str">
        <f>VLOOKUP($G25,'Visu totale'!$D$3:$DT$129,AE$1,0)</f>
        <v>V10</v>
      </c>
      <c r="AF25" s="13" t="str">
        <f>VLOOKUP($G25,'Visu totale'!$D$3:$DT$129,AF$1,0)</f>
        <v>V10</v>
      </c>
      <c r="AG25" s="13" t="str">
        <f>VLOOKUP($G25,'Visu totale'!$D$3:$DT$129,AG$1,0)</f>
        <v>V10</v>
      </c>
      <c r="AH25" s="13" t="str">
        <f>VLOOKUP($G25,'Visu totale'!$D$3:$DT$129,AH$1,0)</f>
        <v>V10</v>
      </c>
      <c r="AI25" s="13" t="str">
        <f>VLOOKUP($G25,'Visu totale'!$D$3:$DT$129,AI$1,0)</f>
        <v>V10</v>
      </c>
      <c r="AJ25" s="13" t="str">
        <f>VLOOKUP($G25,'Visu totale'!$D$3:$DT$129,AJ$1,0)</f>
        <v>V10</v>
      </c>
      <c r="AK25" s="13">
        <f>VLOOKUP($G25,'Visu totale'!$D$3:$DT$129,AK$1,0)</f>
        <v>18</v>
      </c>
      <c r="AL25" s="13">
        <f>VLOOKUP($G25,'Visu totale'!$D$3:$DT$129,AL$1,0)</f>
        <v>18</v>
      </c>
      <c r="AM25" s="13" t="str">
        <f>VLOOKUP($G25,'Visu totale'!$D$3:$DT$129,AM$1,0)</f>
        <v>NANCY_D</v>
      </c>
      <c r="AN25" s="13" t="str">
        <f>VLOOKUP($G25,'Visu totale'!$D$3:$DT$129,AN$1,0)</f>
        <v>NANCY_D</v>
      </c>
      <c r="AO25" s="13" t="str">
        <f>VLOOKUP($G25,'Visu totale'!$D$3:$DT$129,AO$1,0)</f>
        <v>NANCY_D</v>
      </c>
      <c r="AP25" s="15" t="str">
        <f>VLOOKUP($G25,'Visu totale'!$D$3:$DT$129,AP$1,0)</f>
        <v>NANCY_D</v>
      </c>
      <c r="AQ25" s="14">
        <f>VLOOKUP($G25,'Visu totale'!$D$3:$DT$129,AQ$1,0)</f>
        <v>18</v>
      </c>
      <c r="AR25" s="13">
        <f>VLOOKUP($G25,'Visu totale'!$D$3:$DT$129,AR$1,0)</f>
        <v>18</v>
      </c>
      <c r="AS25" s="13" t="str">
        <f>VLOOKUP($G25,'Visu totale'!$D$3:$DT$129,AS$1,0)</f>
        <v>NANCY_D</v>
      </c>
      <c r="AT25" s="13" t="str">
        <f>VLOOKUP($G25,'Visu totale'!$D$3:$DT$129,AT$1,0)</f>
        <v>NANCY_D</v>
      </c>
      <c r="AU25" s="13" t="str">
        <f>VLOOKUP($G25,'Visu totale'!$D$3:$DT$129,AU$1,0)</f>
        <v>NANCY_D</v>
      </c>
      <c r="AV25" s="13" t="str">
        <f>VLOOKUP($G25,'Visu totale'!$D$3:$DT$129,AV$1,0)</f>
        <v>NANCY_D</v>
      </c>
      <c r="AW25" s="13">
        <f>VLOOKUP($G25,'Visu totale'!$D$3:$DT$129,AW$1,0)</f>
        <v>18</v>
      </c>
      <c r="AX25" s="13">
        <f>VLOOKUP($G25,'Visu totale'!$D$3:$DT$129,AX$1,0)</f>
        <v>18</v>
      </c>
      <c r="AY25" s="13" t="str">
        <f>VLOOKUP($G25,'Visu totale'!$D$3:$DT$129,AY$1,0)</f>
        <v>NANCY_D</v>
      </c>
      <c r="AZ25" s="13" t="str">
        <f>VLOOKUP($G25,'Visu totale'!$D$3:$DT$129,AZ$1,0)</f>
        <v>NANCY_D</v>
      </c>
      <c r="BA25" s="13" t="str">
        <f>VLOOKUP($G25,'Visu totale'!$D$3:$DT$129,BA$1,0)</f>
        <v>NANCY_D</v>
      </c>
      <c r="BB25" s="15" t="str">
        <f>VLOOKUP($G25,'Visu totale'!$D$3:$DT$129,BB$1,0)</f>
        <v>NANCY_D</v>
      </c>
      <c r="BC25" s="14">
        <f>VLOOKUP($G25,'Visu totale'!$D$3:$DT$129,BC$1,0)</f>
        <v>18</v>
      </c>
      <c r="BD25" s="13">
        <f>VLOOKUP($G25,'Visu totale'!$D$3:$DT$129,BD$1,0)</f>
        <v>18</v>
      </c>
      <c r="BE25" s="13" t="str">
        <f>VLOOKUP($G25,'Visu totale'!$D$3:$DT$129,BE$1,0)</f>
        <v>NANCY_D</v>
      </c>
      <c r="BF25" s="13" t="str">
        <f>VLOOKUP($G25,'Visu totale'!$D$3:$DT$129,BF$1,0)</f>
        <v>NANCY_D</v>
      </c>
      <c r="BG25" s="13" t="str">
        <f>VLOOKUP($G25,'Visu totale'!$D$3:$DT$129,BG$1,0)</f>
        <v>NANCY_D</v>
      </c>
      <c r="BH25" s="13" t="str">
        <f>VLOOKUP($G25,'Visu totale'!$D$3:$DT$129,BH$1,0)</f>
        <v>NANCY_D</v>
      </c>
      <c r="BI25" s="13">
        <f>VLOOKUP($G25,'Visu totale'!$D$3:$DT$129,BI$1,0)</f>
        <v>18</v>
      </c>
      <c r="BJ25" s="13">
        <f>VLOOKUP($G25,'Visu totale'!$D$3:$DT$129,BJ$1,0)</f>
        <v>18</v>
      </c>
      <c r="BK25" s="13" t="str">
        <f>VLOOKUP($G25,'Visu totale'!$D$3:$DT$129,BK$1,0)</f>
        <v>NANCY_D</v>
      </c>
      <c r="BL25" s="13" t="str">
        <f>VLOOKUP($G25,'Visu totale'!$D$3:$DT$129,BL$1,0)</f>
        <v>NANCY_D</v>
      </c>
      <c r="BM25" s="13" t="str">
        <f>VLOOKUP($G25,'Visu totale'!$D$3:$DT$129,BM$1,0)</f>
        <v>NANCY_D</v>
      </c>
      <c r="BN25" s="15" t="str">
        <f>VLOOKUP($G25,'Visu totale'!$D$3:$DT$129,BN$1,0)</f>
        <v>NANCY_D</v>
      </c>
      <c r="BO25" s="14">
        <f>VLOOKUP($G25,'Visu totale'!$D$3:$DT$129,BO$1,0)</f>
        <v>0</v>
      </c>
      <c r="BP25" s="13">
        <f>VLOOKUP($G25,'Visu totale'!$D$3:$DT$129,BP$1,0)</f>
        <v>0</v>
      </c>
      <c r="BQ25" s="13" t="str">
        <f>VLOOKUP($G25,'Visu totale'!$D$3:$DT$129,BQ$1,0)</f>
        <v>V20</v>
      </c>
      <c r="BR25" s="13" t="str">
        <f>VLOOKUP($G25,'Visu totale'!$D$3:$DT$129,BR$1,0)</f>
        <v>V20</v>
      </c>
      <c r="BS25" s="13" t="str">
        <f>VLOOKUP($G25,'Visu totale'!$D$3:$DT$129,BS$1,0)</f>
        <v>V20</v>
      </c>
      <c r="BT25" s="13" t="str">
        <f>VLOOKUP($G25,'Visu totale'!$D$3:$DT$129,BT$1,0)</f>
        <v>V20</v>
      </c>
      <c r="BU25" s="13" t="str">
        <f>VLOOKUP($G25,'Visu totale'!$D$3:$DT$129,BU$1,0)</f>
        <v>V20</v>
      </c>
      <c r="BV25" s="13" t="str">
        <f>VLOOKUP($G25,'Visu totale'!$D$3:$DT$129,BV$1,0)</f>
        <v>V20</v>
      </c>
      <c r="BW25" s="13">
        <f>VLOOKUP($G25,'Visu totale'!$D$3:$DT$129,BW$1,0)</f>
        <v>18</v>
      </c>
      <c r="BX25" s="13">
        <f>VLOOKUP($G25,'Visu totale'!$D$3:$DT$129,BX$1,0)</f>
        <v>18</v>
      </c>
      <c r="BY25" s="13" t="str">
        <f>VLOOKUP($G25,'Visu totale'!$D$3:$DT$129,BY$1,0)</f>
        <v>NANCY_D</v>
      </c>
      <c r="BZ25" s="15" t="str">
        <f>VLOOKUP($G25,'Visu totale'!$D$3:$DT$129,BZ$1,0)</f>
        <v>NANCY_D</v>
      </c>
      <c r="CA25" s="14" t="str">
        <f>VLOOKUP($G25,'Visu totale'!$D$3:$DT$129,CA$1,0)</f>
        <v>NANCY_D</v>
      </c>
      <c r="CB25" s="13" t="str">
        <f>VLOOKUP($G25,'Visu totale'!$D$3:$DT$129,CB$1,0)</f>
        <v>NANCY_D</v>
      </c>
      <c r="CC25" s="13">
        <f>VLOOKUP($G25,'Visu totale'!$D$3:$DT$129,CC$1,0)</f>
        <v>18</v>
      </c>
      <c r="CD25" s="13">
        <f>VLOOKUP($G25,'Visu totale'!$D$3:$DT$129,CD$1,0)</f>
        <v>18</v>
      </c>
      <c r="CE25" s="13" t="str">
        <f>VLOOKUP($G25,'Visu totale'!$D$3:$DT$129,CE$1,0)</f>
        <v>NANCY_D</v>
      </c>
      <c r="CF25" s="13" t="str">
        <f>VLOOKUP($G25,'Visu totale'!$D$3:$DT$129,CF$1,0)</f>
        <v>NANCY_D</v>
      </c>
      <c r="CG25" s="13" t="str">
        <f>VLOOKUP($G25,'Visu totale'!$D$3:$DT$129,CG$1,0)</f>
        <v>NANCY_D</v>
      </c>
      <c r="CH25" s="13" t="str">
        <f>VLOOKUP($G25,'Visu totale'!$D$3:$DT$129,CH$1,0)</f>
        <v>NANCY_D</v>
      </c>
      <c r="CI25" s="13">
        <f>VLOOKUP($G25,'Visu totale'!$D$3:$DT$129,CI$1,0)</f>
        <v>18</v>
      </c>
      <c r="CJ25" s="13">
        <f>VLOOKUP($G25,'Visu totale'!$D$3:$DT$129,CJ$1,0)</f>
        <v>18</v>
      </c>
      <c r="CK25" s="13" t="str">
        <f>VLOOKUP($G25,'Visu totale'!$D$3:$DT$129,CK$1,0)</f>
        <v>NANCY_D</v>
      </c>
      <c r="CL25" s="15" t="str">
        <f>VLOOKUP($G25,'Visu totale'!$D$3:$DT$129,CL$1,0)</f>
        <v>NANCY_D</v>
      </c>
      <c r="CM25" s="14" t="str">
        <f>VLOOKUP($G25,'Visu totale'!$D$3:$DT$129,CM$1,0)</f>
        <v>NANCY_D</v>
      </c>
      <c r="CN25" s="13" t="str">
        <f>VLOOKUP($G25,'Visu totale'!$D$3:$DT$129,CN$1,0)</f>
        <v>NANCY_D</v>
      </c>
      <c r="CO25" s="13">
        <f>VLOOKUP($G25,'Visu totale'!$D$3:$DT$129,CO$1,0)</f>
        <v>18</v>
      </c>
      <c r="CP25" s="13">
        <f>VLOOKUP($G25,'Visu totale'!$D$3:$DT$129,CP$1,0)</f>
        <v>18</v>
      </c>
      <c r="CQ25" s="13" t="str">
        <f>VLOOKUP($G25,'Visu totale'!$D$3:$DT$129,CQ$1,0)</f>
        <v>NANCY_D</v>
      </c>
      <c r="CR25" s="13" t="str">
        <f>VLOOKUP($G25,'Visu totale'!$D$3:$DT$129,CR$1,0)</f>
        <v>NANCY_D</v>
      </c>
      <c r="CS25" s="13" t="str">
        <f>VLOOKUP($G25,'Visu totale'!$D$3:$DT$129,CS$1,0)</f>
        <v>NANCY_D</v>
      </c>
      <c r="CT25" s="13" t="str">
        <f>VLOOKUP($G25,'Visu totale'!$D$3:$DT$129,CT$1,0)</f>
        <v>NANCY_D</v>
      </c>
      <c r="CU25" s="13">
        <f>VLOOKUP($G25,'Visu totale'!$D$3:$DT$129,CU$1,0)</f>
        <v>18</v>
      </c>
      <c r="CV25" s="13">
        <f>VLOOKUP($G25,'Visu totale'!$D$3:$DT$129,CV$1,0)</f>
        <v>18</v>
      </c>
      <c r="CW25" s="13">
        <f>VLOOKUP($G25,'Visu totale'!$D$3:$DT$129,CW$1,0)</f>
        <v>18</v>
      </c>
      <c r="CX25" s="15">
        <f>VLOOKUP($G25,'Visu totale'!$D$3:$DT$129,CX$1,0)</f>
        <v>18</v>
      </c>
      <c r="CY25" s="14">
        <f>VLOOKUP($G25,'Visu totale'!$D$3:$DT$129,CY$1,0)</f>
        <v>0</v>
      </c>
      <c r="CZ25" s="13">
        <f>VLOOKUP($G25,'Visu totale'!$D$3:$DT$129,CZ$1,0)</f>
        <v>0</v>
      </c>
      <c r="DA25" s="13">
        <f>VLOOKUP($G25,'Visu totale'!$D$3:$DT$129,DA$1,0)</f>
        <v>0</v>
      </c>
      <c r="DB25" s="13">
        <f>VLOOKUP($G25,'Visu totale'!$D$3:$DT$129,DB$1,0)</f>
        <v>0</v>
      </c>
      <c r="DC25" s="13">
        <f>VLOOKUP($G25,'Visu totale'!$D$3:$DT$129,DC$1,0)</f>
        <v>0</v>
      </c>
      <c r="DD25" s="13">
        <f>VLOOKUP($G25,'Visu totale'!$D$3:$DT$129,DD$1,0)</f>
        <v>0</v>
      </c>
      <c r="DE25" s="13">
        <f>VLOOKUP($G25,'Visu totale'!$D$3:$DT$129,DE$1,0)</f>
        <v>0</v>
      </c>
      <c r="DF25" s="13">
        <f>VLOOKUP($G25,'Visu totale'!$D$3:$DT$129,DF$1,0)</f>
        <v>0</v>
      </c>
      <c r="DG25" s="13">
        <f>VLOOKUP($G25,'Visu totale'!$D$3:$DT$129,DG$1,0)</f>
        <v>0</v>
      </c>
      <c r="DH25" s="13">
        <f>VLOOKUP($G25,'Visu totale'!$D$3:$DT$129,DH$1,0)</f>
        <v>0</v>
      </c>
      <c r="DI25" s="13">
        <f>VLOOKUP($G25,'Visu totale'!$D$3:$DT$129,DI$1,0)</f>
        <v>0</v>
      </c>
      <c r="DJ25" s="15">
        <f>VLOOKUP($G25,'Visu totale'!$D$3:$DT$129,DJ$1,0)</f>
        <v>0</v>
      </c>
      <c r="DK25" s="14">
        <f>VLOOKUP($G25,'Visu totale'!$D$3:$DT$129,DK$1,0)</f>
        <v>0</v>
      </c>
      <c r="DL25" s="13">
        <f>VLOOKUP($G25,'Visu totale'!$D$3:$DT$129,DL$1,0)</f>
        <v>0</v>
      </c>
      <c r="DM25" s="13">
        <f>VLOOKUP($G25,'Visu totale'!$D$3:$DT$129,DM$1,0)</f>
        <v>0</v>
      </c>
      <c r="DN25" s="13">
        <f>VLOOKUP($G25,'Visu totale'!$D$3:$DT$129,DN$1,0)</f>
        <v>0</v>
      </c>
      <c r="DO25" s="13">
        <f>VLOOKUP($G25,'Visu totale'!$D$3:$DT$129,DO$1,0)</f>
        <v>0</v>
      </c>
      <c r="DP25" s="13">
        <f>VLOOKUP($G25,'Visu totale'!$D$3:$DT$129,DP$1,0)</f>
        <v>0</v>
      </c>
      <c r="DQ25" s="13">
        <f>VLOOKUP($G25,'Visu totale'!$D$3:$DT$129,DQ$1,0)</f>
        <v>0</v>
      </c>
      <c r="DR25" s="13">
        <f>VLOOKUP($G25,'Visu totale'!$D$3:$DT$129,DR$1,0)</f>
        <v>0</v>
      </c>
      <c r="DS25" s="13">
        <f>VLOOKUP($G25,'Visu totale'!$D$3:$DT$129,DS$1,0)</f>
        <v>0</v>
      </c>
      <c r="DT25" s="13">
        <f>VLOOKUP($G25,'Visu totale'!$D$3:$DT$129,DT$1,0)</f>
        <v>0</v>
      </c>
      <c r="DU25" s="13">
        <f>VLOOKUP($G25,'Visu totale'!$D$3:$DT$129,DU$1,0)</f>
        <v>0</v>
      </c>
      <c r="DV25" s="15">
        <f>VLOOKUP($G25,'Visu totale'!$D$3:$DT$129,DV$1,0)</f>
        <v>0</v>
      </c>
    </row>
    <row r="26" spans="1:126" x14ac:dyDescent="0.25">
      <c r="A26" s="13"/>
      <c r="B26" s="13"/>
      <c r="C26" s="13"/>
      <c r="D26" s="16"/>
      <c r="E26" s="14"/>
      <c r="F26" s="13"/>
      <c r="G26" s="17" t="s">
        <v>28</v>
      </c>
      <c r="H26" s="13" t="str">
        <f>VLOOKUP($G26,'Visu totale'!$D$3:$DT$129,H$1,0)</f>
        <v>V10</v>
      </c>
      <c r="I26" s="13" t="str">
        <f>VLOOKUP($G26,'Visu totale'!$D$3:$DT$129,I$1,0)</f>
        <v>V10</v>
      </c>
      <c r="J26" s="13" t="str">
        <f>VLOOKUP($G26,'Visu totale'!$D$3:$DT$129,J$1,0)</f>
        <v>V10</v>
      </c>
      <c r="K26" s="13" t="str">
        <f>VLOOKUP($G26,'Visu totale'!$D$3:$DT$129,K$1,0)</f>
        <v>V10</v>
      </c>
      <c r="L26" s="13" t="str">
        <f>VLOOKUP($G26,'Visu totale'!$D$3:$DT$129,L$1,0)</f>
        <v>V10</v>
      </c>
      <c r="M26" s="13" t="str">
        <f>VLOOKUP($G26,'Visu totale'!$D$3:$DT$129,M$1,0)</f>
        <v>V10</v>
      </c>
      <c r="N26" s="13" t="str">
        <f>VLOOKUP($G26,'Visu totale'!$D$3:$DT$129,N$1,0)</f>
        <v>V10</v>
      </c>
      <c r="O26" s="13" t="str">
        <f>VLOOKUP($G26,'Visu totale'!$D$3:$DT$129,O$1,0)</f>
        <v>V10</v>
      </c>
      <c r="P26" s="13" t="str">
        <f>VLOOKUP($G26,'Visu totale'!$D$3:$DT$129,P$1,0)</f>
        <v>V10</v>
      </c>
      <c r="Q26" s="13" t="str">
        <f>VLOOKUP($G26,'Visu totale'!$D$3:$DT$129,Q$1,0)</f>
        <v>V10</v>
      </c>
      <c r="R26" s="15" t="str">
        <f>VLOOKUP($G26,'Visu totale'!$D$3:$DT$129,R$1,0)</f>
        <v>V10</v>
      </c>
      <c r="S26" s="14">
        <f>VLOOKUP($G26,'Visu totale'!$D$3:$DT$129,S$1,0)</f>
        <v>18</v>
      </c>
      <c r="T26" s="13">
        <f>VLOOKUP($G26,'Visu totale'!$D$3:$DT$129,T$1,0)</f>
        <v>18</v>
      </c>
      <c r="U26" s="13" t="str">
        <f>VLOOKUP($G26,'Visu totale'!$D$3:$DT$129,U$1,0)</f>
        <v>NANCY_D</v>
      </c>
      <c r="V26" s="13" t="str">
        <f>VLOOKUP($G26,'Visu totale'!$D$3:$DT$129,V$1,0)</f>
        <v>NANCY_D</v>
      </c>
      <c r="W26" s="13" t="str">
        <f>VLOOKUP($G26,'Visu totale'!$D$3:$DT$129,W$1,0)</f>
        <v>NANCY_D</v>
      </c>
      <c r="X26" s="13" t="str">
        <f>VLOOKUP($G26,'Visu totale'!$D$3:$DT$129,X$1,0)</f>
        <v>NANCY_D</v>
      </c>
      <c r="Y26" s="13">
        <f>VLOOKUP($G26,'Visu totale'!$D$3:$DT$129,Y$1,0)</f>
        <v>18</v>
      </c>
      <c r="Z26" s="13">
        <f>VLOOKUP($G26,'Visu totale'!$D$3:$DT$129,Z$1,0)</f>
        <v>18</v>
      </c>
      <c r="AA26" s="13" t="str">
        <f>VLOOKUP($G26,'Visu totale'!$D$3:$DT$129,AA$1,0)</f>
        <v>NANCY_D</v>
      </c>
      <c r="AB26" s="13" t="str">
        <f>VLOOKUP($G26,'Visu totale'!$D$3:$DT$129,AB$1,0)</f>
        <v>NANCY_D</v>
      </c>
      <c r="AC26" s="13" t="str">
        <f>VLOOKUP($G26,'Visu totale'!$D$3:$DT$129,AC$1,0)</f>
        <v>NANCY_D</v>
      </c>
      <c r="AD26" s="15" t="str">
        <f>VLOOKUP($G26,'Visu totale'!$D$3:$DT$129,AD$1,0)</f>
        <v>NANCY_D</v>
      </c>
      <c r="AE26" s="14">
        <f>VLOOKUP($G26,'Visu totale'!$D$3:$DT$129,AE$1,0)</f>
        <v>18</v>
      </c>
      <c r="AF26" s="13">
        <f>VLOOKUP($G26,'Visu totale'!$D$3:$DT$129,AF$1,0)</f>
        <v>18</v>
      </c>
      <c r="AG26" s="13" t="str">
        <f>VLOOKUP($G26,'Visu totale'!$D$3:$DT$129,AG$1,0)</f>
        <v>NANCY_D</v>
      </c>
      <c r="AH26" s="13" t="str">
        <f>VLOOKUP($G26,'Visu totale'!$D$3:$DT$129,AH$1,0)</f>
        <v>NANCY_D</v>
      </c>
      <c r="AI26" s="13" t="str">
        <f>VLOOKUP($G26,'Visu totale'!$D$3:$DT$129,AI$1,0)</f>
        <v>NANCY_D</v>
      </c>
      <c r="AJ26" s="13" t="str">
        <f>VLOOKUP($G26,'Visu totale'!$D$3:$DT$129,AJ$1,0)</f>
        <v>NANCY_D</v>
      </c>
      <c r="AK26" s="13">
        <f>VLOOKUP($G26,'Visu totale'!$D$3:$DT$129,AK$1,0)</f>
        <v>18</v>
      </c>
      <c r="AL26" s="13">
        <f>VLOOKUP($G26,'Visu totale'!$D$3:$DT$129,AL$1,0)</f>
        <v>18</v>
      </c>
      <c r="AM26" s="13" t="str">
        <f>VLOOKUP($G26,'Visu totale'!$D$3:$DT$129,AM$1,0)</f>
        <v>NANCY_D</v>
      </c>
      <c r="AN26" s="13" t="str">
        <f>VLOOKUP($G26,'Visu totale'!$D$3:$DT$129,AN$1,0)</f>
        <v>NANCY_D</v>
      </c>
      <c r="AO26" s="13" t="str">
        <f>VLOOKUP($G26,'Visu totale'!$D$3:$DT$129,AO$1,0)</f>
        <v>NANCY_D</v>
      </c>
      <c r="AP26" s="15" t="str">
        <f>VLOOKUP($G26,'Visu totale'!$D$3:$DT$129,AP$1,0)</f>
        <v>NANCY_D</v>
      </c>
      <c r="AQ26" s="14">
        <f>VLOOKUP($G26,'Visu totale'!$D$3:$DT$129,AQ$1,0)</f>
        <v>18</v>
      </c>
      <c r="AR26" s="13">
        <f>VLOOKUP($G26,'Visu totale'!$D$3:$DT$129,AR$1,0)</f>
        <v>18</v>
      </c>
      <c r="AS26" s="13" t="str">
        <f>VLOOKUP($G26,'Visu totale'!$D$3:$DT$129,AS$1,0)</f>
        <v>NANCY_D</v>
      </c>
      <c r="AT26" s="13" t="str">
        <f>VLOOKUP($G26,'Visu totale'!$D$3:$DT$129,AT$1,0)</f>
        <v>NANCY_D</v>
      </c>
      <c r="AU26" s="13" t="str">
        <f>VLOOKUP($G26,'Visu totale'!$D$3:$DT$129,AU$1,0)</f>
        <v>NANCY_D</v>
      </c>
      <c r="AV26" s="13" t="str">
        <f>VLOOKUP($G26,'Visu totale'!$D$3:$DT$129,AV$1,0)</f>
        <v>NANCY_D</v>
      </c>
      <c r="AW26" s="13">
        <f>VLOOKUP($G26,'Visu totale'!$D$3:$DT$129,AW$1,0)</f>
        <v>18</v>
      </c>
      <c r="AX26" s="13">
        <f>VLOOKUP($G26,'Visu totale'!$D$3:$DT$129,AX$1,0)</f>
        <v>18</v>
      </c>
      <c r="AY26" s="13" t="str">
        <f>VLOOKUP($G26,'Visu totale'!$D$3:$DT$129,AY$1,0)</f>
        <v>NANCY_D</v>
      </c>
      <c r="AZ26" s="13" t="str">
        <f>VLOOKUP($G26,'Visu totale'!$D$3:$DT$129,AZ$1,0)</f>
        <v>NANCY_D</v>
      </c>
      <c r="BA26" s="13" t="str">
        <f>VLOOKUP($G26,'Visu totale'!$D$3:$DT$129,BA$1,0)</f>
        <v>NANCY_D</v>
      </c>
      <c r="BB26" s="15" t="str">
        <f>VLOOKUP($G26,'Visu totale'!$D$3:$DT$129,BB$1,0)</f>
        <v>NANCY_D</v>
      </c>
      <c r="BC26" s="14">
        <f>VLOOKUP($G26,'Visu totale'!$D$3:$DT$129,BC$1,0)</f>
        <v>18</v>
      </c>
      <c r="BD26" s="13">
        <f>VLOOKUP($G26,'Visu totale'!$D$3:$DT$129,BD$1,0)</f>
        <v>18</v>
      </c>
      <c r="BE26" s="13" t="str">
        <f>VLOOKUP($G26,'Visu totale'!$D$3:$DT$129,BE$1,0)</f>
        <v>NANCY_D</v>
      </c>
      <c r="BF26" s="13" t="str">
        <f>VLOOKUP($G26,'Visu totale'!$D$3:$DT$129,BF$1,0)</f>
        <v>NANCY_D</v>
      </c>
      <c r="BG26" s="13" t="str">
        <f>VLOOKUP($G26,'Visu totale'!$D$3:$DT$129,BG$1,0)</f>
        <v>NANCY_D</v>
      </c>
      <c r="BH26" s="13" t="str">
        <f>VLOOKUP($G26,'Visu totale'!$D$3:$DT$129,BH$1,0)</f>
        <v>NANCY_D</v>
      </c>
      <c r="BI26" s="13">
        <f>VLOOKUP($G26,'Visu totale'!$D$3:$DT$129,BI$1,0)</f>
        <v>18</v>
      </c>
      <c r="BJ26" s="13">
        <f>VLOOKUP($G26,'Visu totale'!$D$3:$DT$129,BJ$1,0)</f>
        <v>18</v>
      </c>
      <c r="BK26" s="13" t="str">
        <f>VLOOKUP($G26,'Visu totale'!$D$3:$DT$129,BK$1,0)</f>
        <v>NANCY_D</v>
      </c>
      <c r="BL26" s="13" t="str">
        <f>VLOOKUP($G26,'Visu totale'!$D$3:$DT$129,BL$1,0)</f>
        <v>NANCY_D</v>
      </c>
      <c r="BM26" s="13" t="str">
        <f>VLOOKUP($G26,'Visu totale'!$D$3:$DT$129,BM$1,0)</f>
        <v>NANCY_D</v>
      </c>
      <c r="BN26" s="15" t="str">
        <f>VLOOKUP($G26,'Visu totale'!$D$3:$DT$129,BN$1,0)</f>
        <v>NANCY_D</v>
      </c>
      <c r="BO26" s="14" t="str">
        <f>VLOOKUP($G26,'Visu totale'!$D$3:$DT$129,BO$1,0)</f>
        <v>V5</v>
      </c>
      <c r="BP26" s="13" t="str">
        <f>VLOOKUP($G26,'Visu totale'!$D$3:$DT$129,BP$1,0)</f>
        <v>V5</v>
      </c>
      <c r="BQ26" s="13">
        <f>VLOOKUP($G26,'Visu totale'!$D$3:$DT$129,BQ$1,0)</f>
        <v>18</v>
      </c>
      <c r="BR26" s="13">
        <f>VLOOKUP($G26,'Visu totale'!$D$3:$DT$129,BR$1,0)</f>
        <v>18</v>
      </c>
      <c r="BS26" s="13" t="str">
        <f>VLOOKUP($G26,'Visu totale'!$D$3:$DT$129,BS$1,0)</f>
        <v>NANCY_D</v>
      </c>
      <c r="BT26" s="13" t="str">
        <f>VLOOKUP($G26,'Visu totale'!$D$3:$DT$129,BT$1,0)</f>
        <v>NANCY_D</v>
      </c>
      <c r="BU26" s="13" t="str">
        <f>VLOOKUP($G26,'Visu totale'!$D$3:$DT$129,BU$1,0)</f>
        <v>NANCY_D</v>
      </c>
      <c r="BV26" s="13" t="str">
        <f>VLOOKUP($G26,'Visu totale'!$D$3:$DT$129,BV$1,0)</f>
        <v>NANCY_D</v>
      </c>
      <c r="BW26" s="13">
        <f>VLOOKUP($G26,'Visu totale'!$D$3:$DT$129,BW$1,0)</f>
        <v>18</v>
      </c>
      <c r="BX26" s="13">
        <f>VLOOKUP($G26,'Visu totale'!$D$3:$DT$129,BX$1,0)</f>
        <v>18</v>
      </c>
      <c r="BY26" s="13" t="str">
        <f>VLOOKUP($G26,'Visu totale'!$D$3:$DT$129,BY$1,0)</f>
        <v>NANCY_D</v>
      </c>
      <c r="BZ26" s="15" t="str">
        <f>VLOOKUP($G26,'Visu totale'!$D$3:$DT$129,BZ$1,0)</f>
        <v>NANCY_D</v>
      </c>
      <c r="CA26" s="14" t="str">
        <f>VLOOKUP($G26,'Visu totale'!$D$3:$DT$129,CA$1,0)</f>
        <v>NANCY_D</v>
      </c>
      <c r="CB26" s="13" t="str">
        <f>VLOOKUP($G26,'Visu totale'!$D$3:$DT$129,CB$1,0)</f>
        <v>NANCY_D</v>
      </c>
      <c r="CC26" s="13">
        <f>VLOOKUP($G26,'Visu totale'!$D$3:$DT$129,CC$1,0)</f>
        <v>18</v>
      </c>
      <c r="CD26" s="13">
        <f>VLOOKUP($G26,'Visu totale'!$D$3:$DT$129,CD$1,0)</f>
        <v>18</v>
      </c>
      <c r="CE26" s="13" t="str">
        <f>VLOOKUP($G26,'Visu totale'!$D$3:$DT$129,CE$1,0)</f>
        <v>NANCY_D</v>
      </c>
      <c r="CF26" s="13" t="str">
        <f>VLOOKUP($G26,'Visu totale'!$D$3:$DT$129,CF$1,0)</f>
        <v>NANCY_D</v>
      </c>
      <c r="CG26" s="13" t="str">
        <f>VLOOKUP($G26,'Visu totale'!$D$3:$DT$129,CG$1,0)</f>
        <v>NANCY_D</v>
      </c>
      <c r="CH26" s="13" t="str">
        <f>VLOOKUP($G26,'Visu totale'!$D$3:$DT$129,CH$1,0)</f>
        <v>NANCY_D</v>
      </c>
      <c r="CI26" s="13">
        <f>VLOOKUP($G26,'Visu totale'!$D$3:$DT$129,CI$1,0)</f>
        <v>18</v>
      </c>
      <c r="CJ26" s="13">
        <f>VLOOKUP($G26,'Visu totale'!$D$3:$DT$129,CJ$1,0)</f>
        <v>18</v>
      </c>
      <c r="CK26" s="13" t="str">
        <f>VLOOKUP($G26,'Visu totale'!$D$3:$DT$129,CK$1,0)</f>
        <v>NANCY_D</v>
      </c>
      <c r="CL26" s="15" t="str">
        <f>VLOOKUP($G26,'Visu totale'!$D$3:$DT$129,CL$1,0)</f>
        <v>NANCY_D</v>
      </c>
      <c r="CM26" s="14" t="str">
        <f>VLOOKUP($G26,'Visu totale'!$D$3:$DT$129,CM$1,0)</f>
        <v>NANCY_D</v>
      </c>
      <c r="CN26" s="13" t="str">
        <f>VLOOKUP($G26,'Visu totale'!$D$3:$DT$129,CN$1,0)</f>
        <v>NANCY_D</v>
      </c>
      <c r="CO26" s="13">
        <f>VLOOKUP($G26,'Visu totale'!$D$3:$DT$129,CO$1,0)</f>
        <v>18</v>
      </c>
      <c r="CP26" s="13">
        <f>VLOOKUP($G26,'Visu totale'!$D$3:$DT$129,CP$1,0)</f>
        <v>18</v>
      </c>
      <c r="CQ26" s="13" t="str">
        <f>VLOOKUP($G26,'Visu totale'!$D$3:$DT$129,CQ$1,0)</f>
        <v>NANCY_D</v>
      </c>
      <c r="CR26" s="13" t="str">
        <f>VLOOKUP($G26,'Visu totale'!$D$3:$DT$129,CR$1,0)</f>
        <v>NANCY_D</v>
      </c>
      <c r="CS26" s="13" t="str">
        <f>VLOOKUP($G26,'Visu totale'!$D$3:$DT$129,CS$1,0)</f>
        <v>NANCY_D</v>
      </c>
      <c r="CT26" s="13" t="str">
        <f>VLOOKUP($G26,'Visu totale'!$D$3:$DT$129,CT$1,0)</f>
        <v>NANCY_D</v>
      </c>
      <c r="CU26" s="13">
        <f>VLOOKUP($G26,'Visu totale'!$D$3:$DT$129,CU$1,0)</f>
        <v>18</v>
      </c>
      <c r="CV26" s="13">
        <f>VLOOKUP($G26,'Visu totale'!$D$3:$DT$129,CV$1,0)</f>
        <v>18</v>
      </c>
      <c r="CW26" s="13">
        <f>VLOOKUP($G26,'Visu totale'!$D$3:$DT$129,CW$1,0)</f>
        <v>18</v>
      </c>
      <c r="CX26" s="15">
        <f>VLOOKUP($G26,'Visu totale'!$D$3:$DT$129,CX$1,0)</f>
        <v>18</v>
      </c>
      <c r="CY26" s="14">
        <f>VLOOKUP($G26,'Visu totale'!$D$3:$DT$129,CY$1,0)</f>
        <v>0</v>
      </c>
      <c r="CZ26" s="13">
        <f>VLOOKUP($G26,'Visu totale'!$D$3:$DT$129,CZ$1,0)</f>
        <v>0</v>
      </c>
      <c r="DA26" s="13">
        <f>VLOOKUP($G26,'Visu totale'!$D$3:$DT$129,DA$1,0)</f>
        <v>0</v>
      </c>
      <c r="DB26" s="13">
        <f>VLOOKUP($G26,'Visu totale'!$D$3:$DT$129,DB$1,0)</f>
        <v>0</v>
      </c>
      <c r="DC26" s="13">
        <f>VLOOKUP($G26,'Visu totale'!$D$3:$DT$129,DC$1,0)</f>
        <v>0</v>
      </c>
      <c r="DD26" s="13">
        <f>VLOOKUP($G26,'Visu totale'!$D$3:$DT$129,DD$1,0)</f>
        <v>0</v>
      </c>
      <c r="DE26" s="13">
        <f>VLOOKUP($G26,'Visu totale'!$D$3:$DT$129,DE$1,0)</f>
        <v>0</v>
      </c>
      <c r="DF26" s="13">
        <f>VLOOKUP($G26,'Visu totale'!$D$3:$DT$129,DF$1,0)</f>
        <v>0</v>
      </c>
      <c r="DG26" s="13">
        <f>VLOOKUP($G26,'Visu totale'!$D$3:$DT$129,DG$1,0)</f>
        <v>0</v>
      </c>
      <c r="DH26" s="13">
        <f>VLOOKUP($G26,'Visu totale'!$D$3:$DT$129,DH$1,0)</f>
        <v>0</v>
      </c>
      <c r="DI26" s="13">
        <f>VLOOKUP($G26,'Visu totale'!$D$3:$DT$129,DI$1,0)</f>
        <v>0</v>
      </c>
      <c r="DJ26" s="15">
        <f>VLOOKUP($G26,'Visu totale'!$D$3:$DT$129,DJ$1,0)</f>
        <v>0</v>
      </c>
      <c r="DK26" s="14">
        <f>VLOOKUP($G26,'Visu totale'!$D$3:$DT$129,DK$1,0)</f>
        <v>0</v>
      </c>
      <c r="DL26" s="13">
        <f>VLOOKUP($G26,'Visu totale'!$D$3:$DT$129,DL$1,0)</f>
        <v>0</v>
      </c>
      <c r="DM26" s="13">
        <f>VLOOKUP($G26,'Visu totale'!$D$3:$DT$129,DM$1,0)</f>
        <v>0</v>
      </c>
      <c r="DN26" s="13">
        <f>VLOOKUP($G26,'Visu totale'!$D$3:$DT$129,DN$1,0)</f>
        <v>0</v>
      </c>
      <c r="DO26" s="13">
        <f>VLOOKUP($G26,'Visu totale'!$D$3:$DT$129,DO$1,0)</f>
        <v>0</v>
      </c>
      <c r="DP26" s="13">
        <f>VLOOKUP($G26,'Visu totale'!$D$3:$DT$129,DP$1,0)</f>
        <v>0</v>
      </c>
      <c r="DQ26" s="13">
        <f>VLOOKUP($G26,'Visu totale'!$D$3:$DT$129,DQ$1,0)</f>
        <v>0</v>
      </c>
      <c r="DR26" s="13">
        <f>VLOOKUP($G26,'Visu totale'!$D$3:$DT$129,DR$1,0)</f>
        <v>0</v>
      </c>
      <c r="DS26" s="13">
        <f>VLOOKUP($G26,'Visu totale'!$D$3:$DT$129,DS$1,0)</f>
        <v>0</v>
      </c>
      <c r="DT26" s="13">
        <f>VLOOKUP($G26,'Visu totale'!$D$3:$DT$129,DT$1,0)</f>
        <v>0</v>
      </c>
      <c r="DU26" s="13">
        <f>VLOOKUP($G26,'Visu totale'!$D$3:$DT$129,DU$1,0)</f>
        <v>0</v>
      </c>
      <c r="DV26" s="15">
        <f>VLOOKUP($G26,'Visu totale'!$D$3:$DT$129,DV$1,0)</f>
        <v>0</v>
      </c>
    </row>
    <row r="27" spans="1:126" x14ac:dyDescent="0.25">
      <c r="A27" s="13"/>
      <c r="B27" s="13"/>
      <c r="C27" s="13"/>
      <c r="D27" s="16"/>
      <c r="E27" s="14"/>
      <c r="F27" s="13"/>
      <c r="G27" s="17" t="s">
        <v>29</v>
      </c>
      <c r="H27" s="13">
        <f>VLOOKUP($G27,'Visu totale'!$D$3:$DT$129,H$1,0)</f>
        <v>18</v>
      </c>
      <c r="I27" s="13" t="str">
        <f>VLOOKUP($G27,'Visu totale'!$D$3:$DT$129,I$1,0)</f>
        <v>NANCY_D</v>
      </c>
      <c r="J27" s="13" t="str">
        <f>VLOOKUP($G27,'Visu totale'!$D$3:$DT$129,J$1,0)</f>
        <v>NANCY_D</v>
      </c>
      <c r="K27" s="13" t="str">
        <f>VLOOKUP($G27,'Visu totale'!$D$3:$DT$129,K$1,0)</f>
        <v>NANCY_D</v>
      </c>
      <c r="L27" s="13" t="str">
        <f>VLOOKUP($G27,'Visu totale'!$D$3:$DT$129,L$1,0)</f>
        <v>NANCY_D</v>
      </c>
      <c r="M27" s="13">
        <f>VLOOKUP($G27,'Visu totale'!$D$3:$DT$129,M$1,0)</f>
        <v>18</v>
      </c>
      <c r="N27" s="13">
        <f>VLOOKUP($G27,'Visu totale'!$D$3:$DT$129,N$1,0)</f>
        <v>18</v>
      </c>
      <c r="O27" s="13" t="str">
        <f>VLOOKUP($G27,'Visu totale'!$D$3:$DT$129,O$1,0)</f>
        <v>NANCY_D</v>
      </c>
      <c r="P27" s="13" t="str">
        <f>VLOOKUP($G27,'Visu totale'!$D$3:$DT$129,P$1,0)</f>
        <v>NANCY_D</v>
      </c>
      <c r="Q27" s="13" t="str">
        <f>VLOOKUP($G27,'Visu totale'!$D$3:$DT$129,Q$1,0)</f>
        <v>NANCY_D</v>
      </c>
      <c r="R27" s="15" t="str">
        <f>VLOOKUP($G27,'Visu totale'!$D$3:$DT$129,R$1,0)</f>
        <v>NANCY_D</v>
      </c>
      <c r="S27" s="14">
        <f>VLOOKUP($G27,'Visu totale'!$D$3:$DT$129,S$1,0)</f>
        <v>18</v>
      </c>
      <c r="T27" s="13">
        <f>VLOOKUP($G27,'Visu totale'!$D$3:$DT$129,T$1,0)</f>
        <v>18</v>
      </c>
      <c r="U27" s="13">
        <f>VLOOKUP($G27,'Visu totale'!$D$3:$DT$129,U$1,0)</f>
        <v>18</v>
      </c>
      <c r="V27" s="13">
        <f>VLOOKUP($G27,'Visu totale'!$D$3:$DT$129,V$1,0)</f>
        <v>18</v>
      </c>
      <c r="W27" s="13">
        <f>VLOOKUP($G27,'Visu totale'!$D$3:$DT$129,W$1,0)</f>
        <v>18</v>
      </c>
      <c r="X27" s="13" t="str">
        <f>VLOOKUP($G27,'Visu totale'!$D$3:$DT$129,X$1,0)</f>
        <v>V10</v>
      </c>
      <c r="Y27" s="13" t="str">
        <f>VLOOKUP($G27,'Visu totale'!$D$3:$DT$129,Y$1,0)</f>
        <v>V10</v>
      </c>
      <c r="Z27" s="13" t="str">
        <f>VLOOKUP($G27,'Visu totale'!$D$3:$DT$129,Z$1,0)</f>
        <v>V10</v>
      </c>
      <c r="AA27" s="13" t="str">
        <f>VLOOKUP($G27,'Visu totale'!$D$3:$DT$129,AA$1,0)</f>
        <v>V10</v>
      </c>
      <c r="AB27" s="13" t="str">
        <f>VLOOKUP($G27,'Visu totale'!$D$3:$DT$129,AB$1,0)</f>
        <v>V10</v>
      </c>
      <c r="AC27" s="13" t="str">
        <f>VLOOKUP($G27,'Visu totale'!$D$3:$DT$129,AC$1,0)</f>
        <v>V10</v>
      </c>
      <c r="AD27" s="15" t="str">
        <f>VLOOKUP($G27,'Visu totale'!$D$3:$DT$129,AD$1,0)</f>
        <v>V10</v>
      </c>
      <c r="AE27" s="14" t="str">
        <f>VLOOKUP($G27,'Visu totale'!$D$3:$DT$129,AE$1,0)</f>
        <v>V10</v>
      </c>
      <c r="AF27" s="13" t="str">
        <f>VLOOKUP($G27,'Visu totale'!$D$3:$DT$129,AF$1,0)</f>
        <v>V10</v>
      </c>
      <c r="AG27" s="13" t="str">
        <f>VLOOKUP($G27,'Visu totale'!$D$3:$DT$129,AG$1,0)</f>
        <v>V10</v>
      </c>
      <c r="AH27" s="13" t="str">
        <f>VLOOKUP($G27,'Visu totale'!$D$3:$DT$129,AH$1,0)</f>
        <v>V10</v>
      </c>
      <c r="AI27" s="13" t="str">
        <f>VLOOKUP($G27,'Visu totale'!$D$3:$DT$129,AI$1,0)</f>
        <v>V10</v>
      </c>
      <c r="AJ27" s="13">
        <f>VLOOKUP($G27,'Visu totale'!$D$3:$DT$129,AJ$1,0)</f>
        <v>18</v>
      </c>
      <c r="AK27" s="13">
        <f>VLOOKUP($G27,'Visu totale'!$D$3:$DT$129,AK$1,0)</f>
        <v>18</v>
      </c>
      <c r="AL27" s="13" t="str">
        <f>VLOOKUP($G27,'Visu totale'!$D$3:$DT$129,AL$1,0)</f>
        <v>CHAMMAL_D</v>
      </c>
      <c r="AM27" s="13" t="str">
        <f>VLOOKUP($G27,'Visu totale'!$D$3:$DT$129,AM$1,0)</f>
        <v>CHAMMAL_D</v>
      </c>
      <c r="AN27" s="13" t="str">
        <f>VLOOKUP($G27,'Visu totale'!$D$3:$DT$129,AN$1,0)</f>
        <v>CHAMMAL_D</v>
      </c>
      <c r="AO27" s="13" t="str">
        <f>VLOOKUP($G27,'Visu totale'!$D$3:$DT$129,AO$1,0)</f>
        <v>CHAMMAL_D</v>
      </c>
      <c r="AP27" s="15">
        <f>VLOOKUP($G27,'Visu totale'!$D$3:$DT$129,AP$1,0)</f>
        <v>18</v>
      </c>
      <c r="AQ27" s="14">
        <f>VLOOKUP($G27,'Visu totale'!$D$3:$DT$129,AQ$1,0)</f>
        <v>18</v>
      </c>
      <c r="AR27" s="13" t="str">
        <f>VLOOKUP($G27,'Visu totale'!$D$3:$DT$129,AR$1,0)</f>
        <v>CHAMMAL_D</v>
      </c>
      <c r="AS27" s="13" t="str">
        <f>VLOOKUP($G27,'Visu totale'!$D$3:$DT$129,AS$1,0)</f>
        <v>CHAMMAL_D</v>
      </c>
      <c r="AT27" s="13" t="str">
        <f>VLOOKUP($G27,'Visu totale'!$D$3:$DT$129,AT$1,0)</f>
        <v>CHAMMAL_D</v>
      </c>
      <c r="AU27" s="13" t="str">
        <f>VLOOKUP($G27,'Visu totale'!$D$3:$DT$129,AU$1,0)</f>
        <v>CHAMMAL_D</v>
      </c>
      <c r="AV27" s="13">
        <f>VLOOKUP($G27,'Visu totale'!$D$3:$DT$129,AV$1,0)</f>
        <v>18</v>
      </c>
      <c r="AW27" s="13">
        <f>VLOOKUP($G27,'Visu totale'!$D$3:$DT$129,AW$1,0)</f>
        <v>18</v>
      </c>
      <c r="AX27" s="13" t="str">
        <f>VLOOKUP($G27,'Visu totale'!$D$3:$DT$129,AX$1,0)</f>
        <v>NANCY_D</v>
      </c>
      <c r="AY27" s="13" t="str">
        <f>VLOOKUP($G27,'Visu totale'!$D$3:$DT$129,AY$1,0)</f>
        <v>NANCY_D</v>
      </c>
      <c r="AZ27" s="13" t="str">
        <f>VLOOKUP($G27,'Visu totale'!$D$3:$DT$129,AZ$1,0)</f>
        <v>NANCY_D</v>
      </c>
      <c r="BA27" s="13" t="str">
        <f>VLOOKUP($G27,'Visu totale'!$D$3:$DT$129,BA$1,0)</f>
        <v>NANCY_D</v>
      </c>
      <c r="BB27" s="15">
        <f>VLOOKUP($G27,'Visu totale'!$D$3:$DT$129,BB$1,0)</f>
        <v>18</v>
      </c>
      <c r="BC27" s="14">
        <f>VLOOKUP($G27,'Visu totale'!$D$3:$DT$129,BC$1,0)</f>
        <v>18</v>
      </c>
      <c r="BD27" s="13">
        <f>VLOOKUP($G27,'Visu totale'!$D$3:$DT$129,BD$1,0)</f>
        <v>18</v>
      </c>
      <c r="BE27" s="13">
        <f>VLOOKUP($G27,'Visu totale'!$D$3:$DT$129,BE$1,0)</f>
        <v>18</v>
      </c>
      <c r="BF27" s="13">
        <f>VLOOKUP($G27,'Visu totale'!$D$3:$DT$129,BF$1,0)</f>
        <v>18</v>
      </c>
      <c r="BG27" s="13">
        <f>VLOOKUP($G27,'Visu totale'!$D$3:$DT$129,BG$1,0)</f>
        <v>18</v>
      </c>
      <c r="BH27" s="13">
        <f>VLOOKUP($G27,'Visu totale'!$D$3:$DT$129,BH$1,0)</f>
        <v>18</v>
      </c>
      <c r="BI27" s="13">
        <f>VLOOKUP($G27,'Visu totale'!$D$3:$DT$129,BI$1,0)</f>
        <v>18</v>
      </c>
      <c r="BJ27" s="13">
        <f>VLOOKUP($G27,'Visu totale'!$D$3:$DT$129,BJ$1,0)</f>
        <v>18</v>
      </c>
      <c r="BK27" s="13">
        <f>VLOOKUP($G27,'Visu totale'!$D$3:$DT$129,BK$1,0)</f>
        <v>18</v>
      </c>
      <c r="BL27" s="13">
        <f>VLOOKUP($G27,'Visu totale'!$D$3:$DT$129,BL$1,0)</f>
        <v>18</v>
      </c>
      <c r="BM27" s="13">
        <f>VLOOKUP($G27,'Visu totale'!$D$3:$DT$129,BM$1,0)</f>
        <v>0</v>
      </c>
      <c r="BN27" s="15">
        <f>VLOOKUP($G27,'Visu totale'!$D$3:$DT$129,BN$1,0)</f>
        <v>0</v>
      </c>
      <c r="BO27" s="14" t="str">
        <f>VLOOKUP($G27,'Visu totale'!$D$3:$DT$129,BO$1,0)</f>
        <v>NANCY_D</v>
      </c>
      <c r="BP27" s="13" t="str">
        <f>VLOOKUP($G27,'Visu totale'!$D$3:$DT$129,BP$1,0)</f>
        <v>NANCY_D</v>
      </c>
      <c r="BQ27" s="13" t="str">
        <f>VLOOKUP($G27,'Visu totale'!$D$3:$DT$129,BQ$1,0)</f>
        <v>NANCY_D</v>
      </c>
      <c r="BR27" s="13" t="str">
        <f>VLOOKUP($G27,'Visu totale'!$D$3:$DT$129,BR$1,0)</f>
        <v>NANCY_D</v>
      </c>
      <c r="BS27" s="13">
        <f>VLOOKUP($G27,'Visu totale'!$D$3:$DT$129,BS$1,0)</f>
        <v>18</v>
      </c>
      <c r="BT27" s="13">
        <f>VLOOKUP($G27,'Visu totale'!$D$3:$DT$129,BT$1,0)</f>
        <v>18</v>
      </c>
      <c r="BU27" s="13" t="str">
        <f>VLOOKUP($G27,'Visu totale'!$D$3:$DT$129,BU$1,0)</f>
        <v>NANCY_D</v>
      </c>
      <c r="BV27" s="13" t="str">
        <f>VLOOKUP($G27,'Visu totale'!$D$3:$DT$129,BV$1,0)</f>
        <v>NANCY_D</v>
      </c>
      <c r="BW27" s="13" t="str">
        <f>VLOOKUP($G27,'Visu totale'!$D$3:$DT$129,BW$1,0)</f>
        <v>NANCY_D</v>
      </c>
      <c r="BX27" s="13" t="str">
        <f>VLOOKUP($G27,'Visu totale'!$D$3:$DT$129,BX$1,0)</f>
        <v>NANCY_D</v>
      </c>
      <c r="BY27" s="13">
        <f>VLOOKUP($G27,'Visu totale'!$D$3:$DT$129,BY$1,0)</f>
        <v>18</v>
      </c>
      <c r="BZ27" s="15">
        <f>VLOOKUP($G27,'Visu totale'!$D$3:$DT$129,BZ$1,0)</f>
        <v>18</v>
      </c>
      <c r="CA27" s="14" t="str">
        <f>VLOOKUP($G27,'Visu totale'!$D$3:$DT$129,CA$1,0)</f>
        <v>NANCY_D</v>
      </c>
      <c r="CB27" s="13" t="str">
        <f>VLOOKUP($G27,'Visu totale'!$D$3:$DT$129,CB$1,0)</f>
        <v>NANCY_D</v>
      </c>
      <c r="CC27" s="13" t="str">
        <f>VLOOKUP($G27,'Visu totale'!$D$3:$DT$129,CC$1,0)</f>
        <v>NANCY_D</v>
      </c>
      <c r="CD27" s="13" t="str">
        <f>VLOOKUP($G27,'Visu totale'!$D$3:$DT$129,CD$1,0)</f>
        <v>NANCY_D</v>
      </c>
      <c r="CE27" s="13">
        <f>VLOOKUP($G27,'Visu totale'!$D$3:$DT$129,CE$1,0)</f>
        <v>18</v>
      </c>
      <c r="CF27" s="13">
        <f>VLOOKUP($G27,'Visu totale'!$D$3:$DT$129,CF$1,0)</f>
        <v>18</v>
      </c>
      <c r="CG27" s="13" t="str">
        <f>VLOOKUP($G27,'Visu totale'!$D$3:$DT$129,CG$1,0)</f>
        <v>NANCY_D</v>
      </c>
      <c r="CH27" s="13" t="str">
        <f>VLOOKUP($G27,'Visu totale'!$D$3:$DT$129,CH$1,0)</f>
        <v>NANCY_D</v>
      </c>
      <c r="CI27" s="13" t="str">
        <f>VLOOKUP($G27,'Visu totale'!$D$3:$DT$129,CI$1,0)</f>
        <v>NANCY_D</v>
      </c>
      <c r="CJ27" s="13" t="str">
        <f>VLOOKUP($G27,'Visu totale'!$D$3:$DT$129,CJ$1,0)</f>
        <v>NANCY_D</v>
      </c>
      <c r="CK27" s="13">
        <f>VLOOKUP($G27,'Visu totale'!$D$3:$DT$129,CK$1,0)</f>
        <v>18</v>
      </c>
      <c r="CL27" s="15">
        <f>VLOOKUP($G27,'Visu totale'!$D$3:$DT$129,CL$1,0)</f>
        <v>18</v>
      </c>
      <c r="CM27" s="14" t="str">
        <f>VLOOKUP($G27,'Visu totale'!$D$3:$DT$129,CM$1,0)</f>
        <v>NANCY_D</v>
      </c>
      <c r="CN27" s="13" t="str">
        <f>VLOOKUP($G27,'Visu totale'!$D$3:$DT$129,CN$1,0)</f>
        <v>NANCY_D</v>
      </c>
      <c r="CO27" s="13" t="str">
        <f>VLOOKUP($G27,'Visu totale'!$D$3:$DT$129,CO$1,0)</f>
        <v>NANCY_D</v>
      </c>
      <c r="CP27" s="13" t="str">
        <f>VLOOKUP($G27,'Visu totale'!$D$3:$DT$129,CP$1,0)</f>
        <v>NANCY_D</v>
      </c>
      <c r="CQ27" s="13">
        <f>VLOOKUP($G27,'Visu totale'!$D$3:$DT$129,CQ$1,0)</f>
        <v>18</v>
      </c>
      <c r="CR27" s="13">
        <f>VLOOKUP($G27,'Visu totale'!$D$3:$DT$129,CR$1,0)</f>
        <v>18</v>
      </c>
      <c r="CS27" s="13">
        <f>VLOOKUP($G27,'Visu totale'!$D$3:$DT$129,CS$1,0)</f>
        <v>18</v>
      </c>
      <c r="CT27" s="13">
        <f>VLOOKUP($G27,'Visu totale'!$D$3:$DT$129,CT$1,0)</f>
        <v>18</v>
      </c>
      <c r="CU27" s="13">
        <f>VLOOKUP($G27,'Visu totale'!$D$3:$DT$129,CU$1,0)</f>
        <v>18</v>
      </c>
      <c r="CV27" s="13">
        <f>VLOOKUP($G27,'Visu totale'!$D$3:$DT$129,CV$1,0)</f>
        <v>18</v>
      </c>
      <c r="CW27" s="13">
        <f>VLOOKUP($G27,'Visu totale'!$D$3:$DT$129,CW$1,0)</f>
        <v>18</v>
      </c>
      <c r="CX27" s="15">
        <f>VLOOKUP($G27,'Visu totale'!$D$3:$DT$129,CX$1,0)</f>
        <v>18</v>
      </c>
      <c r="CY27" s="14">
        <f>VLOOKUP($G27,'Visu totale'!$D$3:$DT$129,CY$1,0)</f>
        <v>0</v>
      </c>
      <c r="CZ27" s="13">
        <f>VLOOKUP($G27,'Visu totale'!$D$3:$DT$129,CZ$1,0)</f>
        <v>0</v>
      </c>
      <c r="DA27" s="13">
        <f>VLOOKUP($G27,'Visu totale'!$D$3:$DT$129,DA$1,0)</f>
        <v>0</v>
      </c>
      <c r="DB27" s="13">
        <f>VLOOKUP($G27,'Visu totale'!$D$3:$DT$129,DB$1,0)</f>
        <v>0</v>
      </c>
      <c r="DC27" s="13">
        <f>VLOOKUP($G27,'Visu totale'!$D$3:$DT$129,DC$1,0)</f>
        <v>0</v>
      </c>
      <c r="DD27" s="13">
        <f>VLOOKUP($G27,'Visu totale'!$D$3:$DT$129,DD$1,0)</f>
        <v>0</v>
      </c>
      <c r="DE27" s="13">
        <f>VLOOKUP($G27,'Visu totale'!$D$3:$DT$129,DE$1,0)</f>
        <v>0</v>
      </c>
      <c r="DF27" s="13">
        <f>VLOOKUP($G27,'Visu totale'!$D$3:$DT$129,DF$1,0)</f>
        <v>0</v>
      </c>
      <c r="DG27" s="13">
        <f>VLOOKUP($G27,'Visu totale'!$D$3:$DT$129,DG$1,0)</f>
        <v>0</v>
      </c>
      <c r="DH27" s="13">
        <f>VLOOKUP($G27,'Visu totale'!$D$3:$DT$129,DH$1,0)</f>
        <v>0</v>
      </c>
      <c r="DI27" s="13">
        <f>VLOOKUP($G27,'Visu totale'!$D$3:$DT$129,DI$1,0)</f>
        <v>0</v>
      </c>
      <c r="DJ27" s="15">
        <f>VLOOKUP($G27,'Visu totale'!$D$3:$DT$129,DJ$1,0)</f>
        <v>0</v>
      </c>
      <c r="DK27" s="14">
        <f>VLOOKUP($G27,'Visu totale'!$D$3:$DT$129,DK$1,0)</f>
        <v>0</v>
      </c>
      <c r="DL27" s="13">
        <f>VLOOKUP($G27,'Visu totale'!$D$3:$DT$129,DL$1,0)</f>
        <v>0</v>
      </c>
      <c r="DM27" s="13">
        <f>VLOOKUP($G27,'Visu totale'!$D$3:$DT$129,DM$1,0)</f>
        <v>0</v>
      </c>
      <c r="DN27" s="13">
        <f>VLOOKUP($G27,'Visu totale'!$D$3:$DT$129,DN$1,0)</f>
        <v>0</v>
      </c>
      <c r="DO27" s="13">
        <f>VLOOKUP($G27,'Visu totale'!$D$3:$DT$129,DO$1,0)</f>
        <v>0</v>
      </c>
      <c r="DP27" s="13">
        <f>VLOOKUP($G27,'Visu totale'!$D$3:$DT$129,DP$1,0)</f>
        <v>0</v>
      </c>
      <c r="DQ27" s="13">
        <f>VLOOKUP($G27,'Visu totale'!$D$3:$DT$129,DQ$1,0)</f>
        <v>0</v>
      </c>
      <c r="DR27" s="13">
        <f>VLOOKUP($G27,'Visu totale'!$D$3:$DT$129,DR$1,0)</f>
        <v>0</v>
      </c>
      <c r="DS27" s="13">
        <f>VLOOKUP($G27,'Visu totale'!$D$3:$DT$129,DS$1,0)</f>
        <v>0</v>
      </c>
      <c r="DT27" s="13">
        <f>VLOOKUP($G27,'Visu totale'!$D$3:$DT$129,DT$1,0)</f>
        <v>0</v>
      </c>
      <c r="DU27" s="13">
        <f>VLOOKUP($G27,'Visu totale'!$D$3:$DT$129,DU$1,0)</f>
        <v>0</v>
      </c>
      <c r="DV27" s="15">
        <f>VLOOKUP($G27,'Visu totale'!$D$3:$DT$129,DV$1,0)</f>
        <v>0</v>
      </c>
    </row>
    <row r="28" spans="1:126" x14ac:dyDescent="0.25">
      <c r="A28" s="13"/>
      <c r="B28" s="13"/>
      <c r="C28" s="13"/>
      <c r="D28" s="16"/>
      <c r="E28" s="14"/>
      <c r="F28" s="13"/>
      <c r="G28" s="17" t="s">
        <v>30</v>
      </c>
      <c r="H28" s="13">
        <f>VLOOKUP($G28,'Visu totale'!$D$3:$DT$129,H$1,0)</f>
        <v>18</v>
      </c>
      <c r="I28" s="13" t="str">
        <f>VLOOKUP($G28,'Visu totale'!$D$3:$DT$129,I$1,0)</f>
        <v>NANCY_D</v>
      </c>
      <c r="J28" s="13" t="str">
        <f>VLOOKUP($G28,'Visu totale'!$D$3:$DT$129,J$1,0)</f>
        <v>NANCY_D</v>
      </c>
      <c r="K28" s="13" t="str">
        <f>VLOOKUP($G28,'Visu totale'!$D$3:$DT$129,K$1,0)</f>
        <v>NANCY_D</v>
      </c>
      <c r="L28" s="13" t="str">
        <f>VLOOKUP($G28,'Visu totale'!$D$3:$DT$129,L$1,0)</f>
        <v>NANCY_D</v>
      </c>
      <c r="M28" s="13" t="str">
        <f>VLOOKUP($G28,'Visu totale'!$D$3:$DT$129,M$1,0)</f>
        <v>V10</v>
      </c>
      <c r="N28" s="13" t="str">
        <f>VLOOKUP($G28,'Visu totale'!$D$3:$DT$129,N$1,0)</f>
        <v>V10</v>
      </c>
      <c r="O28" s="13" t="str">
        <f>VLOOKUP($G28,'Visu totale'!$D$3:$DT$129,O$1,0)</f>
        <v>V10</v>
      </c>
      <c r="P28" s="13" t="str">
        <f>VLOOKUP($G28,'Visu totale'!$D$3:$DT$129,P$1,0)</f>
        <v>V10</v>
      </c>
      <c r="Q28" s="13" t="str">
        <f>VLOOKUP($G28,'Visu totale'!$D$3:$DT$129,Q$1,0)</f>
        <v>V10</v>
      </c>
      <c r="R28" s="15" t="str">
        <f>VLOOKUP($G28,'Visu totale'!$D$3:$DT$129,R$1,0)</f>
        <v>V10</v>
      </c>
      <c r="S28" s="14">
        <f>VLOOKUP($G28,'Visu totale'!$D$3:$DT$129,S$1,0)</f>
        <v>18</v>
      </c>
      <c r="T28" s="13">
        <f>VLOOKUP($G28,'Visu totale'!$D$3:$DT$129,T$1,0)</f>
        <v>18</v>
      </c>
      <c r="U28" s="13" t="str">
        <f>VLOOKUP($G28,'Visu totale'!$D$3:$DT$129,U$1,0)</f>
        <v>NANCY_D</v>
      </c>
      <c r="V28" s="13" t="str">
        <f>VLOOKUP($G28,'Visu totale'!$D$3:$DT$129,V$1,0)</f>
        <v>NANCY_D</v>
      </c>
      <c r="W28" s="13" t="str">
        <f>VLOOKUP($G28,'Visu totale'!$D$3:$DT$129,W$1,0)</f>
        <v>NANCY_D</v>
      </c>
      <c r="X28" s="13" t="str">
        <f>VLOOKUP($G28,'Visu totale'!$D$3:$DT$129,X$1,0)</f>
        <v>NANCY_D</v>
      </c>
      <c r="Y28" s="13">
        <f>VLOOKUP($G28,'Visu totale'!$D$3:$DT$129,Y$1,0)</f>
        <v>18</v>
      </c>
      <c r="Z28" s="13">
        <f>VLOOKUP($G28,'Visu totale'!$D$3:$DT$129,Z$1,0)</f>
        <v>18</v>
      </c>
      <c r="AA28" s="13" t="str">
        <f>VLOOKUP($G28,'Visu totale'!$D$3:$DT$129,AA$1,0)</f>
        <v>NANCY_D</v>
      </c>
      <c r="AB28" s="13" t="str">
        <f>VLOOKUP($G28,'Visu totale'!$D$3:$DT$129,AB$1,0)</f>
        <v>NANCY_D</v>
      </c>
      <c r="AC28" s="13" t="str">
        <f>VLOOKUP($G28,'Visu totale'!$D$3:$DT$129,AC$1,0)</f>
        <v>NANCY_D</v>
      </c>
      <c r="AD28" s="15" t="str">
        <f>VLOOKUP($G28,'Visu totale'!$D$3:$DT$129,AD$1,0)</f>
        <v>NANCY_D</v>
      </c>
      <c r="AE28" s="14">
        <f>VLOOKUP($G28,'Visu totale'!$D$3:$DT$129,AE$1,0)</f>
        <v>18</v>
      </c>
      <c r="AF28" s="13">
        <f>VLOOKUP($G28,'Visu totale'!$D$3:$DT$129,AF$1,0)</f>
        <v>18</v>
      </c>
      <c r="AG28" s="13" t="str">
        <f>VLOOKUP($G28,'Visu totale'!$D$3:$DT$129,AG$1,0)</f>
        <v>NANCY_D</v>
      </c>
      <c r="AH28" s="13" t="str">
        <f>VLOOKUP($G28,'Visu totale'!$D$3:$DT$129,AH$1,0)</f>
        <v>NANCY_D</v>
      </c>
      <c r="AI28" s="13" t="str">
        <f>VLOOKUP($G28,'Visu totale'!$D$3:$DT$129,AI$1,0)</f>
        <v>NANCY_D</v>
      </c>
      <c r="AJ28" s="13" t="str">
        <f>VLOOKUP($G28,'Visu totale'!$D$3:$DT$129,AJ$1,0)</f>
        <v>NANCY_D</v>
      </c>
      <c r="AK28" s="13">
        <f>VLOOKUP($G28,'Visu totale'!$D$3:$DT$129,AK$1,0)</f>
        <v>18</v>
      </c>
      <c r="AL28" s="13">
        <f>VLOOKUP($G28,'Visu totale'!$D$3:$DT$129,AL$1,0)</f>
        <v>18</v>
      </c>
      <c r="AM28" s="13" t="str">
        <f>VLOOKUP($G28,'Visu totale'!$D$3:$DT$129,AM$1,0)</f>
        <v>NANCY_D</v>
      </c>
      <c r="AN28" s="13" t="str">
        <f>VLOOKUP($G28,'Visu totale'!$D$3:$DT$129,AN$1,0)</f>
        <v>NANCY_D</v>
      </c>
      <c r="AO28" s="13" t="str">
        <f>VLOOKUP($G28,'Visu totale'!$D$3:$DT$129,AO$1,0)</f>
        <v>NANCY_D</v>
      </c>
      <c r="AP28" s="15" t="str">
        <f>VLOOKUP($G28,'Visu totale'!$D$3:$DT$129,AP$1,0)</f>
        <v>NANCY_D</v>
      </c>
      <c r="AQ28" s="14">
        <f>VLOOKUP($G28,'Visu totale'!$D$3:$DT$129,AQ$1,0)</f>
        <v>18</v>
      </c>
      <c r="AR28" s="13">
        <f>VLOOKUP($G28,'Visu totale'!$D$3:$DT$129,AR$1,0)</f>
        <v>18</v>
      </c>
      <c r="AS28" s="13" t="str">
        <f>VLOOKUP($G28,'Visu totale'!$D$3:$DT$129,AS$1,0)</f>
        <v>NANCY_D</v>
      </c>
      <c r="AT28" s="13" t="str">
        <f>VLOOKUP($G28,'Visu totale'!$D$3:$DT$129,AT$1,0)</f>
        <v>NANCY_D</v>
      </c>
      <c r="AU28" s="13" t="str">
        <f>VLOOKUP($G28,'Visu totale'!$D$3:$DT$129,AU$1,0)</f>
        <v>NANCY_D</v>
      </c>
      <c r="AV28" s="13" t="str">
        <f>VLOOKUP($G28,'Visu totale'!$D$3:$DT$129,AV$1,0)</f>
        <v>NANCY_D</v>
      </c>
      <c r="AW28" s="13">
        <f>VLOOKUP($G28,'Visu totale'!$D$3:$DT$129,AW$1,0)</f>
        <v>18</v>
      </c>
      <c r="AX28" s="13">
        <f>VLOOKUP($G28,'Visu totale'!$D$3:$DT$129,AX$1,0)</f>
        <v>18</v>
      </c>
      <c r="AY28" s="13" t="str">
        <f>VLOOKUP($G28,'Visu totale'!$D$3:$DT$129,AY$1,0)</f>
        <v>NANCY_D</v>
      </c>
      <c r="AZ28" s="13" t="str">
        <f>VLOOKUP($G28,'Visu totale'!$D$3:$DT$129,AZ$1,0)</f>
        <v>NANCY_D</v>
      </c>
      <c r="BA28" s="13" t="str">
        <f>VLOOKUP($G28,'Visu totale'!$D$3:$DT$129,BA$1,0)</f>
        <v>NANCY_D</v>
      </c>
      <c r="BB28" s="15" t="str">
        <f>VLOOKUP($G28,'Visu totale'!$D$3:$DT$129,BB$1,0)</f>
        <v>NANCY_D</v>
      </c>
      <c r="BC28" s="14">
        <f>VLOOKUP($G28,'Visu totale'!$D$3:$DT$129,BC$1,0)</f>
        <v>18</v>
      </c>
      <c r="BD28" s="13">
        <f>VLOOKUP($G28,'Visu totale'!$D$3:$DT$129,BD$1,0)</f>
        <v>18</v>
      </c>
      <c r="BE28" s="13" t="str">
        <f>VLOOKUP($G28,'Visu totale'!$D$3:$DT$129,BE$1,0)</f>
        <v>NANCY_D</v>
      </c>
      <c r="BF28" s="13" t="str">
        <f>VLOOKUP($G28,'Visu totale'!$D$3:$DT$129,BF$1,0)</f>
        <v>NANCY_D</v>
      </c>
      <c r="BG28" s="13" t="str">
        <f>VLOOKUP($G28,'Visu totale'!$D$3:$DT$129,BG$1,0)</f>
        <v>NANCY_D</v>
      </c>
      <c r="BH28" s="13" t="str">
        <f>VLOOKUP($G28,'Visu totale'!$D$3:$DT$129,BH$1,0)</f>
        <v>NANCY_D</v>
      </c>
      <c r="BI28" s="13">
        <f>VLOOKUP($G28,'Visu totale'!$D$3:$DT$129,BI$1,0)</f>
        <v>18</v>
      </c>
      <c r="BJ28" s="13">
        <f>VLOOKUP($G28,'Visu totale'!$D$3:$DT$129,BJ$1,0)</f>
        <v>18</v>
      </c>
      <c r="BK28" s="13" t="str">
        <f>VLOOKUP($G28,'Visu totale'!$D$3:$DT$129,BK$1,0)</f>
        <v>NANCY_D</v>
      </c>
      <c r="BL28" s="13" t="str">
        <f>VLOOKUP($G28,'Visu totale'!$D$3:$DT$129,BL$1,0)</f>
        <v>NANCY_D</v>
      </c>
      <c r="BM28" s="13" t="str">
        <f>VLOOKUP($G28,'Visu totale'!$D$3:$DT$129,BM$1,0)</f>
        <v>NANCY_D</v>
      </c>
      <c r="BN28" s="15" t="str">
        <f>VLOOKUP($G28,'Visu totale'!$D$3:$DT$129,BN$1,0)</f>
        <v>NANCY_D</v>
      </c>
      <c r="BO28" s="14" t="str">
        <f>VLOOKUP($G28,'Visu totale'!$D$3:$DT$129,BO$1,0)</f>
        <v>V15</v>
      </c>
      <c r="BP28" s="13" t="str">
        <f>VLOOKUP($G28,'Visu totale'!$D$3:$DT$129,BP$1,0)</f>
        <v>V15</v>
      </c>
      <c r="BQ28" s="13" t="str">
        <f>VLOOKUP($G28,'Visu totale'!$D$3:$DT$129,BQ$1,0)</f>
        <v>V15</v>
      </c>
      <c r="BR28" s="13" t="str">
        <f>VLOOKUP($G28,'Visu totale'!$D$3:$DT$129,BR$1,0)</f>
        <v>V15</v>
      </c>
      <c r="BS28" s="13" t="str">
        <f>VLOOKUP($G28,'Visu totale'!$D$3:$DT$129,BS$1,0)</f>
        <v>V15</v>
      </c>
      <c r="BT28" s="13" t="str">
        <f>VLOOKUP($G28,'Visu totale'!$D$3:$DT$129,BT$1,0)</f>
        <v>V15</v>
      </c>
      <c r="BU28" s="13">
        <f>VLOOKUP($G28,'Visu totale'!$D$3:$DT$129,BU$1,0)</f>
        <v>18</v>
      </c>
      <c r="BV28" s="13">
        <f>VLOOKUP($G28,'Visu totale'!$D$3:$DT$129,BV$1,0)</f>
        <v>18</v>
      </c>
      <c r="BW28" s="13" t="str">
        <f>VLOOKUP($G28,'Visu totale'!$D$3:$DT$129,BW$1,0)</f>
        <v>NANCY_D</v>
      </c>
      <c r="BX28" s="13" t="str">
        <f>VLOOKUP($G28,'Visu totale'!$D$3:$DT$129,BX$1,0)</f>
        <v>NANCY_D</v>
      </c>
      <c r="BY28" s="13" t="str">
        <f>VLOOKUP($G28,'Visu totale'!$D$3:$DT$129,BY$1,0)</f>
        <v>NANCY_D</v>
      </c>
      <c r="BZ28" s="15" t="str">
        <f>VLOOKUP($G28,'Visu totale'!$D$3:$DT$129,BZ$1,0)</f>
        <v>NANCY_D</v>
      </c>
      <c r="CA28" s="14">
        <f>VLOOKUP($G28,'Visu totale'!$D$3:$DT$129,CA$1,0)</f>
        <v>18</v>
      </c>
      <c r="CB28" s="13">
        <f>VLOOKUP($G28,'Visu totale'!$D$3:$DT$129,CB$1,0)</f>
        <v>18</v>
      </c>
      <c r="CC28" s="13" t="str">
        <f>VLOOKUP($G28,'Visu totale'!$D$3:$DT$129,CC$1,0)</f>
        <v>NANCY_D</v>
      </c>
      <c r="CD28" s="13" t="str">
        <f>VLOOKUP($G28,'Visu totale'!$D$3:$DT$129,CD$1,0)</f>
        <v>NANCY_D</v>
      </c>
      <c r="CE28" s="13" t="str">
        <f>VLOOKUP($G28,'Visu totale'!$D$3:$DT$129,CE$1,0)</f>
        <v>NANCY_D</v>
      </c>
      <c r="CF28" s="13" t="str">
        <f>VLOOKUP($G28,'Visu totale'!$D$3:$DT$129,CF$1,0)</f>
        <v>NANCY_D</v>
      </c>
      <c r="CG28" s="13">
        <f>VLOOKUP($G28,'Visu totale'!$D$3:$DT$129,CG$1,0)</f>
        <v>18</v>
      </c>
      <c r="CH28" s="13">
        <f>VLOOKUP($G28,'Visu totale'!$D$3:$DT$129,CH$1,0)</f>
        <v>18</v>
      </c>
      <c r="CI28" s="13" t="str">
        <f>VLOOKUP($G28,'Visu totale'!$D$3:$DT$129,CI$1,0)</f>
        <v>NANCY_D</v>
      </c>
      <c r="CJ28" s="13" t="str">
        <f>VLOOKUP($G28,'Visu totale'!$D$3:$DT$129,CJ$1,0)</f>
        <v>NANCY_D</v>
      </c>
      <c r="CK28" s="13" t="str">
        <f>VLOOKUP($G28,'Visu totale'!$D$3:$DT$129,CK$1,0)</f>
        <v>NANCY_D</v>
      </c>
      <c r="CL28" s="15" t="str">
        <f>VLOOKUP($G28,'Visu totale'!$D$3:$DT$129,CL$1,0)</f>
        <v>NANCY_D</v>
      </c>
      <c r="CM28" s="14">
        <f>VLOOKUP($G28,'Visu totale'!$D$3:$DT$129,CM$1,0)</f>
        <v>18</v>
      </c>
      <c r="CN28" s="13">
        <f>VLOOKUP($G28,'Visu totale'!$D$3:$DT$129,CN$1,0)</f>
        <v>18</v>
      </c>
      <c r="CO28" s="13" t="str">
        <f>VLOOKUP($G28,'Visu totale'!$D$3:$DT$129,CO$1,0)</f>
        <v>NANCY_D</v>
      </c>
      <c r="CP28" s="13" t="str">
        <f>VLOOKUP($G28,'Visu totale'!$D$3:$DT$129,CP$1,0)</f>
        <v>NANCY_D</v>
      </c>
      <c r="CQ28" s="13" t="str">
        <f>VLOOKUP($G28,'Visu totale'!$D$3:$DT$129,CQ$1,0)</f>
        <v>NANCY_D</v>
      </c>
      <c r="CR28" s="13" t="str">
        <f>VLOOKUP($G28,'Visu totale'!$D$3:$DT$129,CR$1,0)</f>
        <v>NANCY_D</v>
      </c>
      <c r="CS28" s="13">
        <f>VLOOKUP($G28,'Visu totale'!$D$3:$DT$129,CS$1,0)</f>
        <v>18</v>
      </c>
      <c r="CT28" s="13">
        <f>VLOOKUP($G28,'Visu totale'!$D$3:$DT$129,CT$1,0)</f>
        <v>18</v>
      </c>
      <c r="CU28" s="13">
        <f>VLOOKUP($G28,'Visu totale'!$D$3:$DT$129,CU$1,0)</f>
        <v>18</v>
      </c>
      <c r="CV28" s="13">
        <f>VLOOKUP($G28,'Visu totale'!$D$3:$DT$129,CV$1,0)</f>
        <v>18</v>
      </c>
      <c r="CW28" s="13">
        <f>VLOOKUP($G28,'Visu totale'!$D$3:$DT$129,CW$1,0)</f>
        <v>18</v>
      </c>
      <c r="CX28" s="15">
        <f>VLOOKUP($G28,'Visu totale'!$D$3:$DT$129,CX$1,0)</f>
        <v>18</v>
      </c>
      <c r="CY28" s="14">
        <f>VLOOKUP($G28,'Visu totale'!$D$3:$DT$129,CY$1,0)</f>
        <v>0</v>
      </c>
      <c r="CZ28" s="13">
        <f>VLOOKUP($G28,'Visu totale'!$D$3:$DT$129,CZ$1,0)</f>
        <v>0</v>
      </c>
      <c r="DA28" s="13">
        <f>VLOOKUP($G28,'Visu totale'!$D$3:$DT$129,DA$1,0)</f>
        <v>0</v>
      </c>
      <c r="DB28" s="13">
        <f>VLOOKUP($G28,'Visu totale'!$D$3:$DT$129,DB$1,0)</f>
        <v>0</v>
      </c>
      <c r="DC28" s="13">
        <f>VLOOKUP($G28,'Visu totale'!$D$3:$DT$129,DC$1,0)</f>
        <v>0</v>
      </c>
      <c r="DD28" s="13">
        <f>VLOOKUP($G28,'Visu totale'!$D$3:$DT$129,DD$1,0)</f>
        <v>0</v>
      </c>
      <c r="DE28" s="13">
        <f>VLOOKUP($G28,'Visu totale'!$D$3:$DT$129,DE$1,0)</f>
        <v>0</v>
      </c>
      <c r="DF28" s="13">
        <f>VLOOKUP($G28,'Visu totale'!$D$3:$DT$129,DF$1,0)</f>
        <v>0</v>
      </c>
      <c r="DG28" s="13">
        <f>VLOOKUP($G28,'Visu totale'!$D$3:$DT$129,DG$1,0)</f>
        <v>0</v>
      </c>
      <c r="DH28" s="13">
        <f>VLOOKUP($G28,'Visu totale'!$D$3:$DT$129,DH$1,0)</f>
        <v>0</v>
      </c>
      <c r="DI28" s="13">
        <f>VLOOKUP($G28,'Visu totale'!$D$3:$DT$129,DI$1,0)</f>
        <v>0</v>
      </c>
      <c r="DJ28" s="15">
        <f>VLOOKUP($G28,'Visu totale'!$D$3:$DT$129,DJ$1,0)</f>
        <v>0</v>
      </c>
      <c r="DK28" s="14">
        <f>VLOOKUP($G28,'Visu totale'!$D$3:$DT$129,DK$1,0)</f>
        <v>0</v>
      </c>
      <c r="DL28" s="13">
        <f>VLOOKUP($G28,'Visu totale'!$D$3:$DT$129,DL$1,0)</f>
        <v>0</v>
      </c>
      <c r="DM28" s="13">
        <f>VLOOKUP($G28,'Visu totale'!$D$3:$DT$129,DM$1,0)</f>
        <v>0</v>
      </c>
      <c r="DN28" s="13">
        <f>VLOOKUP($G28,'Visu totale'!$D$3:$DT$129,DN$1,0)</f>
        <v>0</v>
      </c>
      <c r="DO28" s="13">
        <f>VLOOKUP($G28,'Visu totale'!$D$3:$DT$129,DO$1,0)</f>
        <v>0</v>
      </c>
      <c r="DP28" s="13">
        <f>VLOOKUP($G28,'Visu totale'!$D$3:$DT$129,DP$1,0)</f>
        <v>0</v>
      </c>
      <c r="DQ28" s="13">
        <f>VLOOKUP($G28,'Visu totale'!$D$3:$DT$129,DQ$1,0)</f>
        <v>0</v>
      </c>
      <c r="DR28" s="13">
        <f>VLOOKUP($G28,'Visu totale'!$D$3:$DT$129,DR$1,0)</f>
        <v>0</v>
      </c>
      <c r="DS28" s="13">
        <f>VLOOKUP($G28,'Visu totale'!$D$3:$DT$129,DS$1,0)</f>
        <v>0</v>
      </c>
      <c r="DT28" s="13">
        <f>VLOOKUP($G28,'Visu totale'!$D$3:$DT$129,DT$1,0)</f>
        <v>0</v>
      </c>
      <c r="DU28" s="13">
        <f>VLOOKUP($G28,'Visu totale'!$D$3:$DT$129,DU$1,0)</f>
        <v>0</v>
      </c>
      <c r="DV28" s="15">
        <f>VLOOKUP($G28,'Visu totale'!$D$3:$DT$129,DV$1,0)</f>
        <v>0</v>
      </c>
    </row>
    <row r="29" spans="1:126" x14ac:dyDescent="0.25">
      <c r="A29" s="13"/>
      <c r="B29" s="13"/>
      <c r="C29" s="13"/>
      <c r="D29" s="16"/>
      <c r="E29" s="14"/>
      <c r="F29" s="13"/>
      <c r="G29" s="17" t="s">
        <v>31</v>
      </c>
      <c r="H29" s="13" t="str">
        <f>VLOOKUP($G29,'Visu totale'!$D$3:$DT$129,H$1,0)</f>
        <v>NANCY_D</v>
      </c>
      <c r="I29" s="13" t="str">
        <f>VLOOKUP($G29,'Visu totale'!$D$3:$DT$129,I$1,0)</f>
        <v>NANCY_D</v>
      </c>
      <c r="J29" s="13" t="str">
        <f>VLOOKUP($G29,'Visu totale'!$D$3:$DT$129,J$1,0)</f>
        <v>NANCY_D</v>
      </c>
      <c r="K29" s="13" t="str">
        <f>VLOOKUP($G29,'Visu totale'!$D$3:$DT$129,K$1,0)</f>
        <v>NANCY_D</v>
      </c>
      <c r="L29" s="13">
        <f>VLOOKUP($G29,'Visu totale'!$D$3:$DT$129,L$1,0)</f>
        <v>18</v>
      </c>
      <c r="M29" s="13">
        <f>VLOOKUP($G29,'Visu totale'!$D$3:$DT$129,M$1,0)</f>
        <v>18</v>
      </c>
      <c r="N29" s="13" t="str">
        <f>VLOOKUP($G29,'Visu totale'!$D$3:$DT$129,N$1,0)</f>
        <v>V10</v>
      </c>
      <c r="O29" s="13" t="str">
        <f>VLOOKUP($G29,'Visu totale'!$D$3:$DT$129,O$1,0)</f>
        <v>V10</v>
      </c>
      <c r="P29" s="13" t="str">
        <f>VLOOKUP($G29,'Visu totale'!$D$3:$DT$129,P$1,0)</f>
        <v>V10</v>
      </c>
      <c r="Q29" s="13" t="str">
        <f>VLOOKUP($G29,'Visu totale'!$D$3:$DT$129,Q$1,0)</f>
        <v>V10</v>
      </c>
      <c r="R29" s="15" t="str">
        <f>VLOOKUP($G29,'Visu totale'!$D$3:$DT$129,R$1,0)</f>
        <v>V10</v>
      </c>
      <c r="S29" s="14" t="str">
        <f>VLOOKUP($G29,'Visu totale'!$D$3:$DT$129,S$1,0)</f>
        <v>V10</v>
      </c>
      <c r="T29" s="13" t="str">
        <f>VLOOKUP($G29,'Visu totale'!$D$3:$DT$129,T$1,0)</f>
        <v>V10</v>
      </c>
      <c r="U29" s="13">
        <f>VLOOKUP($G29,'Visu totale'!$D$3:$DT$129,U$1,0)</f>
        <v>18</v>
      </c>
      <c r="V29" s="13">
        <f>VLOOKUP($G29,'Visu totale'!$D$3:$DT$129,V$1,0)</f>
        <v>18</v>
      </c>
      <c r="W29" s="13" t="str">
        <f>VLOOKUP($G29,'Visu totale'!$D$3:$DT$129,W$1,0)</f>
        <v>NANCY_D</v>
      </c>
      <c r="X29" s="13" t="str">
        <f>VLOOKUP($G29,'Visu totale'!$D$3:$DT$129,X$1,0)</f>
        <v>NANCY_D</v>
      </c>
      <c r="Y29" s="13" t="str">
        <f>VLOOKUP($G29,'Visu totale'!$D$3:$DT$129,Y$1,0)</f>
        <v>NANCY_D</v>
      </c>
      <c r="Z29" s="13" t="str">
        <f>VLOOKUP($G29,'Visu totale'!$D$3:$DT$129,Z$1,0)</f>
        <v>NANCY_D</v>
      </c>
      <c r="AA29" s="13">
        <f>VLOOKUP($G29,'Visu totale'!$D$3:$DT$129,AA$1,0)</f>
        <v>18</v>
      </c>
      <c r="AB29" s="13">
        <f>VLOOKUP($G29,'Visu totale'!$D$3:$DT$129,AB$1,0)</f>
        <v>18</v>
      </c>
      <c r="AC29" s="13" t="str">
        <f>VLOOKUP($G29,'Visu totale'!$D$3:$DT$129,AC$1,0)</f>
        <v>NANCY_D</v>
      </c>
      <c r="AD29" s="15" t="str">
        <f>VLOOKUP($G29,'Visu totale'!$D$3:$DT$129,AD$1,0)</f>
        <v>NANCY_D</v>
      </c>
      <c r="AE29" s="14" t="str">
        <f>VLOOKUP($G29,'Visu totale'!$D$3:$DT$129,AE$1,0)</f>
        <v>NANCY_D</v>
      </c>
      <c r="AF29" s="13" t="str">
        <f>VLOOKUP($G29,'Visu totale'!$D$3:$DT$129,AF$1,0)</f>
        <v>NANCY_D</v>
      </c>
      <c r="AG29" s="13">
        <f>VLOOKUP($G29,'Visu totale'!$D$3:$DT$129,AG$1,0)</f>
        <v>18</v>
      </c>
      <c r="AH29" s="13">
        <f>VLOOKUP($G29,'Visu totale'!$D$3:$DT$129,AH$1,0)</f>
        <v>18</v>
      </c>
      <c r="AI29" s="13" t="str">
        <f>VLOOKUP($G29,'Visu totale'!$D$3:$DT$129,AI$1,0)</f>
        <v>NANCY_D</v>
      </c>
      <c r="AJ29" s="13" t="str">
        <f>VLOOKUP($G29,'Visu totale'!$D$3:$DT$129,AJ$1,0)</f>
        <v>NANCY_D</v>
      </c>
      <c r="AK29" s="13">
        <f>VLOOKUP($G29,'Visu totale'!$D$3:$DT$129,AK$1,0)</f>
        <v>18</v>
      </c>
      <c r="AL29" s="13">
        <f>VLOOKUP($G29,'Visu totale'!$D$3:$DT$129,AL$1,0)</f>
        <v>18</v>
      </c>
      <c r="AM29" s="13" t="str">
        <f>VLOOKUP($G29,'Visu totale'!$D$3:$DT$129,AM$1,0)</f>
        <v>NANCY_D</v>
      </c>
      <c r="AN29" s="13" t="str">
        <f>VLOOKUP($G29,'Visu totale'!$D$3:$DT$129,AN$1,0)</f>
        <v>NANCY_D</v>
      </c>
      <c r="AO29" s="13" t="str">
        <f>VLOOKUP($G29,'Visu totale'!$D$3:$DT$129,AO$1,0)</f>
        <v>NANCY_D</v>
      </c>
      <c r="AP29" s="15" t="str">
        <f>VLOOKUP($G29,'Visu totale'!$D$3:$DT$129,AP$1,0)</f>
        <v>NANCY_D</v>
      </c>
      <c r="AQ29" s="14">
        <f>VLOOKUP($G29,'Visu totale'!$D$3:$DT$129,AQ$1,0)</f>
        <v>18</v>
      </c>
      <c r="AR29" s="13">
        <f>VLOOKUP($G29,'Visu totale'!$D$3:$DT$129,AR$1,0)</f>
        <v>18</v>
      </c>
      <c r="AS29" s="13" t="str">
        <f>VLOOKUP($G29,'Visu totale'!$D$3:$DT$129,AS$1,0)</f>
        <v>NANCY_D</v>
      </c>
      <c r="AT29" s="13" t="str">
        <f>VLOOKUP($G29,'Visu totale'!$D$3:$DT$129,AT$1,0)</f>
        <v>NANCY_D</v>
      </c>
      <c r="AU29" s="13" t="str">
        <f>VLOOKUP($G29,'Visu totale'!$D$3:$DT$129,AU$1,0)</f>
        <v>NANCY_D</v>
      </c>
      <c r="AV29" s="13" t="str">
        <f>VLOOKUP($G29,'Visu totale'!$D$3:$DT$129,AV$1,0)</f>
        <v>NANCY_D</v>
      </c>
      <c r="AW29" s="13">
        <f>VLOOKUP($G29,'Visu totale'!$D$3:$DT$129,AW$1,0)</f>
        <v>18</v>
      </c>
      <c r="AX29" s="13">
        <f>VLOOKUP($G29,'Visu totale'!$D$3:$DT$129,AX$1,0)</f>
        <v>18</v>
      </c>
      <c r="AY29" s="13" t="str">
        <f>VLOOKUP($G29,'Visu totale'!$D$3:$DT$129,AY$1,0)</f>
        <v>NANCY_D</v>
      </c>
      <c r="AZ29" s="13" t="str">
        <f>VLOOKUP($G29,'Visu totale'!$D$3:$DT$129,AZ$1,0)</f>
        <v>NANCY_D</v>
      </c>
      <c r="BA29" s="13" t="str">
        <f>VLOOKUP($G29,'Visu totale'!$D$3:$DT$129,BA$1,0)</f>
        <v>NANCY_D</v>
      </c>
      <c r="BB29" s="15" t="str">
        <f>VLOOKUP($G29,'Visu totale'!$D$3:$DT$129,BB$1,0)</f>
        <v>NANCY_D</v>
      </c>
      <c r="BC29" s="14">
        <f>VLOOKUP($G29,'Visu totale'!$D$3:$DT$129,BC$1,0)</f>
        <v>18</v>
      </c>
      <c r="BD29" s="13">
        <f>VLOOKUP($G29,'Visu totale'!$D$3:$DT$129,BD$1,0)</f>
        <v>18</v>
      </c>
      <c r="BE29" s="13" t="str">
        <f>VLOOKUP($G29,'Visu totale'!$D$3:$DT$129,BE$1,0)</f>
        <v>NANCY_D</v>
      </c>
      <c r="BF29" s="13" t="str">
        <f>VLOOKUP($G29,'Visu totale'!$D$3:$DT$129,BF$1,0)</f>
        <v>NANCY_D</v>
      </c>
      <c r="BG29" s="13" t="str">
        <f>VLOOKUP($G29,'Visu totale'!$D$3:$DT$129,BG$1,0)</f>
        <v>NANCY_D</v>
      </c>
      <c r="BH29" s="13" t="str">
        <f>VLOOKUP($G29,'Visu totale'!$D$3:$DT$129,BH$1,0)</f>
        <v>NANCY_D</v>
      </c>
      <c r="BI29" s="13">
        <f>VLOOKUP($G29,'Visu totale'!$D$3:$DT$129,BI$1,0)</f>
        <v>18</v>
      </c>
      <c r="BJ29" s="13">
        <f>VLOOKUP($G29,'Visu totale'!$D$3:$DT$129,BJ$1,0)</f>
        <v>18</v>
      </c>
      <c r="BK29" s="13" t="str">
        <f>VLOOKUP($G29,'Visu totale'!$D$3:$DT$129,BK$1,0)</f>
        <v>NANCY_D</v>
      </c>
      <c r="BL29" s="13" t="str">
        <f>VLOOKUP($G29,'Visu totale'!$D$3:$DT$129,BL$1,0)</f>
        <v>NANCY_D</v>
      </c>
      <c r="BM29" s="13" t="str">
        <f>VLOOKUP($G29,'Visu totale'!$D$3:$DT$129,BM$1,0)</f>
        <v>NANCY_D</v>
      </c>
      <c r="BN29" s="15" t="str">
        <f>VLOOKUP($G29,'Visu totale'!$D$3:$DT$129,BN$1,0)</f>
        <v>NANCY_D</v>
      </c>
      <c r="BO29" s="14">
        <f>VLOOKUP($G29,'Visu totale'!$D$3:$DT$129,BO$1,0)</f>
        <v>18</v>
      </c>
      <c r="BP29" s="13">
        <f>VLOOKUP($G29,'Visu totale'!$D$3:$DT$129,BP$1,0)</f>
        <v>18</v>
      </c>
      <c r="BQ29" s="13">
        <f>VLOOKUP($G29,'Visu totale'!$D$3:$DT$129,BQ$1,0)</f>
        <v>18</v>
      </c>
      <c r="BR29" s="13">
        <f>VLOOKUP($G29,'Visu totale'!$D$3:$DT$129,BR$1,0)</f>
        <v>18</v>
      </c>
      <c r="BS29" s="13">
        <f>VLOOKUP($G29,'Visu totale'!$D$3:$DT$129,BS$1,0)</f>
        <v>18</v>
      </c>
      <c r="BT29" s="13">
        <f>VLOOKUP($G29,'Visu totale'!$D$3:$DT$129,BT$1,0)</f>
        <v>0</v>
      </c>
      <c r="BU29" s="13">
        <f>VLOOKUP($G29,'Visu totale'!$D$3:$DT$129,BU$1,0)</f>
        <v>0</v>
      </c>
      <c r="BV29" s="13">
        <f>VLOOKUP($G29,'Visu totale'!$D$3:$DT$129,BV$1,0)</f>
        <v>0</v>
      </c>
      <c r="BW29" s="13">
        <f>VLOOKUP($G29,'Visu totale'!$D$3:$DT$129,BW$1,0)</f>
        <v>0</v>
      </c>
      <c r="BX29" s="13">
        <f>VLOOKUP($G29,'Visu totale'!$D$3:$DT$129,BX$1,0)</f>
        <v>0</v>
      </c>
      <c r="BY29" s="13">
        <f>VLOOKUP($G29,'Visu totale'!$D$3:$DT$129,BY$1,0)</f>
        <v>0</v>
      </c>
      <c r="BZ29" s="15">
        <f>VLOOKUP($G29,'Visu totale'!$D$3:$DT$129,BZ$1,0)</f>
        <v>0</v>
      </c>
      <c r="CA29" s="14">
        <f>VLOOKUP($G29,'Visu totale'!$D$3:$DT$129,CA$1,0)</f>
        <v>0</v>
      </c>
      <c r="CB29" s="13">
        <f>VLOOKUP($G29,'Visu totale'!$D$3:$DT$129,CB$1,0)</f>
        <v>0</v>
      </c>
      <c r="CC29" s="13">
        <f>VLOOKUP($G29,'Visu totale'!$D$3:$DT$129,CC$1,0)</f>
        <v>0</v>
      </c>
      <c r="CD29" s="13">
        <f>VLOOKUP($G29,'Visu totale'!$D$3:$DT$129,CD$1,0)</f>
        <v>0</v>
      </c>
      <c r="CE29" s="13">
        <f>VLOOKUP($G29,'Visu totale'!$D$3:$DT$129,CE$1,0)</f>
        <v>0</v>
      </c>
      <c r="CF29" s="13">
        <f>VLOOKUP($G29,'Visu totale'!$D$3:$DT$129,CF$1,0)</f>
        <v>0</v>
      </c>
      <c r="CG29" s="13">
        <f>VLOOKUP($G29,'Visu totale'!$D$3:$DT$129,CG$1,0)</f>
        <v>0</v>
      </c>
      <c r="CH29" s="13">
        <f>VLOOKUP($G29,'Visu totale'!$D$3:$DT$129,CH$1,0)</f>
        <v>0</v>
      </c>
      <c r="CI29" s="13">
        <f>VLOOKUP($G29,'Visu totale'!$D$3:$DT$129,CI$1,0)</f>
        <v>0</v>
      </c>
      <c r="CJ29" s="13">
        <f>VLOOKUP($G29,'Visu totale'!$D$3:$DT$129,CJ$1,0)</f>
        <v>0</v>
      </c>
      <c r="CK29" s="13" t="str">
        <f>VLOOKUP($G29,'Visu totale'!$D$3:$DT$129,CK$1,0)</f>
        <v>V15</v>
      </c>
      <c r="CL29" s="15" t="str">
        <f>VLOOKUP($G29,'Visu totale'!$D$3:$DT$129,CL$1,0)</f>
        <v>V15</v>
      </c>
      <c r="CM29" s="14" t="str">
        <f>VLOOKUP($G29,'Visu totale'!$D$3:$DT$129,CM$1,0)</f>
        <v>V15</v>
      </c>
      <c r="CN29" s="13" t="str">
        <f>VLOOKUP($G29,'Visu totale'!$D$3:$DT$129,CN$1,0)</f>
        <v>V15</v>
      </c>
      <c r="CO29" s="13" t="str">
        <f>VLOOKUP($G29,'Visu totale'!$D$3:$DT$129,CO$1,0)</f>
        <v>V15</v>
      </c>
      <c r="CP29" s="13" t="str">
        <f>VLOOKUP($G29,'Visu totale'!$D$3:$DT$129,CP$1,0)</f>
        <v>V15</v>
      </c>
      <c r="CQ29" s="13">
        <f>VLOOKUP($G29,'Visu totale'!$D$3:$DT$129,CQ$1,0)</f>
        <v>18</v>
      </c>
      <c r="CR29" s="13">
        <f>VLOOKUP($G29,'Visu totale'!$D$3:$DT$129,CR$1,0)</f>
        <v>18</v>
      </c>
      <c r="CS29" s="13" t="str">
        <f>VLOOKUP($G29,'Visu totale'!$D$3:$DT$129,CS$1,0)</f>
        <v>NANCY_D</v>
      </c>
      <c r="CT29" s="13" t="str">
        <f>VLOOKUP($G29,'Visu totale'!$D$3:$DT$129,CT$1,0)</f>
        <v>NANCY_D</v>
      </c>
      <c r="CU29" s="13" t="str">
        <f>VLOOKUP($G29,'Visu totale'!$D$3:$DT$129,CU$1,0)</f>
        <v>NANCY_D</v>
      </c>
      <c r="CV29" s="13" t="str">
        <f>VLOOKUP($G29,'Visu totale'!$D$3:$DT$129,CV$1,0)</f>
        <v>NANCY_D</v>
      </c>
      <c r="CW29" s="13">
        <f>VLOOKUP($G29,'Visu totale'!$D$3:$DT$129,CW$1,0)</f>
        <v>18</v>
      </c>
      <c r="CX29" s="15">
        <f>VLOOKUP($G29,'Visu totale'!$D$3:$DT$129,CX$1,0)</f>
        <v>18</v>
      </c>
      <c r="CY29" s="14">
        <f>VLOOKUP($G29,'Visu totale'!$D$3:$DT$129,CY$1,0)</f>
        <v>0</v>
      </c>
      <c r="CZ29" s="13">
        <f>VLOOKUP($G29,'Visu totale'!$D$3:$DT$129,CZ$1,0)</f>
        <v>0</v>
      </c>
      <c r="DA29" s="13">
        <f>VLOOKUP($G29,'Visu totale'!$D$3:$DT$129,DA$1,0)</f>
        <v>0</v>
      </c>
      <c r="DB29" s="13">
        <f>VLOOKUP($G29,'Visu totale'!$D$3:$DT$129,DB$1,0)</f>
        <v>0</v>
      </c>
      <c r="DC29" s="13">
        <f>VLOOKUP($G29,'Visu totale'!$D$3:$DT$129,DC$1,0)</f>
        <v>0</v>
      </c>
      <c r="DD29" s="13">
        <f>VLOOKUP($G29,'Visu totale'!$D$3:$DT$129,DD$1,0)</f>
        <v>0</v>
      </c>
      <c r="DE29" s="13">
        <f>VLOOKUP($G29,'Visu totale'!$D$3:$DT$129,DE$1,0)</f>
        <v>0</v>
      </c>
      <c r="DF29" s="13">
        <f>VLOOKUP($G29,'Visu totale'!$D$3:$DT$129,DF$1,0)</f>
        <v>0</v>
      </c>
      <c r="DG29" s="13">
        <f>VLOOKUP($G29,'Visu totale'!$D$3:$DT$129,DG$1,0)</f>
        <v>0</v>
      </c>
      <c r="DH29" s="13">
        <f>VLOOKUP($G29,'Visu totale'!$D$3:$DT$129,DH$1,0)</f>
        <v>0</v>
      </c>
      <c r="DI29" s="13">
        <f>VLOOKUP($G29,'Visu totale'!$D$3:$DT$129,DI$1,0)</f>
        <v>0</v>
      </c>
      <c r="DJ29" s="15">
        <f>VLOOKUP($G29,'Visu totale'!$D$3:$DT$129,DJ$1,0)</f>
        <v>0</v>
      </c>
      <c r="DK29" s="14">
        <f>VLOOKUP($G29,'Visu totale'!$D$3:$DT$129,DK$1,0)</f>
        <v>0</v>
      </c>
      <c r="DL29" s="13">
        <f>VLOOKUP($G29,'Visu totale'!$D$3:$DT$129,DL$1,0)</f>
        <v>0</v>
      </c>
      <c r="DM29" s="13">
        <f>VLOOKUP($G29,'Visu totale'!$D$3:$DT$129,DM$1,0)</f>
        <v>0</v>
      </c>
      <c r="DN29" s="13">
        <f>VLOOKUP($G29,'Visu totale'!$D$3:$DT$129,DN$1,0)</f>
        <v>0</v>
      </c>
      <c r="DO29" s="13">
        <f>VLOOKUP($G29,'Visu totale'!$D$3:$DT$129,DO$1,0)</f>
        <v>0</v>
      </c>
      <c r="DP29" s="13">
        <f>VLOOKUP($G29,'Visu totale'!$D$3:$DT$129,DP$1,0)</f>
        <v>0</v>
      </c>
      <c r="DQ29" s="13">
        <f>VLOOKUP($G29,'Visu totale'!$D$3:$DT$129,DQ$1,0)</f>
        <v>0</v>
      </c>
      <c r="DR29" s="13">
        <f>VLOOKUP($G29,'Visu totale'!$D$3:$DT$129,DR$1,0)</f>
        <v>0</v>
      </c>
      <c r="DS29" s="13">
        <f>VLOOKUP($G29,'Visu totale'!$D$3:$DT$129,DS$1,0)</f>
        <v>0</v>
      </c>
      <c r="DT29" s="13">
        <f>VLOOKUP($G29,'Visu totale'!$D$3:$DT$129,DT$1,0)</f>
        <v>0</v>
      </c>
      <c r="DU29" s="13">
        <f>VLOOKUP($G29,'Visu totale'!$D$3:$DT$129,DU$1,0)</f>
        <v>0</v>
      </c>
      <c r="DV29" s="15">
        <f>VLOOKUP($G29,'Visu totale'!$D$3:$DT$129,DV$1,0)</f>
        <v>0</v>
      </c>
    </row>
    <row r="30" spans="1:126" x14ac:dyDescent="0.25">
      <c r="A30" s="13"/>
      <c r="B30" s="13"/>
      <c r="C30" s="13"/>
      <c r="D30" s="16"/>
      <c r="E30" s="14"/>
      <c r="F30" s="13"/>
      <c r="G30" s="17" t="s">
        <v>32</v>
      </c>
      <c r="H30" s="13" t="str">
        <f>VLOOKUP($G30,'Visu totale'!$D$3:$DT$129,H$1,0)</f>
        <v>V10</v>
      </c>
      <c r="I30" s="13" t="str">
        <f>VLOOKUP($G30,'Visu totale'!$D$3:$DT$129,I$1,0)</f>
        <v>V10</v>
      </c>
      <c r="J30" s="13" t="str">
        <f>VLOOKUP($G30,'Visu totale'!$D$3:$DT$129,J$1,0)</f>
        <v>V10</v>
      </c>
      <c r="K30" s="13" t="str">
        <f>VLOOKUP($G30,'Visu totale'!$D$3:$DT$129,K$1,0)</f>
        <v>V10</v>
      </c>
      <c r="L30" s="13" t="str">
        <f>VLOOKUP($G30,'Visu totale'!$D$3:$DT$129,L$1,0)</f>
        <v>V10</v>
      </c>
      <c r="M30" s="13" t="str">
        <f>VLOOKUP($G30,'Visu totale'!$D$3:$DT$129,M$1,0)</f>
        <v>V10</v>
      </c>
      <c r="N30" s="13" t="str">
        <f>VLOOKUP($G30,'Visu totale'!$D$3:$DT$129,N$1,0)</f>
        <v>V10</v>
      </c>
      <c r="O30" s="13">
        <f>VLOOKUP($G30,'Visu totale'!$D$3:$DT$129,O$1,0)</f>
        <v>18</v>
      </c>
      <c r="P30" s="13">
        <f>VLOOKUP($G30,'Visu totale'!$D$3:$DT$129,P$1,0)</f>
        <v>18</v>
      </c>
      <c r="Q30" s="13" t="str">
        <f>VLOOKUP($G30,'Visu totale'!$D$3:$DT$129,Q$1,0)</f>
        <v>CHAMMAL_D</v>
      </c>
      <c r="R30" s="15" t="str">
        <f>VLOOKUP($G30,'Visu totale'!$D$3:$DT$129,R$1,0)</f>
        <v>CHAMMAL_D</v>
      </c>
      <c r="S30" s="14" t="str">
        <f>VLOOKUP($G30,'Visu totale'!$D$3:$DT$129,S$1,0)</f>
        <v>CHAMMAL_D</v>
      </c>
      <c r="T30" s="13" t="str">
        <f>VLOOKUP($G30,'Visu totale'!$D$3:$DT$129,T$1,0)</f>
        <v>CHAMMAL_D</v>
      </c>
      <c r="U30" s="13">
        <f>VLOOKUP($G30,'Visu totale'!$D$3:$DT$129,U$1,0)</f>
        <v>18</v>
      </c>
      <c r="V30" s="13">
        <f>VLOOKUP($G30,'Visu totale'!$D$3:$DT$129,V$1,0)</f>
        <v>18</v>
      </c>
      <c r="W30" s="13" t="str">
        <f>VLOOKUP($G30,'Visu totale'!$D$3:$DT$129,W$1,0)</f>
        <v>NANCY_D</v>
      </c>
      <c r="X30" s="13" t="str">
        <f>VLOOKUP($G30,'Visu totale'!$D$3:$DT$129,X$1,0)</f>
        <v>NANCY_D</v>
      </c>
      <c r="Y30" s="13" t="str">
        <f>VLOOKUP($G30,'Visu totale'!$D$3:$DT$129,Y$1,0)</f>
        <v>NANCY_D</v>
      </c>
      <c r="Z30" s="13" t="str">
        <f>VLOOKUP($G30,'Visu totale'!$D$3:$DT$129,Z$1,0)</f>
        <v>NANCY_D</v>
      </c>
      <c r="AA30" s="13">
        <f>VLOOKUP($G30,'Visu totale'!$D$3:$DT$129,AA$1,0)</f>
        <v>18</v>
      </c>
      <c r="AB30" s="13">
        <f>VLOOKUP($G30,'Visu totale'!$D$3:$DT$129,AB$1,0)</f>
        <v>18</v>
      </c>
      <c r="AC30" s="13" t="str">
        <f>VLOOKUP($G30,'Visu totale'!$D$3:$DT$129,AC$1,0)</f>
        <v>NANCY_D</v>
      </c>
      <c r="AD30" s="15" t="str">
        <f>VLOOKUP($G30,'Visu totale'!$D$3:$DT$129,AD$1,0)</f>
        <v>NANCY_D</v>
      </c>
      <c r="AE30" s="14" t="str">
        <f>VLOOKUP($G30,'Visu totale'!$D$3:$DT$129,AE$1,0)</f>
        <v>NANCY_D</v>
      </c>
      <c r="AF30" s="13" t="str">
        <f>VLOOKUP($G30,'Visu totale'!$D$3:$DT$129,AF$1,0)</f>
        <v>NANCY_D</v>
      </c>
      <c r="AG30" s="13">
        <f>VLOOKUP($G30,'Visu totale'!$D$3:$DT$129,AG$1,0)</f>
        <v>18</v>
      </c>
      <c r="AH30" s="13">
        <f>VLOOKUP($G30,'Visu totale'!$D$3:$DT$129,AH$1,0)</f>
        <v>18</v>
      </c>
      <c r="AI30" s="13" t="str">
        <f>VLOOKUP($G30,'Visu totale'!$D$3:$DT$129,AI$1,0)</f>
        <v>NANCY_D</v>
      </c>
      <c r="AJ30" s="13" t="str">
        <f>VLOOKUP($G30,'Visu totale'!$D$3:$DT$129,AJ$1,0)</f>
        <v>NANCY_D</v>
      </c>
      <c r="AK30" s="13">
        <f>VLOOKUP($G30,'Visu totale'!$D$3:$DT$129,AK$1,0)</f>
        <v>18</v>
      </c>
      <c r="AL30" s="13">
        <f>VLOOKUP($G30,'Visu totale'!$D$3:$DT$129,AL$1,0)</f>
        <v>18</v>
      </c>
      <c r="AM30" s="13" t="str">
        <f>VLOOKUP($G30,'Visu totale'!$D$3:$DT$129,AM$1,0)</f>
        <v>NANCY_D</v>
      </c>
      <c r="AN30" s="13" t="str">
        <f>VLOOKUP($G30,'Visu totale'!$D$3:$DT$129,AN$1,0)</f>
        <v>NANCY_D</v>
      </c>
      <c r="AO30" s="13" t="str">
        <f>VLOOKUP($G30,'Visu totale'!$D$3:$DT$129,AO$1,0)</f>
        <v>NANCY_D</v>
      </c>
      <c r="AP30" s="15" t="str">
        <f>VLOOKUP($G30,'Visu totale'!$D$3:$DT$129,AP$1,0)</f>
        <v>NANCY_D</v>
      </c>
      <c r="AQ30" s="14">
        <f>VLOOKUP($G30,'Visu totale'!$D$3:$DT$129,AQ$1,0)</f>
        <v>18</v>
      </c>
      <c r="AR30" s="13">
        <f>VLOOKUP($G30,'Visu totale'!$D$3:$DT$129,AR$1,0)</f>
        <v>18</v>
      </c>
      <c r="AS30" s="13" t="str">
        <f>VLOOKUP($G30,'Visu totale'!$D$3:$DT$129,AS$1,0)</f>
        <v>NANCY_D</v>
      </c>
      <c r="AT30" s="13" t="str">
        <f>VLOOKUP($G30,'Visu totale'!$D$3:$DT$129,AT$1,0)</f>
        <v>NANCY_D</v>
      </c>
      <c r="AU30" s="13" t="str">
        <f>VLOOKUP($G30,'Visu totale'!$D$3:$DT$129,AU$1,0)</f>
        <v>NANCY_D</v>
      </c>
      <c r="AV30" s="13" t="str">
        <f>VLOOKUP($G30,'Visu totale'!$D$3:$DT$129,AV$1,0)</f>
        <v>NANCY_D</v>
      </c>
      <c r="AW30" s="13">
        <f>VLOOKUP($G30,'Visu totale'!$D$3:$DT$129,AW$1,0)</f>
        <v>18</v>
      </c>
      <c r="AX30" s="13">
        <f>VLOOKUP($G30,'Visu totale'!$D$3:$DT$129,AX$1,0)</f>
        <v>18</v>
      </c>
      <c r="AY30" s="13">
        <f>VLOOKUP($G30,'Visu totale'!$D$3:$DT$129,AY$1,0)</f>
        <v>18</v>
      </c>
      <c r="AZ30" s="13">
        <f>VLOOKUP($G30,'Visu totale'!$D$3:$DT$129,AZ$1,0)</f>
        <v>18</v>
      </c>
      <c r="BA30" s="13">
        <f>VLOOKUP($G30,'Visu totale'!$D$3:$DT$129,BA$1,0)</f>
        <v>18</v>
      </c>
      <c r="BB30" s="15">
        <f>VLOOKUP($G30,'Visu totale'!$D$3:$DT$129,BB$1,0)</f>
        <v>18</v>
      </c>
      <c r="BC30" s="14">
        <f>VLOOKUP($G30,'Visu totale'!$D$3:$DT$129,BC$1,0)</f>
        <v>18</v>
      </c>
      <c r="BD30" s="13">
        <f>VLOOKUP($G30,'Visu totale'!$D$3:$DT$129,BD$1,0)</f>
        <v>18</v>
      </c>
      <c r="BE30" s="13">
        <f>VLOOKUP($G30,'Visu totale'!$D$3:$DT$129,BE$1,0)</f>
        <v>18</v>
      </c>
      <c r="BF30" s="13">
        <f>VLOOKUP($G30,'Visu totale'!$D$3:$DT$129,BF$1,0)</f>
        <v>0</v>
      </c>
      <c r="BG30" s="13">
        <f>VLOOKUP($G30,'Visu totale'!$D$3:$DT$129,BG$1,0)</f>
        <v>0</v>
      </c>
      <c r="BH30" s="13">
        <f>VLOOKUP($G30,'Visu totale'!$D$3:$DT$129,BH$1,0)</f>
        <v>0</v>
      </c>
      <c r="BI30" s="13">
        <f>VLOOKUP($G30,'Visu totale'!$D$3:$DT$129,BI$1,0)</f>
        <v>0</v>
      </c>
      <c r="BJ30" s="13" t="str">
        <f>VLOOKUP($G30,'Visu totale'!$D$3:$DT$129,BJ$1,0)</f>
        <v>V15</v>
      </c>
      <c r="BK30" s="13" t="str">
        <f>VLOOKUP($G30,'Visu totale'!$D$3:$DT$129,BK$1,0)</f>
        <v>V15</v>
      </c>
      <c r="BL30" s="13" t="str">
        <f>VLOOKUP($G30,'Visu totale'!$D$3:$DT$129,BL$1,0)</f>
        <v>V15</v>
      </c>
      <c r="BM30" s="13" t="str">
        <f>VLOOKUP($G30,'Visu totale'!$D$3:$DT$129,BM$1,0)</f>
        <v>V15</v>
      </c>
      <c r="BN30" s="15" t="str">
        <f>VLOOKUP($G30,'Visu totale'!$D$3:$DT$129,BN$1,0)</f>
        <v>V15</v>
      </c>
      <c r="BO30" s="14">
        <f>VLOOKUP($G30,'Visu totale'!$D$3:$DT$129,BO$1,0)</f>
        <v>18</v>
      </c>
      <c r="BP30" s="13" t="str">
        <f>VLOOKUP($G30,'Visu totale'!$D$3:$DT$129,BP$1,0)</f>
        <v>NANCY_D</v>
      </c>
      <c r="BQ30" s="13" t="str">
        <f>VLOOKUP($G30,'Visu totale'!$D$3:$DT$129,BQ$1,0)</f>
        <v>NANCY_D</v>
      </c>
      <c r="BR30" s="13" t="str">
        <f>VLOOKUP($G30,'Visu totale'!$D$3:$DT$129,BR$1,0)</f>
        <v>NANCY_D</v>
      </c>
      <c r="BS30" s="13" t="str">
        <f>VLOOKUP($G30,'Visu totale'!$D$3:$DT$129,BS$1,0)</f>
        <v>NANCY_D</v>
      </c>
      <c r="BT30" s="13">
        <f>VLOOKUP($G30,'Visu totale'!$D$3:$DT$129,BT$1,0)</f>
        <v>18</v>
      </c>
      <c r="BU30" s="13">
        <f>VLOOKUP($G30,'Visu totale'!$D$3:$DT$129,BU$1,0)</f>
        <v>18</v>
      </c>
      <c r="BV30" s="13" t="str">
        <f>VLOOKUP($G30,'Visu totale'!$D$3:$DT$129,BV$1,0)</f>
        <v>NANCY_D</v>
      </c>
      <c r="BW30" s="13" t="str">
        <f>VLOOKUP($G30,'Visu totale'!$D$3:$DT$129,BW$1,0)</f>
        <v>NANCY_D</v>
      </c>
      <c r="BX30" s="13" t="str">
        <f>VLOOKUP($G30,'Visu totale'!$D$3:$DT$129,BX$1,0)</f>
        <v>NANCY_D</v>
      </c>
      <c r="BY30" s="13" t="str">
        <f>VLOOKUP($G30,'Visu totale'!$D$3:$DT$129,BY$1,0)</f>
        <v>NANCY_D</v>
      </c>
      <c r="BZ30" s="15">
        <f>VLOOKUP($G30,'Visu totale'!$D$3:$DT$129,BZ$1,0)</f>
        <v>18</v>
      </c>
      <c r="CA30" s="14">
        <f>VLOOKUP($G30,'Visu totale'!$D$3:$DT$129,CA$1,0)</f>
        <v>18</v>
      </c>
      <c r="CB30" s="13" t="str">
        <f>VLOOKUP($G30,'Visu totale'!$D$3:$DT$129,CB$1,0)</f>
        <v>NANCY_D</v>
      </c>
      <c r="CC30" s="13" t="str">
        <f>VLOOKUP($G30,'Visu totale'!$D$3:$DT$129,CC$1,0)</f>
        <v>NANCY_D</v>
      </c>
      <c r="CD30" s="13" t="str">
        <f>VLOOKUP($G30,'Visu totale'!$D$3:$DT$129,CD$1,0)</f>
        <v>NANCY_D</v>
      </c>
      <c r="CE30" s="13" t="str">
        <f>VLOOKUP($G30,'Visu totale'!$D$3:$DT$129,CE$1,0)</f>
        <v>NANCY_D</v>
      </c>
      <c r="CF30" s="13">
        <f>VLOOKUP($G30,'Visu totale'!$D$3:$DT$129,CF$1,0)</f>
        <v>18</v>
      </c>
      <c r="CG30" s="13">
        <f>VLOOKUP($G30,'Visu totale'!$D$3:$DT$129,CG$1,0)</f>
        <v>18</v>
      </c>
      <c r="CH30" s="13" t="str">
        <f>VLOOKUP($G30,'Visu totale'!$D$3:$DT$129,CH$1,0)</f>
        <v>NANCY_D</v>
      </c>
      <c r="CI30" s="13" t="str">
        <f>VLOOKUP($G30,'Visu totale'!$D$3:$DT$129,CI$1,0)</f>
        <v>NANCY_D</v>
      </c>
      <c r="CJ30" s="13" t="str">
        <f>VLOOKUP($G30,'Visu totale'!$D$3:$DT$129,CJ$1,0)</f>
        <v>NANCY_D</v>
      </c>
      <c r="CK30" s="13" t="str">
        <f>VLOOKUP($G30,'Visu totale'!$D$3:$DT$129,CK$1,0)</f>
        <v>NANCY_D</v>
      </c>
      <c r="CL30" s="15">
        <f>VLOOKUP($G30,'Visu totale'!$D$3:$DT$129,CL$1,0)</f>
        <v>18</v>
      </c>
      <c r="CM30" s="14">
        <f>VLOOKUP($G30,'Visu totale'!$D$3:$DT$129,CM$1,0)</f>
        <v>18</v>
      </c>
      <c r="CN30" s="13" t="str">
        <f>VLOOKUP($G30,'Visu totale'!$D$3:$DT$129,CN$1,0)</f>
        <v>NANCY_D</v>
      </c>
      <c r="CO30" s="13" t="str">
        <f>VLOOKUP($G30,'Visu totale'!$D$3:$DT$129,CO$1,0)</f>
        <v>NANCY_D</v>
      </c>
      <c r="CP30" s="13" t="str">
        <f>VLOOKUP($G30,'Visu totale'!$D$3:$DT$129,CP$1,0)</f>
        <v>NANCY_D</v>
      </c>
      <c r="CQ30" s="13" t="str">
        <f>VLOOKUP($G30,'Visu totale'!$D$3:$DT$129,CQ$1,0)</f>
        <v>NANCY_D</v>
      </c>
      <c r="CR30" s="13">
        <f>VLOOKUP($G30,'Visu totale'!$D$3:$DT$129,CR$1,0)</f>
        <v>18</v>
      </c>
      <c r="CS30" s="13">
        <f>VLOOKUP($G30,'Visu totale'!$D$3:$DT$129,CS$1,0)</f>
        <v>18</v>
      </c>
      <c r="CT30" s="13">
        <f>VLOOKUP($G30,'Visu totale'!$D$3:$DT$129,CT$1,0)</f>
        <v>18</v>
      </c>
      <c r="CU30" s="13">
        <f>VLOOKUP($G30,'Visu totale'!$D$3:$DT$129,CU$1,0)</f>
        <v>18</v>
      </c>
      <c r="CV30" s="13">
        <f>VLOOKUP($G30,'Visu totale'!$D$3:$DT$129,CV$1,0)</f>
        <v>18</v>
      </c>
      <c r="CW30" s="13">
        <f>VLOOKUP($G30,'Visu totale'!$D$3:$DT$129,CW$1,0)</f>
        <v>18</v>
      </c>
      <c r="CX30" s="15">
        <f>VLOOKUP($G30,'Visu totale'!$D$3:$DT$129,CX$1,0)</f>
        <v>18</v>
      </c>
      <c r="CY30" s="14">
        <f>VLOOKUP($G30,'Visu totale'!$D$3:$DT$129,CY$1,0)</f>
        <v>0</v>
      </c>
      <c r="CZ30" s="13">
        <f>VLOOKUP($G30,'Visu totale'!$D$3:$DT$129,CZ$1,0)</f>
        <v>0</v>
      </c>
      <c r="DA30" s="13">
        <f>VLOOKUP($G30,'Visu totale'!$D$3:$DT$129,DA$1,0)</f>
        <v>0</v>
      </c>
      <c r="DB30" s="13">
        <f>VLOOKUP($G30,'Visu totale'!$D$3:$DT$129,DB$1,0)</f>
        <v>0</v>
      </c>
      <c r="DC30" s="13">
        <f>VLOOKUP($G30,'Visu totale'!$D$3:$DT$129,DC$1,0)</f>
        <v>0</v>
      </c>
      <c r="DD30" s="13">
        <f>VLOOKUP($G30,'Visu totale'!$D$3:$DT$129,DD$1,0)</f>
        <v>0</v>
      </c>
      <c r="DE30" s="13">
        <f>VLOOKUP($G30,'Visu totale'!$D$3:$DT$129,DE$1,0)</f>
        <v>0</v>
      </c>
      <c r="DF30" s="13">
        <f>VLOOKUP($G30,'Visu totale'!$D$3:$DT$129,DF$1,0)</f>
        <v>0</v>
      </c>
      <c r="DG30" s="13">
        <f>VLOOKUP($G30,'Visu totale'!$D$3:$DT$129,DG$1,0)</f>
        <v>0</v>
      </c>
      <c r="DH30" s="13">
        <f>VLOOKUP($G30,'Visu totale'!$D$3:$DT$129,DH$1,0)</f>
        <v>0</v>
      </c>
      <c r="DI30" s="13">
        <f>VLOOKUP($G30,'Visu totale'!$D$3:$DT$129,DI$1,0)</f>
        <v>0</v>
      </c>
      <c r="DJ30" s="15">
        <f>VLOOKUP($G30,'Visu totale'!$D$3:$DT$129,DJ$1,0)</f>
        <v>0</v>
      </c>
      <c r="DK30" s="14">
        <f>VLOOKUP($G30,'Visu totale'!$D$3:$DT$129,DK$1,0)</f>
        <v>0</v>
      </c>
      <c r="DL30" s="13">
        <f>VLOOKUP($G30,'Visu totale'!$D$3:$DT$129,DL$1,0)</f>
        <v>0</v>
      </c>
      <c r="DM30" s="13">
        <f>VLOOKUP($G30,'Visu totale'!$D$3:$DT$129,DM$1,0)</f>
        <v>0</v>
      </c>
      <c r="DN30" s="13">
        <f>VLOOKUP($G30,'Visu totale'!$D$3:$DT$129,DN$1,0)</f>
        <v>0</v>
      </c>
      <c r="DO30" s="13">
        <f>VLOOKUP($G30,'Visu totale'!$D$3:$DT$129,DO$1,0)</f>
        <v>0</v>
      </c>
      <c r="DP30" s="13">
        <f>VLOOKUP($G30,'Visu totale'!$D$3:$DT$129,DP$1,0)</f>
        <v>0</v>
      </c>
      <c r="DQ30" s="13">
        <f>VLOOKUP($G30,'Visu totale'!$D$3:$DT$129,DQ$1,0)</f>
        <v>0</v>
      </c>
      <c r="DR30" s="13">
        <f>VLOOKUP($G30,'Visu totale'!$D$3:$DT$129,DR$1,0)</f>
        <v>0</v>
      </c>
      <c r="DS30" s="13">
        <f>VLOOKUP($G30,'Visu totale'!$D$3:$DT$129,DS$1,0)</f>
        <v>0</v>
      </c>
      <c r="DT30" s="13">
        <f>VLOOKUP($G30,'Visu totale'!$D$3:$DT$129,DT$1,0)</f>
        <v>0</v>
      </c>
      <c r="DU30" s="13">
        <f>VLOOKUP($G30,'Visu totale'!$D$3:$DT$129,DU$1,0)</f>
        <v>0</v>
      </c>
      <c r="DV30" s="15">
        <f>VLOOKUP($G30,'Visu totale'!$D$3:$DT$129,DV$1,0)</f>
        <v>0</v>
      </c>
    </row>
    <row r="31" spans="1:126" x14ac:dyDescent="0.25">
      <c r="A31" s="13"/>
      <c r="B31" s="13"/>
      <c r="C31" s="13"/>
      <c r="D31" s="16"/>
      <c r="E31" s="14"/>
      <c r="F31" s="13"/>
      <c r="G31" s="17" t="s">
        <v>33</v>
      </c>
      <c r="H31" s="13">
        <f>VLOOKUP($G31,'Visu totale'!$D$3:$DT$129,H$1,0)</f>
        <v>18</v>
      </c>
      <c r="I31" s="13" t="str">
        <f>VLOOKUP($G31,'Visu totale'!$D$3:$DT$129,I$1,0)</f>
        <v>NANCY_D</v>
      </c>
      <c r="J31" s="13" t="str">
        <f>VLOOKUP($G31,'Visu totale'!$D$3:$DT$129,J$1,0)</f>
        <v>NANCY_D</v>
      </c>
      <c r="K31" s="13" t="str">
        <f>VLOOKUP($G31,'Visu totale'!$D$3:$DT$129,K$1,0)</f>
        <v>NANCY_D</v>
      </c>
      <c r="L31" s="13" t="str">
        <f>VLOOKUP($G31,'Visu totale'!$D$3:$DT$129,L$1,0)</f>
        <v>NANCY_D</v>
      </c>
      <c r="M31" s="13">
        <f>VLOOKUP($G31,'Visu totale'!$D$3:$DT$129,M$1,0)</f>
        <v>18</v>
      </c>
      <c r="N31" s="13">
        <f>VLOOKUP($G31,'Visu totale'!$D$3:$DT$129,N$1,0)</f>
        <v>18</v>
      </c>
      <c r="O31" s="13" t="str">
        <f>VLOOKUP($G31,'Visu totale'!$D$3:$DT$129,O$1,0)</f>
        <v>NANCY_D</v>
      </c>
      <c r="P31" s="13" t="str">
        <f>VLOOKUP($G31,'Visu totale'!$D$3:$DT$129,P$1,0)</f>
        <v>NANCY_D</v>
      </c>
      <c r="Q31" s="13" t="str">
        <f>VLOOKUP($G31,'Visu totale'!$D$3:$DT$129,Q$1,0)</f>
        <v>NANCY_D</v>
      </c>
      <c r="R31" s="15" t="str">
        <f>VLOOKUP($G31,'Visu totale'!$D$3:$DT$129,R$1,0)</f>
        <v>NANCY_D</v>
      </c>
      <c r="S31" s="14">
        <f>VLOOKUP($G31,'Visu totale'!$D$3:$DT$129,S$1,0)</f>
        <v>18</v>
      </c>
      <c r="T31" s="13">
        <f>VLOOKUP($G31,'Visu totale'!$D$3:$DT$129,T$1,0)</f>
        <v>18</v>
      </c>
      <c r="U31" s="13" t="str">
        <f>VLOOKUP($G31,'Visu totale'!$D$3:$DT$129,U$1,0)</f>
        <v>NANCY_D</v>
      </c>
      <c r="V31" s="13" t="str">
        <f>VLOOKUP($G31,'Visu totale'!$D$3:$DT$129,V$1,0)</f>
        <v>NANCY_D</v>
      </c>
      <c r="W31" s="13" t="str">
        <f>VLOOKUP($G31,'Visu totale'!$D$3:$DT$129,W$1,0)</f>
        <v>NANCY_D</v>
      </c>
      <c r="X31" s="13" t="str">
        <f>VLOOKUP($G31,'Visu totale'!$D$3:$DT$129,X$1,0)</f>
        <v>NANCY_D</v>
      </c>
      <c r="Y31" s="13">
        <f>VLOOKUP($G31,'Visu totale'!$D$3:$DT$129,Y$1,0)</f>
        <v>18</v>
      </c>
      <c r="Z31" s="13">
        <f>VLOOKUP($G31,'Visu totale'!$D$3:$DT$129,Z$1,0)</f>
        <v>18</v>
      </c>
      <c r="AA31" s="13" t="str">
        <f>VLOOKUP($G31,'Visu totale'!$D$3:$DT$129,AA$1,0)</f>
        <v>NANCY_D</v>
      </c>
      <c r="AB31" s="13" t="str">
        <f>VLOOKUP($G31,'Visu totale'!$D$3:$DT$129,AB$1,0)</f>
        <v>NANCY_D</v>
      </c>
      <c r="AC31" s="13" t="str">
        <f>VLOOKUP($G31,'Visu totale'!$D$3:$DT$129,AC$1,0)</f>
        <v>NANCY_D</v>
      </c>
      <c r="AD31" s="15" t="str">
        <f>VLOOKUP($G31,'Visu totale'!$D$3:$DT$129,AD$1,0)</f>
        <v>NANCY_D</v>
      </c>
      <c r="AE31" s="14">
        <f>VLOOKUP($G31,'Visu totale'!$D$3:$DT$129,AE$1,0)</f>
        <v>18</v>
      </c>
      <c r="AF31" s="13">
        <f>VLOOKUP($G31,'Visu totale'!$D$3:$DT$129,AF$1,0)</f>
        <v>18</v>
      </c>
      <c r="AG31" s="13" t="str">
        <f>VLOOKUP($G31,'Visu totale'!$D$3:$DT$129,AG$1,0)</f>
        <v>NANCY_D</v>
      </c>
      <c r="AH31" s="13" t="str">
        <f>VLOOKUP($G31,'Visu totale'!$D$3:$DT$129,AH$1,0)</f>
        <v>NANCY_D</v>
      </c>
      <c r="AI31" s="13" t="str">
        <f>VLOOKUP($G31,'Visu totale'!$D$3:$DT$129,AI$1,0)</f>
        <v>NANCY_D</v>
      </c>
      <c r="AJ31" s="13" t="str">
        <f>VLOOKUP($G31,'Visu totale'!$D$3:$DT$129,AJ$1,0)</f>
        <v>NANCY_D</v>
      </c>
      <c r="AK31" s="13">
        <f>VLOOKUP($G31,'Visu totale'!$D$3:$DT$129,AK$1,0)</f>
        <v>18</v>
      </c>
      <c r="AL31" s="13">
        <f>VLOOKUP($G31,'Visu totale'!$D$3:$DT$129,AL$1,0)</f>
        <v>18</v>
      </c>
      <c r="AM31" s="13" t="str">
        <f>VLOOKUP($G31,'Visu totale'!$D$3:$DT$129,AM$1,0)</f>
        <v>NANCY_D</v>
      </c>
      <c r="AN31" s="13" t="str">
        <f>VLOOKUP($G31,'Visu totale'!$D$3:$DT$129,AN$1,0)</f>
        <v>NANCY_D</v>
      </c>
      <c r="AO31" s="13" t="str">
        <f>VLOOKUP($G31,'Visu totale'!$D$3:$DT$129,AO$1,0)</f>
        <v>NANCY_D</v>
      </c>
      <c r="AP31" s="15" t="str">
        <f>VLOOKUP($G31,'Visu totale'!$D$3:$DT$129,AP$1,0)</f>
        <v>NANCY_D</v>
      </c>
      <c r="AQ31" s="14">
        <f>VLOOKUP($G31,'Visu totale'!$D$3:$DT$129,AQ$1,0)</f>
        <v>18</v>
      </c>
      <c r="AR31" s="13">
        <f>VLOOKUP($G31,'Visu totale'!$D$3:$DT$129,AR$1,0)</f>
        <v>18</v>
      </c>
      <c r="AS31" s="13" t="str">
        <f>VLOOKUP($G31,'Visu totale'!$D$3:$DT$129,AS$1,0)</f>
        <v>NANCY_D</v>
      </c>
      <c r="AT31" s="13" t="str">
        <f>VLOOKUP($G31,'Visu totale'!$D$3:$DT$129,AT$1,0)</f>
        <v>NANCY_D</v>
      </c>
      <c r="AU31" s="13" t="str">
        <f>VLOOKUP($G31,'Visu totale'!$D$3:$DT$129,AU$1,0)</f>
        <v>NANCY_D</v>
      </c>
      <c r="AV31" s="13" t="str">
        <f>VLOOKUP($G31,'Visu totale'!$D$3:$DT$129,AV$1,0)</f>
        <v>NANCY_D</v>
      </c>
      <c r="AW31" s="13" t="str">
        <f>VLOOKUP($G31,'Visu totale'!$D$3:$DT$129,AW$1,0)</f>
        <v>V10</v>
      </c>
      <c r="AX31" s="13" t="str">
        <f>VLOOKUP($G31,'Visu totale'!$D$3:$DT$129,AX$1,0)</f>
        <v>V10</v>
      </c>
      <c r="AY31" s="13" t="str">
        <f>VLOOKUP($G31,'Visu totale'!$D$3:$DT$129,AY$1,0)</f>
        <v>V10</v>
      </c>
      <c r="AZ31" s="13" t="str">
        <f>VLOOKUP($G31,'Visu totale'!$D$3:$DT$129,AZ$1,0)</f>
        <v>V10</v>
      </c>
      <c r="BA31" s="13" t="str">
        <f>VLOOKUP($G31,'Visu totale'!$D$3:$DT$129,BA$1,0)</f>
        <v>V10</v>
      </c>
      <c r="BB31" s="15" t="str">
        <f>VLOOKUP($G31,'Visu totale'!$D$3:$DT$129,BB$1,0)</f>
        <v>V10</v>
      </c>
      <c r="BC31" s="14">
        <f>VLOOKUP($G31,'Visu totale'!$D$3:$DT$129,BC$1,0)</f>
        <v>18</v>
      </c>
      <c r="BD31" s="13">
        <f>VLOOKUP($G31,'Visu totale'!$D$3:$DT$129,BD$1,0)</f>
        <v>18</v>
      </c>
      <c r="BE31" s="13" t="str">
        <f>VLOOKUP($G31,'Visu totale'!$D$3:$DT$129,BE$1,0)</f>
        <v>NANCY_D</v>
      </c>
      <c r="BF31" s="13" t="str">
        <f>VLOOKUP($G31,'Visu totale'!$D$3:$DT$129,BF$1,0)</f>
        <v>NANCY_D</v>
      </c>
      <c r="BG31" s="13" t="str">
        <f>VLOOKUP($G31,'Visu totale'!$D$3:$DT$129,BG$1,0)</f>
        <v>NANCY_D</v>
      </c>
      <c r="BH31" s="13" t="str">
        <f>VLOOKUP($G31,'Visu totale'!$D$3:$DT$129,BH$1,0)</f>
        <v>NANCY_D</v>
      </c>
      <c r="BI31" s="13">
        <f>VLOOKUP($G31,'Visu totale'!$D$3:$DT$129,BI$1,0)</f>
        <v>18</v>
      </c>
      <c r="BJ31" s="13">
        <f>VLOOKUP($G31,'Visu totale'!$D$3:$DT$129,BJ$1,0)</f>
        <v>18</v>
      </c>
      <c r="BK31" s="13" t="str">
        <f>VLOOKUP($G31,'Visu totale'!$D$3:$DT$129,BK$1,0)</f>
        <v>NANCY_D</v>
      </c>
      <c r="BL31" s="13" t="str">
        <f>VLOOKUP($G31,'Visu totale'!$D$3:$DT$129,BL$1,0)</f>
        <v>NANCY_D</v>
      </c>
      <c r="BM31" s="13" t="str">
        <f>VLOOKUP($G31,'Visu totale'!$D$3:$DT$129,BM$1,0)</f>
        <v>NANCY_D</v>
      </c>
      <c r="BN31" s="15" t="str">
        <f>VLOOKUP($G31,'Visu totale'!$D$3:$DT$129,BN$1,0)</f>
        <v>NANCY_D</v>
      </c>
      <c r="BO31" s="14">
        <f>VLOOKUP($G31,'Visu totale'!$D$3:$DT$129,BO$1,0)</f>
        <v>0</v>
      </c>
      <c r="BP31" s="13">
        <f>VLOOKUP($G31,'Visu totale'!$D$3:$DT$129,BP$1,0)</f>
        <v>0</v>
      </c>
      <c r="BQ31" s="13">
        <f>VLOOKUP($G31,'Visu totale'!$D$3:$DT$129,BQ$1,0)</f>
        <v>0</v>
      </c>
      <c r="BR31" s="13">
        <f>VLOOKUP($G31,'Visu totale'!$D$3:$DT$129,BR$1,0)</f>
        <v>0</v>
      </c>
      <c r="BS31" s="13">
        <f>VLOOKUP($G31,'Visu totale'!$D$3:$DT$129,BS$1,0)</f>
        <v>0</v>
      </c>
      <c r="BT31" s="13">
        <f>VLOOKUP($G31,'Visu totale'!$D$3:$DT$129,BT$1,0)</f>
        <v>0</v>
      </c>
      <c r="BU31" s="13">
        <f>VLOOKUP($G31,'Visu totale'!$D$3:$DT$129,BU$1,0)</f>
        <v>0</v>
      </c>
      <c r="BV31" s="13">
        <f>VLOOKUP($G31,'Visu totale'!$D$3:$DT$129,BV$1,0)</f>
        <v>0</v>
      </c>
      <c r="BW31" s="13">
        <f>VLOOKUP($G31,'Visu totale'!$D$3:$DT$129,BW$1,0)</f>
        <v>0</v>
      </c>
      <c r="BX31" s="13">
        <f>VLOOKUP($G31,'Visu totale'!$D$3:$DT$129,BX$1,0)</f>
        <v>0</v>
      </c>
      <c r="BY31" s="13" t="str">
        <f>VLOOKUP($G31,'Visu totale'!$D$3:$DT$129,BY$1,0)</f>
        <v>V20</v>
      </c>
      <c r="BZ31" s="15" t="str">
        <f>VLOOKUP($G31,'Visu totale'!$D$3:$DT$129,BZ$1,0)</f>
        <v>V20</v>
      </c>
      <c r="CA31" s="14" t="str">
        <f>VLOOKUP($G31,'Visu totale'!$D$3:$DT$129,CA$1,0)</f>
        <v>V20</v>
      </c>
      <c r="CB31" s="13" t="str">
        <f>VLOOKUP($G31,'Visu totale'!$D$3:$DT$129,CB$1,0)</f>
        <v>V20</v>
      </c>
      <c r="CC31" s="13" t="str">
        <f>VLOOKUP($G31,'Visu totale'!$D$3:$DT$129,CC$1,0)</f>
        <v>V20</v>
      </c>
      <c r="CD31" s="13" t="str">
        <f>VLOOKUP($G31,'Visu totale'!$D$3:$DT$129,CD$1,0)</f>
        <v>V20</v>
      </c>
      <c r="CE31" s="13">
        <f>VLOOKUP($G31,'Visu totale'!$D$3:$DT$129,CE$1,0)</f>
        <v>18</v>
      </c>
      <c r="CF31" s="13">
        <f>VLOOKUP($G31,'Visu totale'!$D$3:$DT$129,CF$1,0)</f>
        <v>18</v>
      </c>
      <c r="CG31" s="13" t="str">
        <f>VLOOKUP($G31,'Visu totale'!$D$3:$DT$129,CG$1,0)</f>
        <v>NANCY_D</v>
      </c>
      <c r="CH31" s="13" t="str">
        <f>VLOOKUP($G31,'Visu totale'!$D$3:$DT$129,CH$1,0)</f>
        <v>NANCY_D</v>
      </c>
      <c r="CI31" s="13" t="str">
        <f>VLOOKUP($G31,'Visu totale'!$D$3:$DT$129,CI$1,0)</f>
        <v>NANCY_D</v>
      </c>
      <c r="CJ31" s="13" t="str">
        <f>VLOOKUP($G31,'Visu totale'!$D$3:$DT$129,CJ$1,0)</f>
        <v>NANCY_D</v>
      </c>
      <c r="CK31" s="13">
        <f>VLOOKUP($G31,'Visu totale'!$D$3:$DT$129,CK$1,0)</f>
        <v>18</v>
      </c>
      <c r="CL31" s="15">
        <f>VLOOKUP($G31,'Visu totale'!$D$3:$DT$129,CL$1,0)</f>
        <v>18</v>
      </c>
      <c r="CM31" s="14" t="str">
        <f>VLOOKUP($G31,'Visu totale'!$D$3:$DT$129,CM$1,0)</f>
        <v>NANCY_D</v>
      </c>
      <c r="CN31" s="13" t="str">
        <f>VLOOKUP($G31,'Visu totale'!$D$3:$DT$129,CN$1,0)</f>
        <v>NANCY_D</v>
      </c>
      <c r="CO31" s="13" t="str">
        <f>VLOOKUP($G31,'Visu totale'!$D$3:$DT$129,CO$1,0)</f>
        <v>NANCY_D</v>
      </c>
      <c r="CP31" s="13" t="str">
        <f>VLOOKUP($G31,'Visu totale'!$D$3:$DT$129,CP$1,0)</f>
        <v>NANCY_D</v>
      </c>
      <c r="CQ31" s="13">
        <f>VLOOKUP($G31,'Visu totale'!$D$3:$DT$129,CQ$1,0)</f>
        <v>18</v>
      </c>
      <c r="CR31" s="13">
        <f>VLOOKUP($G31,'Visu totale'!$D$3:$DT$129,CR$1,0)</f>
        <v>18</v>
      </c>
      <c r="CS31" s="13" t="str">
        <f>VLOOKUP($G31,'Visu totale'!$D$3:$DT$129,CS$1,0)</f>
        <v>NANCY_D</v>
      </c>
      <c r="CT31" s="13" t="str">
        <f>VLOOKUP($G31,'Visu totale'!$D$3:$DT$129,CT$1,0)</f>
        <v>NANCY_D</v>
      </c>
      <c r="CU31" s="13" t="str">
        <f>VLOOKUP($G31,'Visu totale'!$D$3:$DT$129,CU$1,0)</f>
        <v>NANCY_D</v>
      </c>
      <c r="CV31" s="13" t="str">
        <f>VLOOKUP($G31,'Visu totale'!$D$3:$DT$129,CV$1,0)</f>
        <v>NANCY_D</v>
      </c>
      <c r="CW31" s="13">
        <f>VLOOKUP($G31,'Visu totale'!$D$3:$DT$129,CW$1,0)</f>
        <v>18</v>
      </c>
      <c r="CX31" s="15">
        <f>VLOOKUP($G31,'Visu totale'!$D$3:$DT$129,CX$1,0)</f>
        <v>18</v>
      </c>
      <c r="CY31" s="14">
        <f>VLOOKUP($G31,'Visu totale'!$D$3:$DT$129,CY$1,0)</f>
        <v>0</v>
      </c>
      <c r="CZ31" s="13">
        <f>VLOOKUP($G31,'Visu totale'!$D$3:$DT$129,CZ$1,0)</f>
        <v>0</v>
      </c>
      <c r="DA31" s="13">
        <f>VLOOKUP($G31,'Visu totale'!$D$3:$DT$129,DA$1,0)</f>
        <v>0</v>
      </c>
      <c r="DB31" s="13">
        <f>VLOOKUP($G31,'Visu totale'!$D$3:$DT$129,DB$1,0)</f>
        <v>0</v>
      </c>
      <c r="DC31" s="13">
        <f>VLOOKUP($G31,'Visu totale'!$D$3:$DT$129,DC$1,0)</f>
        <v>0</v>
      </c>
      <c r="DD31" s="13">
        <f>VLOOKUP($G31,'Visu totale'!$D$3:$DT$129,DD$1,0)</f>
        <v>0</v>
      </c>
      <c r="DE31" s="13">
        <f>VLOOKUP($G31,'Visu totale'!$D$3:$DT$129,DE$1,0)</f>
        <v>0</v>
      </c>
      <c r="DF31" s="13">
        <f>VLOOKUP($G31,'Visu totale'!$D$3:$DT$129,DF$1,0)</f>
        <v>0</v>
      </c>
      <c r="DG31" s="13">
        <f>VLOOKUP($G31,'Visu totale'!$D$3:$DT$129,DG$1,0)</f>
        <v>0</v>
      </c>
      <c r="DH31" s="13">
        <f>VLOOKUP($G31,'Visu totale'!$D$3:$DT$129,DH$1,0)</f>
        <v>0</v>
      </c>
      <c r="DI31" s="13">
        <f>VLOOKUP($G31,'Visu totale'!$D$3:$DT$129,DI$1,0)</f>
        <v>0</v>
      </c>
      <c r="DJ31" s="15">
        <f>VLOOKUP($G31,'Visu totale'!$D$3:$DT$129,DJ$1,0)</f>
        <v>0</v>
      </c>
      <c r="DK31" s="14">
        <f>VLOOKUP($G31,'Visu totale'!$D$3:$DT$129,DK$1,0)</f>
        <v>0</v>
      </c>
      <c r="DL31" s="13">
        <f>VLOOKUP($G31,'Visu totale'!$D$3:$DT$129,DL$1,0)</f>
        <v>0</v>
      </c>
      <c r="DM31" s="13">
        <f>VLOOKUP($G31,'Visu totale'!$D$3:$DT$129,DM$1,0)</f>
        <v>0</v>
      </c>
      <c r="DN31" s="13">
        <f>VLOOKUP($G31,'Visu totale'!$D$3:$DT$129,DN$1,0)</f>
        <v>0</v>
      </c>
      <c r="DO31" s="13">
        <f>VLOOKUP($G31,'Visu totale'!$D$3:$DT$129,DO$1,0)</f>
        <v>0</v>
      </c>
      <c r="DP31" s="13">
        <f>VLOOKUP($G31,'Visu totale'!$D$3:$DT$129,DP$1,0)</f>
        <v>0</v>
      </c>
      <c r="DQ31" s="13">
        <f>VLOOKUP($G31,'Visu totale'!$D$3:$DT$129,DQ$1,0)</f>
        <v>0</v>
      </c>
      <c r="DR31" s="13">
        <f>VLOOKUP($G31,'Visu totale'!$D$3:$DT$129,DR$1,0)</f>
        <v>0</v>
      </c>
      <c r="DS31" s="13">
        <f>VLOOKUP($G31,'Visu totale'!$D$3:$DT$129,DS$1,0)</f>
        <v>0</v>
      </c>
      <c r="DT31" s="13">
        <f>VLOOKUP($G31,'Visu totale'!$D$3:$DT$129,DT$1,0)</f>
        <v>0</v>
      </c>
      <c r="DU31" s="13">
        <f>VLOOKUP($G31,'Visu totale'!$D$3:$DT$129,DU$1,0)</f>
        <v>0</v>
      </c>
      <c r="DV31" s="15">
        <f>VLOOKUP($G31,'Visu totale'!$D$3:$DT$129,DV$1,0)</f>
        <v>0</v>
      </c>
    </row>
    <row r="32" spans="1:126" x14ac:dyDescent="0.25">
      <c r="A32" s="13"/>
      <c r="B32" s="13"/>
      <c r="C32" s="13"/>
      <c r="D32" s="16"/>
      <c r="E32" s="14"/>
      <c r="F32" s="13"/>
      <c r="G32" s="17" t="s">
        <v>34</v>
      </c>
      <c r="H32" s="13">
        <f>VLOOKUP($G32,'Visu totale'!$D$3:$DT$129,H$1,0)</f>
        <v>18</v>
      </c>
      <c r="I32" s="13" t="str">
        <f>VLOOKUP($G32,'Visu totale'!$D$3:$DT$129,I$1,0)</f>
        <v>NANCY_D</v>
      </c>
      <c r="J32" s="13" t="str">
        <f>VLOOKUP($G32,'Visu totale'!$D$3:$DT$129,J$1,0)</f>
        <v>NANCY_D</v>
      </c>
      <c r="K32" s="13" t="str">
        <f>VLOOKUP($G32,'Visu totale'!$D$3:$DT$129,K$1,0)</f>
        <v>NANCY_D</v>
      </c>
      <c r="L32" s="13" t="str">
        <f>VLOOKUP($G32,'Visu totale'!$D$3:$DT$129,L$1,0)</f>
        <v>NANCY_D</v>
      </c>
      <c r="M32" s="13">
        <f>VLOOKUP($G32,'Visu totale'!$D$3:$DT$129,M$1,0)</f>
        <v>18</v>
      </c>
      <c r="N32" s="13">
        <f>VLOOKUP($G32,'Visu totale'!$D$3:$DT$129,N$1,0)</f>
        <v>18</v>
      </c>
      <c r="O32" s="13">
        <f>VLOOKUP($G32,'Visu totale'!$D$3:$DT$129,O$1,0)</f>
        <v>18</v>
      </c>
      <c r="P32" s="13">
        <f>VLOOKUP($G32,'Visu totale'!$D$3:$DT$129,P$1,0)</f>
        <v>18</v>
      </c>
      <c r="Q32" s="13">
        <f>VLOOKUP($G32,'Visu totale'!$D$3:$DT$129,Q$1,0)</f>
        <v>18</v>
      </c>
      <c r="R32" s="15">
        <f>VLOOKUP($G32,'Visu totale'!$D$3:$DT$129,R$1,0)</f>
        <v>18</v>
      </c>
      <c r="S32" s="14">
        <f>VLOOKUP($G32,'Visu totale'!$D$3:$DT$129,S$1,0)</f>
        <v>18</v>
      </c>
      <c r="T32" s="13">
        <f>VLOOKUP($G32,'Visu totale'!$D$3:$DT$129,T$1,0)</f>
        <v>18</v>
      </c>
      <c r="U32" s="13">
        <f>VLOOKUP($G32,'Visu totale'!$D$3:$DT$129,U$1,0)</f>
        <v>18</v>
      </c>
      <c r="V32" s="13">
        <f>VLOOKUP($G32,'Visu totale'!$D$3:$DT$129,V$1,0)</f>
        <v>0</v>
      </c>
      <c r="W32" s="13">
        <f>VLOOKUP($G32,'Visu totale'!$D$3:$DT$129,W$1,0)</f>
        <v>0</v>
      </c>
      <c r="X32" s="13">
        <f>VLOOKUP($G32,'Visu totale'!$D$3:$DT$129,X$1,0)</f>
        <v>0</v>
      </c>
      <c r="Y32" s="13" t="str">
        <f>VLOOKUP($G32,'Visu totale'!$D$3:$DT$129,Y$1,0)</f>
        <v>V10</v>
      </c>
      <c r="Z32" s="13" t="str">
        <f>VLOOKUP($G32,'Visu totale'!$D$3:$DT$129,Z$1,0)</f>
        <v>V10</v>
      </c>
      <c r="AA32" s="13" t="str">
        <f>VLOOKUP($G32,'Visu totale'!$D$3:$DT$129,AA$1,0)</f>
        <v>V10</v>
      </c>
      <c r="AB32" s="13" t="str">
        <f>VLOOKUP($G32,'Visu totale'!$D$3:$DT$129,AB$1,0)</f>
        <v>V10</v>
      </c>
      <c r="AC32" s="13" t="str">
        <f>VLOOKUP($G32,'Visu totale'!$D$3:$DT$129,AC$1,0)</f>
        <v>V10</v>
      </c>
      <c r="AD32" s="15" t="str">
        <f>VLOOKUP($G32,'Visu totale'!$D$3:$DT$129,AD$1,0)</f>
        <v>V10</v>
      </c>
      <c r="AE32" s="14">
        <f>VLOOKUP($G32,'Visu totale'!$D$3:$DT$129,AE$1,0)</f>
        <v>18</v>
      </c>
      <c r="AF32" s="13">
        <f>VLOOKUP($G32,'Visu totale'!$D$3:$DT$129,AF$1,0)</f>
        <v>18</v>
      </c>
      <c r="AG32" s="13" t="str">
        <f>VLOOKUP($G32,'Visu totale'!$D$3:$DT$129,AG$1,0)</f>
        <v>CHAMMAL_D</v>
      </c>
      <c r="AH32" s="13" t="str">
        <f>VLOOKUP($G32,'Visu totale'!$D$3:$DT$129,AH$1,0)</f>
        <v>CHAMMAL_D</v>
      </c>
      <c r="AI32" s="13" t="str">
        <f>VLOOKUP($G32,'Visu totale'!$D$3:$DT$129,AI$1,0)</f>
        <v>CHAMMAL_D</v>
      </c>
      <c r="AJ32" s="13" t="str">
        <f>VLOOKUP($G32,'Visu totale'!$D$3:$DT$129,AJ$1,0)</f>
        <v>CHAMMAL_D</v>
      </c>
      <c r="AK32" s="13">
        <f>VLOOKUP($G32,'Visu totale'!$D$3:$DT$129,AK$1,0)</f>
        <v>18</v>
      </c>
      <c r="AL32" s="13">
        <f>VLOOKUP($G32,'Visu totale'!$D$3:$DT$129,AL$1,0)</f>
        <v>18</v>
      </c>
      <c r="AM32" s="13" t="str">
        <f>VLOOKUP($G32,'Visu totale'!$D$3:$DT$129,AM$1,0)</f>
        <v>CHAMMAL_D</v>
      </c>
      <c r="AN32" s="13" t="str">
        <f>VLOOKUP($G32,'Visu totale'!$D$3:$DT$129,AN$1,0)</f>
        <v>CHAMMAL_D</v>
      </c>
      <c r="AO32" s="13" t="str">
        <f>VLOOKUP($G32,'Visu totale'!$D$3:$DT$129,AO$1,0)</f>
        <v>CHAMMAL_D</v>
      </c>
      <c r="AP32" s="15" t="str">
        <f>VLOOKUP($G32,'Visu totale'!$D$3:$DT$129,AP$1,0)</f>
        <v>CHAMMAL_D</v>
      </c>
      <c r="AQ32" s="14">
        <f>VLOOKUP($G32,'Visu totale'!$D$3:$DT$129,AQ$1,0)</f>
        <v>18</v>
      </c>
      <c r="AR32" s="13">
        <f>VLOOKUP($G32,'Visu totale'!$D$3:$DT$129,AR$1,0)</f>
        <v>18</v>
      </c>
      <c r="AS32" s="13" t="str">
        <f>VLOOKUP($G32,'Visu totale'!$D$3:$DT$129,AS$1,0)</f>
        <v>NANCY_D</v>
      </c>
      <c r="AT32" s="13" t="str">
        <f>VLOOKUP($G32,'Visu totale'!$D$3:$DT$129,AT$1,0)</f>
        <v>NANCY_D</v>
      </c>
      <c r="AU32" s="13" t="str">
        <f>VLOOKUP($G32,'Visu totale'!$D$3:$DT$129,AU$1,0)</f>
        <v>NANCY_D</v>
      </c>
      <c r="AV32" s="13" t="str">
        <f>VLOOKUP($G32,'Visu totale'!$D$3:$DT$129,AV$1,0)</f>
        <v>NANCY_D</v>
      </c>
      <c r="AW32" s="13">
        <f>VLOOKUP($G32,'Visu totale'!$D$3:$DT$129,AW$1,0)</f>
        <v>18</v>
      </c>
      <c r="AX32" s="13">
        <f>VLOOKUP($G32,'Visu totale'!$D$3:$DT$129,AX$1,0)</f>
        <v>18</v>
      </c>
      <c r="AY32" s="13">
        <f>VLOOKUP($G32,'Visu totale'!$D$3:$DT$129,AY$1,0)</f>
        <v>18</v>
      </c>
      <c r="AZ32" s="13">
        <f>VLOOKUP($G32,'Visu totale'!$D$3:$DT$129,AZ$1,0)</f>
        <v>18</v>
      </c>
      <c r="BA32" s="13">
        <f>VLOOKUP($G32,'Visu totale'!$D$3:$DT$129,BA$1,0)</f>
        <v>18</v>
      </c>
      <c r="BB32" s="15">
        <f>VLOOKUP($G32,'Visu totale'!$D$3:$DT$129,BB$1,0)</f>
        <v>18</v>
      </c>
      <c r="BC32" s="14">
        <f>VLOOKUP($G32,'Visu totale'!$D$3:$DT$129,BC$1,0)</f>
        <v>18</v>
      </c>
      <c r="BD32" s="13">
        <f>VLOOKUP($G32,'Visu totale'!$D$3:$DT$129,BD$1,0)</f>
        <v>18</v>
      </c>
      <c r="BE32" s="13">
        <f>VLOOKUP($G32,'Visu totale'!$D$3:$DT$129,BE$1,0)</f>
        <v>18</v>
      </c>
      <c r="BF32" s="13">
        <f>VLOOKUP($G32,'Visu totale'!$D$3:$DT$129,BF$1,0)</f>
        <v>18</v>
      </c>
      <c r="BG32" s="13">
        <f>VLOOKUP($G32,'Visu totale'!$D$3:$DT$129,BG$1,0)</f>
        <v>18</v>
      </c>
      <c r="BH32" s="13">
        <f>VLOOKUP($G32,'Visu totale'!$D$3:$DT$129,BH$1,0)</f>
        <v>0</v>
      </c>
      <c r="BI32" s="13">
        <f>VLOOKUP($G32,'Visu totale'!$D$3:$DT$129,BI$1,0)</f>
        <v>0</v>
      </c>
      <c r="BJ32" s="13">
        <f>VLOOKUP($G32,'Visu totale'!$D$3:$DT$129,BJ$1,0)</f>
        <v>0</v>
      </c>
      <c r="BK32" s="13">
        <f>VLOOKUP($G32,'Visu totale'!$D$3:$DT$129,BK$1,0)</f>
        <v>0</v>
      </c>
      <c r="BL32" s="13">
        <f>VLOOKUP($G32,'Visu totale'!$D$3:$DT$129,BL$1,0)</f>
        <v>0</v>
      </c>
      <c r="BM32" s="13">
        <f>VLOOKUP($G32,'Visu totale'!$D$3:$DT$129,BM$1,0)</f>
        <v>0</v>
      </c>
      <c r="BN32" s="15">
        <f>VLOOKUP($G32,'Visu totale'!$D$3:$DT$129,BN$1,0)</f>
        <v>0</v>
      </c>
      <c r="BO32" s="14">
        <f>VLOOKUP($G32,'Visu totale'!$D$3:$DT$129,BO$1,0)</f>
        <v>18</v>
      </c>
      <c r="BP32" s="13">
        <f>VLOOKUP($G32,'Visu totale'!$D$3:$DT$129,BP$1,0)</f>
        <v>18</v>
      </c>
      <c r="BQ32" s="13">
        <f>VLOOKUP($G32,'Visu totale'!$D$3:$DT$129,BQ$1,0)</f>
        <v>18</v>
      </c>
      <c r="BR32" s="13">
        <f>VLOOKUP($G32,'Visu totale'!$D$3:$DT$129,BR$1,0)</f>
        <v>18</v>
      </c>
      <c r="BS32" s="13">
        <f>VLOOKUP($G32,'Visu totale'!$D$3:$DT$129,BS$1,0)</f>
        <v>18</v>
      </c>
      <c r="BT32" s="13">
        <f>VLOOKUP($G32,'Visu totale'!$D$3:$DT$129,BT$1,0)</f>
        <v>18</v>
      </c>
      <c r="BU32" s="13">
        <f>VLOOKUP($G32,'Visu totale'!$D$3:$DT$129,BU$1,0)</f>
        <v>18</v>
      </c>
      <c r="BV32" s="13">
        <f>VLOOKUP($G32,'Visu totale'!$D$3:$DT$129,BV$1,0)</f>
        <v>0</v>
      </c>
      <c r="BW32" s="13">
        <f>VLOOKUP($G32,'Visu totale'!$D$3:$DT$129,BW$1,0)</f>
        <v>0</v>
      </c>
      <c r="BX32" s="13">
        <f>VLOOKUP($G32,'Visu totale'!$D$3:$DT$129,BX$1,0)</f>
        <v>0</v>
      </c>
      <c r="BY32" s="13">
        <f>VLOOKUP($G32,'Visu totale'!$D$3:$DT$129,BY$1,0)</f>
        <v>0</v>
      </c>
      <c r="BZ32" s="15">
        <f>VLOOKUP($G32,'Visu totale'!$D$3:$DT$129,BZ$1,0)</f>
        <v>0</v>
      </c>
      <c r="CA32" s="14">
        <f>VLOOKUP($G32,'Visu totale'!$D$3:$DT$129,CA$1,0)</f>
        <v>0</v>
      </c>
      <c r="CB32" s="13">
        <f>VLOOKUP($G32,'Visu totale'!$D$3:$DT$129,CB$1,0)</f>
        <v>0</v>
      </c>
      <c r="CC32" s="13">
        <f>VLOOKUP($G32,'Visu totale'!$D$3:$DT$129,CC$1,0)</f>
        <v>0</v>
      </c>
      <c r="CD32" s="13">
        <f>VLOOKUP($G32,'Visu totale'!$D$3:$DT$129,CD$1,0)</f>
        <v>0</v>
      </c>
      <c r="CE32" s="13">
        <f>VLOOKUP($G32,'Visu totale'!$D$3:$DT$129,CE$1,0)</f>
        <v>0</v>
      </c>
      <c r="CF32" s="13">
        <f>VLOOKUP($G32,'Visu totale'!$D$3:$DT$129,CF$1,0)</f>
        <v>0</v>
      </c>
      <c r="CG32" s="13">
        <f>VLOOKUP($G32,'Visu totale'!$D$3:$DT$129,CG$1,0)</f>
        <v>0</v>
      </c>
      <c r="CH32" s="13">
        <f>VLOOKUP($G32,'Visu totale'!$D$3:$DT$129,CH$1,0)</f>
        <v>0</v>
      </c>
      <c r="CI32" s="13">
        <f>VLOOKUP($G32,'Visu totale'!$D$3:$DT$129,CI$1,0)</f>
        <v>0</v>
      </c>
      <c r="CJ32" s="13">
        <f>VLOOKUP($G32,'Visu totale'!$D$3:$DT$129,CJ$1,0)</f>
        <v>0</v>
      </c>
      <c r="CK32" s="13">
        <f>VLOOKUP($G32,'Visu totale'!$D$3:$DT$129,CK$1,0)</f>
        <v>0</v>
      </c>
      <c r="CL32" s="15">
        <f>VLOOKUP($G32,'Visu totale'!$D$3:$DT$129,CL$1,0)</f>
        <v>0</v>
      </c>
      <c r="CM32" s="14">
        <f>VLOOKUP($G32,'Visu totale'!$D$3:$DT$129,CM$1,0)</f>
        <v>0</v>
      </c>
      <c r="CN32" s="13">
        <f>VLOOKUP($G32,'Visu totale'!$D$3:$DT$129,CN$1,0)</f>
        <v>0</v>
      </c>
      <c r="CO32" s="13">
        <f>VLOOKUP($G32,'Visu totale'!$D$3:$DT$129,CO$1,0)</f>
        <v>0</v>
      </c>
      <c r="CP32" s="13">
        <f>VLOOKUP($G32,'Visu totale'!$D$3:$DT$129,CP$1,0)</f>
        <v>0</v>
      </c>
      <c r="CQ32" s="13">
        <f>VLOOKUP($G32,'Visu totale'!$D$3:$DT$129,CQ$1,0)</f>
        <v>0</v>
      </c>
      <c r="CR32" s="13" t="str">
        <f>VLOOKUP($G32,'Visu totale'!$D$3:$DT$129,CR$1,0)</f>
        <v>V20</v>
      </c>
      <c r="CS32" s="13" t="str">
        <f>VLOOKUP($G32,'Visu totale'!$D$3:$DT$129,CS$1,0)</f>
        <v>V20</v>
      </c>
      <c r="CT32" s="13" t="str">
        <f>VLOOKUP($G32,'Visu totale'!$D$3:$DT$129,CT$1,0)</f>
        <v>V20</v>
      </c>
      <c r="CU32" s="13" t="str">
        <f>VLOOKUP($G32,'Visu totale'!$D$3:$DT$129,CU$1,0)</f>
        <v>V20</v>
      </c>
      <c r="CV32" s="13" t="str">
        <f>VLOOKUP($G32,'Visu totale'!$D$3:$DT$129,CV$1,0)</f>
        <v>V20</v>
      </c>
      <c r="CW32" s="13" t="str">
        <f>VLOOKUP($G32,'Visu totale'!$D$3:$DT$129,CW$1,0)</f>
        <v>V20</v>
      </c>
      <c r="CX32" s="15">
        <f>VLOOKUP($G32,'Visu totale'!$D$3:$DT$129,CX$1,0)</f>
        <v>18</v>
      </c>
      <c r="CY32" s="14">
        <f>VLOOKUP($G32,'Visu totale'!$D$3:$DT$129,CY$1,0)</f>
        <v>0</v>
      </c>
      <c r="CZ32" s="13">
        <f>VLOOKUP($G32,'Visu totale'!$D$3:$DT$129,CZ$1,0)</f>
        <v>0</v>
      </c>
      <c r="DA32" s="13">
        <f>VLOOKUP($G32,'Visu totale'!$D$3:$DT$129,DA$1,0)</f>
        <v>0</v>
      </c>
      <c r="DB32" s="13">
        <f>VLOOKUP($G32,'Visu totale'!$D$3:$DT$129,DB$1,0)</f>
        <v>0</v>
      </c>
      <c r="DC32" s="13">
        <f>VLOOKUP($G32,'Visu totale'!$D$3:$DT$129,DC$1,0)</f>
        <v>0</v>
      </c>
      <c r="DD32" s="13">
        <f>VLOOKUP($G32,'Visu totale'!$D$3:$DT$129,DD$1,0)</f>
        <v>0</v>
      </c>
      <c r="DE32" s="13">
        <f>VLOOKUP($G32,'Visu totale'!$D$3:$DT$129,DE$1,0)</f>
        <v>0</v>
      </c>
      <c r="DF32" s="13">
        <f>VLOOKUP($G32,'Visu totale'!$D$3:$DT$129,DF$1,0)</f>
        <v>0</v>
      </c>
      <c r="DG32" s="13">
        <f>VLOOKUP($G32,'Visu totale'!$D$3:$DT$129,DG$1,0)</f>
        <v>0</v>
      </c>
      <c r="DH32" s="13">
        <f>VLOOKUP($G32,'Visu totale'!$D$3:$DT$129,DH$1,0)</f>
        <v>0</v>
      </c>
      <c r="DI32" s="13">
        <f>VLOOKUP($G32,'Visu totale'!$D$3:$DT$129,DI$1,0)</f>
        <v>0</v>
      </c>
      <c r="DJ32" s="15">
        <f>VLOOKUP($G32,'Visu totale'!$D$3:$DT$129,DJ$1,0)</f>
        <v>0</v>
      </c>
      <c r="DK32" s="14">
        <f>VLOOKUP($G32,'Visu totale'!$D$3:$DT$129,DK$1,0)</f>
        <v>0</v>
      </c>
      <c r="DL32" s="13">
        <f>VLOOKUP($G32,'Visu totale'!$D$3:$DT$129,DL$1,0)</f>
        <v>0</v>
      </c>
      <c r="DM32" s="13">
        <f>VLOOKUP($G32,'Visu totale'!$D$3:$DT$129,DM$1,0)</f>
        <v>0</v>
      </c>
      <c r="DN32" s="13">
        <f>VLOOKUP($G32,'Visu totale'!$D$3:$DT$129,DN$1,0)</f>
        <v>0</v>
      </c>
      <c r="DO32" s="13">
        <f>VLOOKUP($G32,'Visu totale'!$D$3:$DT$129,DO$1,0)</f>
        <v>0</v>
      </c>
      <c r="DP32" s="13">
        <f>VLOOKUP($G32,'Visu totale'!$D$3:$DT$129,DP$1,0)</f>
        <v>0</v>
      </c>
      <c r="DQ32" s="13">
        <f>VLOOKUP($G32,'Visu totale'!$D$3:$DT$129,DQ$1,0)</f>
        <v>0</v>
      </c>
      <c r="DR32" s="13">
        <f>VLOOKUP($G32,'Visu totale'!$D$3:$DT$129,DR$1,0)</f>
        <v>0</v>
      </c>
      <c r="DS32" s="13">
        <f>VLOOKUP($G32,'Visu totale'!$D$3:$DT$129,DS$1,0)</f>
        <v>0</v>
      </c>
      <c r="DT32" s="13">
        <f>VLOOKUP($G32,'Visu totale'!$D$3:$DT$129,DT$1,0)</f>
        <v>0</v>
      </c>
      <c r="DU32" s="13">
        <f>VLOOKUP($G32,'Visu totale'!$D$3:$DT$129,DU$1,0)</f>
        <v>0</v>
      </c>
      <c r="DV32" s="15">
        <f>VLOOKUP($G32,'Visu totale'!$D$3:$DT$129,DV$1,0)</f>
        <v>0</v>
      </c>
    </row>
    <row r="33" spans="1:126" x14ac:dyDescent="0.25">
      <c r="A33" s="13"/>
      <c r="B33" s="13"/>
      <c r="C33" s="13"/>
      <c r="D33" s="16"/>
      <c r="E33" s="14"/>
      <c r="F33" s="13"/>
      <c r="G33" s="17" t="s">
        <v>35</v>
      </c>
      <c r="H33" s="13">
        <f>VLOOKUP($G33,'Visu totale'!$D$3:$DT$129,H$1,0)</f>
        <v>18</v>
      </c>
      <c r="I33" s="13" t="str">
        <f>VLOOKUP($G33,'Visu totale'!$D$3:$DT$129,I$1,0)</f>
        <v>NANCY_D</v>
      </c>
      <c r="J33" s="13" t="str">
        <f>VLOOKUP($G33,'Visu totale'!$D$3:$DT$129,J$1,0)</f>
        <v>NANCY_D</v>
      </c>
      <c r="K33" s="13" t="str">
        <f>VLOOKUP($G33,'Visu totale'!$D$3:$DT$129,K$1,0)</f>
        <v>NANCY_D</v>
      </c>
      <c r="L33" s="13" t="str">
        <f>VLOOKUP($G33,'Visu totale'!$D$3:$DT$129,L$1,0)</f>
        <v>NANCY_D</v>
      </c>
      <c r="M33" s="13" t="str">
        <f>VLOOKUP($G33,'Visu totale'!$D$3:$DT$129,M$1,0)</f>
        <v>V10</v>
      </c>
      <c r="N33" s="13" t="str">
        <f>VLOOKUP($G33,'Visu totale'!$D$3:$DT$129,N$1,0)</f>
        <v>V10</v>
      </c>
      <c r="O33" s="13" t="str">
        <f>VLOOKUP($G33,'Visu totale'!$D$3:$DT$129,O$1,0)</f>
        <v>V10</v>
      </c>
      <c r="P33" s="13" t="str">
        <f>VLOOKUP($G33,'Visu totale'!$D$3:$DT$129,P$1,0)</f>
        <v>V10</v>
      </c>
      <c r="Q33" s="13" t="str">
        <f>VLOOKUP($G33,'Visu totale'!$D$3:$DT$129,Q$1,0)</f>
        <v>V10</v>
      </c>
      <c r="R33" s="15" t="str">
        <f>VLOOKUP($G33,'Visu totale'!$D$3:$DT$129,R$1,0)</f>
        <v>V10</v>
      </c>
      <c r="S33" s="14" t="str">
        <f>VLOOKUP($G33,'Visu totale'!$D$3:$DT$129,S$1,0)</f>
        <v>V10</v>
      </c>
      <c r="T33" s="13">
        <f>VLOOKUP($G33,'Visu totale'!$D$3:$DT$129,T$1,0)</f>
        <v>18</v>
      </c>
      <c r="U33" s="13">
        <f>VLOOKUP($G33,'Visu totale'!$D$3:$DT$129,U$1,0)</f>
        <v>18</v>
      </c>
      <c r="V33" s="13" t="str">
        <f>VLOOKUP($G33,'Visu totale'!$D$3:$DT$129,V$1,0)</f>
        <v>NIAMEY_D</v>
      </c>
      <c r="W33" s="13" t="str">
        <f>VLOOKUP($G33,'Visu totale'!$D$3:$DT$129,W$1,0)</f>
        <v>NIAMEY_D</v>
      </c>
      <c r="X33" s="13" t="str">
        <f>VLOOKUP($G33,'Visu totale'!$D$3:$DT$129,X$1,0)</f>
        <v>NIAMEY_D</v>
      </c>
      <c r="Y33" s="13" t="str">
        <f>VLOOKUP($G33,'Visu totale'!$D$3:$DT$129,Y$1,0)</f>
        <v>NIAMEY_D</v>
      </c>
      <c r="Z33" s="13">
        <f>VLOOKUP($G33,'Visu totale'!$D$3:$DT$129,Z$1,0)</f>
        <v>18</v>
      </c>
      <c r="AA33" s="13">
        <f>VLOOKUP($G33,'Visu totale'!$D$3:$DT$129,AA$1,0)</f>
        <v>18</v>
      </c>
      <c r="AB33" s="13" t="str">
        <f>VLOOKUP($G33,'Visu totale'!$D$3:$DT$129,AB$1,0)</f>
        <v>NANCY_D</v>
      </c>
      <c r="AC33" s="13" t="str">
        <f>VLOOKUP($G33,'Visu totale'!$D$3:$DT$129,AC$1,0)</f>
        <v>NANCY_D</v>
      </c>
      <c r="AD33" s="15" t="str">
        <f>VLOOKUP($G33,'Visu totale'!$D$3:$DT$129,AD$1,0)</f>
        <v>NANCY_D</v>
      </c>
      <c r="AE33" s="14" t="str">
        <f>VLOOKUP($G33,'Visu totale'!$D$3:$DT$129,AE$1,0)</f>
        <v>NANCY_D</v>
      </c>
      <c r="AF33" s="13">
        <f>VLOOKUP($G33,'Visu totale'!$D$3:$DT$129,AF$1,0)</f>
        <v>18</v>
      </c>
      <c r="AG33" s="13">
        <f>VLOOKUP($G33,'Visu totale'!$D$3:$DT$129,AG$1,0)</f>
        <v>18</v>
      </c>
      <c r="AH33" s="13" t="str">
        <f>VLOOKUP($G33,'Visu totale'!$D$3:$DT$129,AH$1,0)</f>
        <v>NDJAMENA_D</v>
      </c>
      <c r="AI33" s="13" t="str">
        <f>VLOOKUP($G33,'Visu totale'!$D$3:$DT$129,AI$1,0)</f>
        <v>NDJAMENA_D</v>
      </c>
      <c r="AJ33" s="13" t="str">
        <f>VLOOKUP($G33,'Visu totale'!$D$3:$DT$129,AJ$1,0)</f>
        <v>NDJAMENA_D</v>
      </c>
      <c r="AK33" s="13">
        <f>VLOOKUP($G33,'Visu totale'!$D$3:$DT$129,AK$1,0)</f>
        <v>18</v>
      </c>
      <c r="AL33" s="13">
        <f>VLOOKUP($G33,'Visu totale'!$D$3:$DT$129,AL$1,0)</f>
        <v>18</v>
      </c>
      <c r="AM33" s="13" t="str">
        <f>VLOOKUP($G33,'Visu totale'!$D$3:$DT$129,AM$1,0)</f>
        <v>NANCY_D</v>
      </c>
      <c r="AN33" s="13" t="str">
        <f>VLOOKUP($G33,'Visu totale'!$D$3:$DT$129,AN$1,0)</f>
        <v>NANCY_D</v>
      </c>
      <c r="AO33" s="13" t="str">
        <f>VLOOKUP($G33,'Visu totale'!$D$3:$DT$129,AO$1,0)</f>
        <v>NANCY_D</v>
      </c>
      <c r="AP33" s="15" t="str">
        <f>VLOOKUP($G33,'Visu totale'!$D$3:$DT$129,AP$1,0)</f>
        <v>NANCY_D</v>
      </c>
      <c r="AQ33" s="14">
        <f>VLOOKUP($G33,'Visu totale'!$D$3:$DT$129,AQ$1,0)</f>
        <v>18</v>
      </c>
      <c r="AR33" s="13">
        <f>VLOOKUP($G33,'Visu totale'!$D$3:$DT$129,AR$1,0)</f>
        <v>18</v>
      </c>
      <c r="AS33" s="13" t="str">
        <f>VLOOKUP($G33,'Visu totale'!$D$3:$DT$129,AS$1,0)</f>
        <v>NIAMEY_D</v>
      </c>
      <c r="AT33" s="13" t="str">
        <f>VLOOKUP($G33,'Visu totale'!$D$3:$DT$129,AT$1,0)</f>
        <v>NIAMEY_D</v>
      </c>
      <c r="AU33" s="13" t="str">
        <f>VLOOKUP($G33,'Visu totale'!$D$3:$DT$129,AU$1,0)</f>
        <v>NIAMEY_D</v>
      </c>
      <c r="AV33" s="13" t="str">
        <f>VLOOKUP($G33,'Visu totale'!$D$3:$DT$129,AV$1,0)</f>
        <v>NIAMEY_D</v>
      </c>
      <c r="AW33" s="13">
        <f>VLOOKUP($G33,'Visu totale'!$D$3:$DT$129,AW$1,0)</f>
        <v>18</v>
      </c>
      <c r="AX33" s="13">
        <f>VLOOKUP($G33,'Visu totale'!$D$3:$DT$129,AX$1,0)</f>
        <v>18</v>
      </c>
      <c r="AY33" s="13">
        <f>VLOOKUP($G33,'Visu totale'!$D$3:$DT$129,AY$1,0)</f>
        <v>18</v>
      </c>
      <c r="AZ33" s="13">
        <f>VLOOKUP($G33,'Visu totale'!$D$3:$DT$129,AZ$1,0)</f>
        <v>18</v>
      </c>
      <c r="BA33" s="13">
        <f>VLOOKUP($G33,'Visu totale'!$D$3:$DT$129,BA$1,0)</f>
        <v>18</v>
      </c>
      <c r="BB33" s="15">
        <f>VLOOKUP($G33,'Visu totale'!$D$3:$DT$129,BB$1,0)</f>
        <v>18</v>
      </c>
      <c r="BC33" s="14">
        <f>VLOOKUP($G33,'Visu totale'!$D$3:$DT$129,BC$1,0)</f>
        <v>18</v>
      </c>
      <c r="BD33" s="13">
        <f>VLOOKUP($G33,'Visu totale'!$D$3:$DT$129,BD$1,0)</f>
        <v>0</v>
      </c>
      <c r="BE33" s="13">
        <f>VLOOKUP($G33,'Visu totale'!$D$3:$DT$129,BE$1,0)</f>
        <v>0</v>
      </c>
      <c r="BF33" s="13">
        <f>VLOOKUP($G33,'Visu totale'!$D$3:$DT$129,BF$1,0)</f>
        <v>0</v>
      </c>
      <c r="BG33" s="13">
        <f>VLOOKUP($G33,'Visu totale'!$D$3:$DT$129,BG$1,0)</f>
        <v>0</v>
      </c>
      <c r="BH33" s="13">
        <f>VLOOKUP($G33,'Visu totale'!$D$3:$DT$129,BH$1,0)</f>
        <v>0</v>
      </c>
      <c r="BI33" s="13">
        <f>VLOOKUP($G33,'Visu totale'!$D$3:$DT$129,BI$1,0)</f>
        <v>0</v>
      </c>
      <c r="BJ33" s="13">
        <f>VLOOKUP($G33,'Visu totale'!$D$3:$DT$129,BJ$1,0)</f>
        <v>0</v>
      </c>
      <c r="BK33" s="13">
        <f>VLOOKUP($G33,'Visu totale'!$D$3:$DT$129,BK$1,0)</f>
        <v>0</v>
      </c>
      <c r="BL33" s="13">
        <f>VLOOKUP($G33,'Visu totale'!$D$3:$DT$129,BL$1,0)</f>
        <v>0</v>
      </c>
      <c r="BM33" s="13">
        <f>VLOOKUP($G33,'Visu totale'!$D$3:$DT$129,BM$1,0)</f>
        <v>0</v>
      </c>
      <c r="BN33" s="15" t="str">
        <f>VLOOKUP($G33,'Visu totale'!$D$3:$DT$129,BN$1,0)</f>
        <v>V20</v>
      </c>
      <c r="BO33" s="14">
        <f>VLOOKUP($G33,'Visu totale'!$D$3:$DT$129,BO$1,0)</f>
        <v>18</v>
      </c>
      <c r="BP33" s="13" t="str">
        <f>VLOOKUP($G33,'Visu totale'!$D$3:$DT$129,BP$1,0)</f>
        <v>V15</v>
      </c>
      <c r="BQ33" s="13" t="str">
        <f>VLOOKUP($G33,'Visu totale'!$D$3:$DT$129,BQ$1,0)</f>
        <v>V15</v>
      </c>
      <c r="BR33" s="13" t="str">
        <f>VLOOKUP($G33,'Visu totale'!$D$3:$DT$129,BR$1,0)</f>
        <v>V15</v>
      </c>
      <c r="BS33" s="13" t="str">
        <f>VLOOKUP($G33,'Visu totale'!$D$3:$DT$129,BS$1,0)</f>
        <v>V15</v>
      </c>
      <c r="BT33" s="13" t="str">
        <f>VLOOKUP($G33,'Visu totale'!$D$3:$DT$129,BT$1,0)</f>
        <v>V15</v>
      </c>
      <c r="BU33" s="13" t="str">
        <f>VLOOKUP($G33,'Visu totale'!$D$3:$DT$129,BU$1,0)</f>
        <v>V15</v>
      </c>
      <c r="BV33" s="13">
        <f>VLOOKUP($G33,'Visu totale'!$D$3:$DT$129,BV$1,0)</f>
        <v>18</v>
      </c>
      <c r="BW33" s="13">
        <f>VLOOKUP($G33,'Visu totale'!$D$3:$DT$129,BW$1,0)</f>
        <v>18</v>
      </c>
      <c r="BX33" s="13" t="str">
        <f>VLOOKUP($G33,'Visu totale'!$D$3:$DT$129,BX$1,0)</f>
        <v>NANCY_D</v>
      </c>
      <c r="BY33" s="13" t="str">
        <f>VLOOKUP($G33,'Visu totale'!$D$3:$DT$129,BY$1,0)</f>
        <v>NANCY_D</v>
      </c>
      <c r="BZ33" s="15" t="str">
        <f>VLOOKUP($G33,'Visu totale'!$D$3:$DT$129,BZ$1,0)</f>
        <v>NANCY_D</v>
      </c>
      <c r="CA33" s="14" t="str">
        <f>VLOOKUP($G33,'Visu totale'!$D$3:$DT$129,CA$1,0)</f>
        <v>NANCY_D</v>
      </c>
      <c r="CB33" s="13">
        <f>VLOOKUP($G33,'Visu totale'!$D$3:$DT$129,CB$1,0)</f>
        <v>18</v>
      </c>
      <c r="CC33" s="13">
        <f>VLOOKUP($G33,'Visu totale'!$D$3:$DT$129,CC$1,0)</f>
        <v>18</v>
      </c>
      <c r="CD33" s="13" t="str">
        <f>VLOOKUP($G33,'Visu totale'!$D$3:$DT$129,CD$1,0)</f>
        <v>NANCY_D</v>
      </c>
      <c r="CE33" s="13" t="str">
        <f>VLOOKUP($G33,'Visu totale'!$D$3:$DT$129,CE$1,0)</f>
        <v>NANCY_D</v>
      </c>
      <c r="CF33" s="13" t="str">
        <f>VLOOKUP($G33,'Visu totale'!$D$3:$DT$129,CF$1,0)</f>
        <v>NANCY_D</v>
      </c>
      <c r="CG33" s="13" t="str">
        <f>VLOOKUP($G33,'Visu totale'!$D$3:$DT$129,CG$1,0)</f>
        <v>NANCY_D</v>
      </c>
      <c r="CH33" s="13">
        <f>VLOOKUP($G33,'Visu totale'!$D$3:$DT$129,CH$1,0)</f>
        <v>18</v>
      </c>
      <c r="CI33" s="13">
        <f>VLOOKUP($G33,'Visu totale'!$D$3:$DT$129,CI$1,0)</f>
        <v>18</v>
      </c>
      <c r="CJ33" s="13" t="str">
        <f>VLOOKUP($G33,'Visu totale'!$D$3:$DT$129,CJ$1,0)</f>
        <v>NANCY_D</v>
      </c>
      <c r="CK33" s="13" t="str">
        <f>VLOOKUP($G33,'Visu totale'!$D$3:$DT$129,CK$1,0)</f>
        <v>NANCY_D</v>
      </c>
      <c r="CL33" s="15" t="str">
        <f>VLOOKUP($G33,'Visu totale'!$D$3:$DT$129,CL$1,0)</f>
        <v>NANCY_D</v>
      </c>
      <c r="CM33" s="14" t="str">
        <f>VLOOKUP($G33,'Visu totale'!$D$3:$DT$129,CM$1,0)</f>
        <v>NANCY_D</v>
      </c>
      <c r="CN33" s="13">
        <f>VLOOKUP($G33,'Visu totale'!$D$3:$DT$129,CN$1,0)</f>
        <v>18</v>
      </c>
      <c r="CO33" s="13">
        <f>VLOOKUP($G33,'Visu totale'!$D$3:$DT$129,CO$1,0)</f>
        <v>18</v>
      </c>
      <c r="CP33" s="13" t="str">
        <f>VLOOKUP($G33,'Visu totale'!$D$3:$DT$129,CP$1,0)</f>
        <v>NANCY_D</v>
      </c>
      <c r="CQ33" s="13" t="str">
        <f>VLOOKUP($G33,'Visu totale'!$D$3:$DT$129,CQ$1,0)</f>
        <v>NANCY_D</v>
      </c>
      <c r="CR33" s="13" t="str">
        <f>VLOOKUP($G33,'Visu totale'!$D$3:$DT$129,CR$1,0)</f>
        <v>NANCY_D</v>
      </c>
      <c r="CS33" s="13" t="str">
        <f>VLOOKUP($G33,'Visu totale'!$D$3:$DT$129,CS$1,0)</f>
        <v>NANCY_D</v>
      </c>
      <c r="CT33" s="13">
        <f>VLOOKUP($G33,'Visu totale'!$D$3:$DT$129,CT$1,0)</f>
        <v>18</v>
      </c>
      <c r="CU33" s="13">
        <f>VLOOKUP($G33,'Visu totale'!$D$3:$DT$129,CU$1,0)</f>
        <v>18</v>
      </c>
      <c r="CV33" s="13">
        <f>VLOOKUP($G33,'Visu totale'!$D$3:$DT$129,CV$1,0)</f>
        <v>18</v>
      </c>
      <c r="CW33" s="13">
        <f>VLOOKUP($G33,'Visu totale'!$D$3:$DT$129,CW$1,0)</f>
        <v>18</v>
      </c>
      <c r="CX33" s="15">
        <f>VLOOKUP($G33,'Visu totale'!$D$3:$DT$129,CX$1,0)</f>
        <v>18</v>
      </c>
      <c r="CY33" s="14">
        <f>VLOOKUP($G33,'Visu totale'!$D$3:$DT$129,CY$1,0)</f>
        <v>0</v>
      </c>
      <c r="CZ33" s="13">
        <f>VLOOKUP($G33,'Visu totale'!$D$3:$DT$129,CZ$1,0)</f>
        <v>0</v>
      </c>
      <c r="DA33" s="13">
        <f>VLOOKUP($G33,'Visu totale'!$D$3:$DT$129,DA$1,0)</f>
        <v>0</v>
      </c>
      <c r="DB33" s="13">
        <f>VLOOKUP($G33,'Visu totale'!$D$3:$DT$129,DB$1,0)</f>
        <v>0</v>
      </c>
      <c r="DC33" s="13">
        <f>VLOOKUP($G33,'Visu totale'!$D$3:$DT$129,DC$1,0)</f>
        <v>0</v>
      </c>
      <c r="DD33" s="13">
        <f>VLOOKUP($G33,'Visu totale'!$D$3:$DT$129,DD$1,0)</f>
        <v>0</v>
      </c>
      <c r="DE33" s="13">
        <f>VLOOKUP($G33,'Visu totale'!$D$3:$DT$129,DE$1,0)</f>
        <v>0</v>
      </c>
      <c r="DF33" s="13">
        <f>VLOOKUP($G33,'Visu totale'!$D$3:$DT$129,DF$1,0)</f>
        <v>0</v>
      </c>
      <c r="DG33" s="13">
        <f>VLOOKUP($G33,'Visu totale'!$D$3:$DT$129,DG$1,0)</f>
        <v>0</v>
      </c>
      <c r="DH33" s="13">
        <f>VLOOKUP($G33,'Visu totale'!$D$3:$DT$129,DH$1,0)</f>
        <v>0</v>
      </c>
      <c r="DI33" s="13">
        <f>VLOOKUP($G33,'Visu totale'!$D$3:$DT$129,DI$1,0)</f>
        <v>0</v>
      </c>
      <c r="DJ33" s="15">
        <f>VLOOKUP($G33,'Visu totale'!$D$3:$DT$129,DJ$1,0)</f>
        <v>0</v>
      </c>
      <c r="DK33" s="14">
        <f>VLOOKUP($G33,'Visu totale'!$D$3:$DT$129,DK$1,0)</f>
        <v>0</v>
      </c>
      <c r="DL33" s="13">
        <f>VLOOKUP($G33,'Visu totale'!$D$3:$DT$129,DL$1,0)</f>
        <v>0</v>
      </c>
      <c r="DM33" s="13">
        <f>VLOOKUP($G33,'Visu totale'!$D$3:$DT$129,DM$1,0)</f>
        <v>0</v>
      </c>
      <c r="DN33" s="13">
        <f>VLOOKUP($G33,'Visu totale'!$D$3:$DT$129,DN$1,0)</f>
        <v>0</v>
      </c>
      <c r="DO33" s="13">
        <f>VLOOKUP($G33,'Visu totale'!$D$3:$DT$129,DO$1,0)</f>
        <v>0</v>
      </c>
      <c r="DP33" s="13">
        <f>VLOOKUP($G33,'Visu totale'!$D$3:$DT$129,DP$1,0)</f>
        <v>0</v>
      </c>
      <c r="DQ33" s="13">
        <f>VLOOKUP($G33,'Visu totale'!$D$3:$DT$129,DQ$1,0)</f>
        <v>0</v>
      </c>
      <c r="DR33" s="13">
        <f>VLOOKUP($G33,'Visu totale'!$D$3:$DT$129,DR$1,0)</f>
        <v>0</v>
      </c>
      <c r="DS33" s="13">
        <f>VLOOKUP($G33,'Visu totale'!$D$3:$DT$129,DS$1,0)</f>
        <v>0</v>
      </c>
      <c r="DT33" s="13">
        <f>VLOOKUP($G33,'Visu totale'!$D$3:$DT$129,DT$1,0)</f>
        <v>0</v>
      </c>
      <c r="DU33" s="13">
        <f>VLOOKUP($G33,'Visu totale'!$D$3:$DT$129,DU$1,0)</f>
        <v>0</v>
      </c>
      <c r="DV33" s="15">
        <f>VLOOKUP($G33,'Visu totale'!$D$3:$DT$129,DV$1,0)</f>
        <v>0</v>
      </c>
    </row>
    <row r="34" spans="1:126" x14ac:dyDescent="0.25">
      <c r="A34" s="13"/>
      <c r="B34" s="13"/>
      <c r="C34" s="13"/>
      <c r="D34" s="16"/>
      <c r="E34" s="14"/>
      <c r="F34" s="13"/>
      <c r="G34" s="17" t="s">
        <v>36</v>
      </c>
      <c r="H34" s="13" t="str">
        <f>VLOOKUP($G34,'Visu totale'!$D$3:$DT$129,H$1,0)</f>
        <v>NDJAMENA_D</v>
      </c>
      <c r="I34" s="13" t="str">
        <f>VLOOKUP($G34,'Visu totale'!$D$3:$DT$129,I$1,0)</f>
        <v>NDJAMENA_D</v>
      </c>
      <c r="J34" s="13" t="str">
        <f>VLOOKUP($G34,'Visu totale'!$D$3:$DT$129,J$1,0)</f>
        <v>NDJAMENA_D</v>
      </c>
      <c r="K34" s="13" t="str">
        <f>VLOOKUP($G34,'Visu totale'!$D$3:$DT$129,K$1,0)</f>
        <v>NDJAMENA_D</v>
      </c>
      <c r="L34" s="13">
        <f>VLOOKUP($G34,'Visu totale'!$D$3:$DT$129,L$1,0)</f>
        <v>18</v>
      </c>
      <c r="M34" s="13">
        <f>VLOOKUP($G34,'Visu totale'!$D$3:$DT$129,M$1,0)</f>
        <v>18</v>
      </c>
      <c r="N34" s="13" t="str">
        <f>VLOOKUP($G34,'Visu totale'!$D$3:$DT$129,N$1,0)</f>
        <v>NANCY_D</v>
      </c>
      <c r="O34" s="13" t="str">
        <f>VLOOKUP($G34,'Visu totale'!$D$3:$DT$129,O$1,0)</f>
        <v>NANCY_D</v>
      </c>
      <c r="P34" s="13" t="str">
        <f>VLOOKUP($G34,'Visu totale'!$D$3:$DT$129,P$1,0)</f>
        <v>NANCY_D</v>
      </c>
      <c r="Q34" s="13" t="str">
        <f>VLOOKUP($G34,'Visu totale'!$D$3:$DT$129,Q$1,0)</f>
        <v>NANCY_D</v>
      </c>
      <c r="R34" s="15">
        <f>VLOOKUP($G34,'Visu totale'!$D$3:$DT$129,R$1,0)</f>
        <v>18</v>
      </c>
      <c r="S34" s="14">
        <f>VLOOKUP($G34,'Visu totale'!$D$3:$DT$129,S$1,0)</f>
        <v>18</v>
      </c>
      <c r="T34" s="13">
        <f>VLOOKUP($G34,'Visu totale'!$D$3:$DT$129,T$1,0)</f>
        <v>18</v>
      </c>
      <c r="U34" s="13">
        <f>VLOOKUP($G34,'Visu totale'!$D$3:$DT$129,U$1,0)</f>
        <v>18</v>
      </c>
      <c r="V34" s="13">
        <f>VLOOKUP($G34,'Visu totale'!$D$3:$DT$129,V$1,0)</f>
        <v>18</v>
      </c>
      <c r="W34" s="13">
        <f>VLOOKUP($G34,'Visu totale'!$D$3:$DT$129,W$1,0)</f>
        <v>18</v>
      </c>
      <c r="X34" s="13">
        <f>VLOOKUP($G34,'Visu totale'!$D$3:$DT$129,X$1,0)</f>
        <v>18</v>
      </c>
      <c r="Y34" s="13">
        <f>VLOOKUP($G34,'Visu totale'!$D$3:$DT$129,Y$1,0)</f>
        <v>18</v>
      </c>
      <c r="Z34" s="13">
        <f>VLOOKUP($G34,'Visu totale'!$D$3:$DT$129,Z$1,0)</f>
        <v>18</v>
      </c>
      <c r="AA34" s="13">
        <f>VLOOKUP($G34,'Visu totale'!$D$3:$DT$129,AA$1,0)</f>
        <v>18</v>
      </c>
      <c r="AB34" s="13">
        <f>VLOOKUP($G34,'Visu totale'!$D$3:$DT$129,AB$1,0)</f>
        <v>0</v>
      </c>
      <c r="AC34" s="13">
        <f>VLOOKUP($G34,'Visu totale'!$D$3:$DT$129,AC$1,0)</f>
        <v>0</v>
      </c>
      <c r="AD34" s="15">
        <f>VLOOKUP($G34,'Visu totale'!$D$3:$DT$129,AD$1,0)</f>
        <v>0</v>
      </c>
      <c r="AE34" s="14">
        <f>VLOOKUP($G34,'Visu totale'!$D$3:$DT$129,AE$1,0)</f>
        <v>0</v>
      </c>
      <c r="AF34" s="13">
        <f>VLOOKUP($G34,'Visu totale'!$D$3:$DT$129,AF$1,0)</f>
        <v>0</v>
      </c>
      <c r="AG34" s="13">
        <f>VLOOKUP($G34,'Visu totale'!$D$3:$DT$129,AG$1,0)</f>
        <v>0</v>
      </c>
      <c r="AH34" s="13">
        <f>VLOOKUP($G34,'Visu totale'!$D$3:$DT$129,AH$1,0)</f>
        <v>0</v>
      </c>
      <c r="AI34" s="13">
        <f>VLOOKUP($G34,'Visu totale'!$D$3:$DT$129,AI$1,0)</f>
        <v>0</v>
      </c>
      <c r="AJ34" s="13">
        <f>VLOOKUP($G34,'Visu totale'!$D$3:$DT$129,AJ$1,0)</f>
        <v>0</v>
      </c>
      <c r="AK34" s="13">
        <f>VLOOKUP($G34,'Visu totale'!$D$3:$DT$129,AK$1,0)</f>
        <v>0</v>
      </c>
      <c r="AL34" s="13">
        <f>VLOOKUP($G34,'Visu totale'!$D$3:$DT$129,AL$1,0)</f>
        <v>0</v>
      </c>
      <c r="AM34" s="13">
        <f>VLOOKUP($G34,'Visu totale'!$D$3:$DT$129,AM$1,0)</f>
        <v>0</v>
      </c>
      <c r="AN34" s="13">
        <f>VLOOKUP($G34,'Visu totale'!$D$3:$DT$129,AN$1,0)</f>
        <v>0</v>
      </c>
      <c r="AO34" s="13">
        <f>VLOOKUP($G34,'Visu totale'!$D$3:$DT$129,AO$1,0)</f>
        <v>0</v>
      </c>
      <c r="AP34" s="15">
        <f>VLOOKUP($G34,'Visu totale'!$D$3:$DT$129,AP$1,0)</f>
        <v>0</v>
      </c>
      <c r="AQ34" s="14">
        <f>VLOOKUP($G34,'Visu totale'!$D$3:$DT$129,AQ$1,0)</f>
        <v>0</v>
      </c>
      <c r="AR34" s="13">
        <f>VLOOKUP($G34,'Visu totale'!$D$3:$DT$129,AR$1,0)</f>
        <v>0</v>
      </c>
      <c r="AS34" s="13">
        <f>VLOOKUP($G34,'Visu totale'!$D$3:$DT$129,AS$1,0)</f>
        <v>0</v>
      </c>
      <c r="AT34" s="13">
        <f>VLOOKUP($G34,'Visu totale'!$D$3:$DT$129,AT$1,0)</f>
        <v>0</v>
      </c>
      <c r="AU34" s="13" t="str">
        <f>VLOOKUP($G34,'Visu totale'!$D$3:$DT$129,AU$1,0)</f>
        <v>V10</v>
      </c>
      <c r="AV34" s="13" t="str">
        <f>VLOOKUP($G34,'Visu totale'!$D$3:$DT$129,AV$1,0)</f>
        <v>V10</v>
      </c>
      <c r="AW34" s="13" t="str">
        <f>VLOOKUP($G34,'Visu totale'!$D$3:$DT$129,AW$1,0)</f>
        <v>V10</v>
      </c>
      <c r="AX34" s="13" t="str">
        <f>VLOOKUP($G34,'Visu totale'!$D$3:$DT$129,AX$1,0)</f>
        <v>V10</v>
      </c>
      <c r="AY34" s="13" t="str">
        <f>VLOOKUP($G34,'Visu totale'!$D$3:$DT$129,AY$1,0)</f>
        <v>V10</v>
      </c>
      <c r="AZ34" s="13" t="str">
        <f>VLOOKUP($G34,'Visu totale'!$D$3:$DT$129,AZ$1,0)</f>
        <v>V10</v>
      </c>
      <c r="BA34" s="13">
        <f>VLOOKUP($G34,'Visu totale'!$D$3:$DT$129,BA$1,0)</f>
        <v>18</v>
      </c>
      <c r="BB34" s="15">
        <f>VLOOKUP($G34,'Visu totale'!$D$3:$DT$129,BB$1,0)</f>
        <v>18</v>
      </c>
      <c r="BC34" s="14" t="str">
        <f>VLOOKUP($G34,'Visu totale'!$D$3:$DT$129,BC$1,0)</f>
        <v>CHAMMAL_D</v>
      </c>
      <c r="BD34" s="13" t="str">
        <f>VLOOKUP($G34,'Visu totale'!$D$3:$DT$129,BD$1,0)</f>
        <v>CHAMMAL_D</v>
      </c>
      <c r="BE34" s="13" t="str">
        <f>VLOOKUP($G34,'Visu totale'!$D$3:$DT$129,BE$1,0)</f>
        <v>CHAMMAL_D</v>
      </c>
      <c r="BF34" s="13" t="str">
        <f>VLOOKUP($G34,'Visu totale'!$D$3:$DT$129,BF$1,0)</f>
        <v>CHAMMAL_D</v>
      </c>
      <c r="BG34" s="13">
        <f>VLOOKUP($G34,'Visu totale'!$D$3:$DT$129,BG$1,0)</f>
        <v>18</v>
      </c>
      <c r="BH34" s="13">
        <f>VLOOKUP($G34,'Visu totale'!$D$3:$DT$129,BH$1,0)</f>
        <v>18</v>
      </c>
      <c r="BI34" s="13" t="str">
        <f>VLOOKUP($G34,'Visu totale'!$D$3:$DT$129,BI$1,0)</f>
        <v>CHAMMAL_D</v>
      </c>
      <c r="BJ34" s="13" t="str">
        <f>VLOOKUP($G34,'Visu totale'!$D$3:$DT$129,BJ$1,0)</f>
        <v>CHAMMAL_D</v>
      </c>
      <c r="BK34" s="13" t="str">
        <f>VLOOKUP($G34,'Visu totale'!$D$3:$DT$129,BK$1,0)</f>
        <v>CHAMMAL_D</v>
      </c>
      <c r="BL34" s="13" t="str">
        <f>VLOOKUP($G34,'Visu totale'!$D$3:$DT$129,BL$1,0)</f>
        <v>CHAMMAL_D</v>
      </c>
      <c r="BM34" s="13">
        <f>VLOOKUP($G34,'Visu totale'!$D$3:$DT$129,BM$1,0)</f>
        <v>18</v>
      </c>
      <c r="BN34" s="15">
        <f>VLOOKUP($G34,'Visu totale'!$D$3:$DT$129,BN$1,0)</f>
        <v>18</v>
      </c>
      <c r="BO34" s="14" t="str">
        <f>VLOOKUP($G34,'Visu totale'!$D$3:$DT$129,BO$1,0)</f>
        <v>V20</v>
      </c>
      <c r="BP34" s="13">
        <f>VLOOKUP($G34,'Visu totale'!$D$3:$DT$129,BP$1,0)</f>
        <v>18</v>
      </c>
      <c r="BQ34" s="13">
        <f>VLOOKUP($G34,'Visu totale'!$D$3:$DT$129,BQ$1,0)</f>
        <v>18</v>
      </c>
      <c r="BR34" s="13" t="str">
        <f>VLOOKUP($G34,'Visu totale'!$D$3:$DT$129,BR$1,0)</f>
        <v>NANCY_D</v>
      </c>
      <c r="BS34" s="13" t="str">
        <f>VLOOKUP($G34,'Visu totale'!$D$3:$DT$129,BS$1,0)</f>
        <v>NANCY_D</v>
      </c>
      <c r="BT34" s="13" t="str">
        <f>VLOOKUP($G34,'Visu totale'!$D$3:$DT$129,BT$1,0)</f>
        <v>NANCY_D</v>
      </c>
      <c r="BU34" s="13" t="str">
        <f>VLOOKUP($G34,'Visu totale'!$D$3:$DT$129,BU$1,0)</f>
        <v>NANCY_D</v>
      </c>
      <c r="BV34" s="13">
        <f>VLOOKUP($G34,'Visu totale'!$D$3:$DT$129,BV$1,0)</f>
        <v>18</v>
      </c>
      <c r="BW34" s="13">
        <f>VLOOKUP($G34,'Visu totale'!$D$3:$DT$129,BW$1,0)</f>
        <v>18</v>
      </c>
      <c r="BX34" s="13" t="str">
        <f>VLOOKUP($G34,'Visu totale'!$D$3:$DT$129,BX$1,0)</f>
        <v>NANCY_D</v>
      </c>
      <c r="BY34" s="13" t="str">
        <f>VLOOKUP($G34,'Visu totale'!$D$3:$DT$129,BY$1,0)</f>
        <v>NANCY_D</v>
      </c>
      <c r="BZ34" s="15" t="str">
        <f>VLOOKUP($G34,'Visu totale'!$D$3:$DT$129,BZ$1,0)</f>
        <v>NANCY_D</v>
      </c>
      <c r="CA34" s="14" t="str">
        <f>VLOOKUP($G34,'Visu totale'!$D$3:$DT$129,CA$1,0)</f>
        <v>NANCY_D</v>
      </c>
      <c r="CB34" s="13">
        <f>VLOOKUP($G34,'Visu totale'!$D$3:$DT$129,CB$1,0)</f>
        <v>18</v>
      </c>
      <c r="CC34" s="13">
        <f>VLOOKUP($G34,'Visu totale'!$D$3:$DT$129,CC$1,0)</f>
        <v>18</v>
      </c>
      <c r="CD34" s="13" t="str">
        <f>VLOOKUP($G34,'Visu totale'!$D$3:$DT$129,CD$1,0)</f>
        <v>NANCY_D</v>
      </c>
      <c r="CE34" s="13" t="str">
        <f>VLOOKUP($G34,'Visu totale'!$D$3:$DT$129,CE$1,0)</f>
        <v>NANCY_D</v>
      </c>
      <c r="CF34" s="13" t="str">
        <f>VLOOKUP($G34,'Visu totale'!$D$3:$DT$129,CF$1,0)</f>
        <v>NANCY_D</v>
      </c>
      <c r="CG34" s="13" t="str">
        <f>VLOOKUP($G34,'Visu totale'!$D$3:$DT$129,CG$1,0)</f>
        <v>NANCY_D</v>
      </c>
      <c r="CH34" s="13">
        <f>VLOOKUP($G34,'Visu totale'!$D$3:$DT$129,CH$1,0)</f>
        <v>18</v>
      </c>
      <c r="CI34" s="13">
        <f>VLOOKUP($G34,'Visu totale'!$D$3:$DT$129,CI$1,0)</f>
        <v>18</v>
      </c>
      <c r="CJ34" s="13" t="str">
        <f>VLOOKUP($G34,'Visu totale'!$D$3:$DT$129,CJ$1,0)</f>
        <v>NANCY_D</v>
      </c>
      <c r="CK34" s="13" t="str">
        <f>VLOOKUP($G34,'Visu totale'!$D$3:$DT$129,CK$1,0)</f>
        <v>NANCY_D</v>
      </c>
      <c r="CL34" s="15" t="str">
        <f>VLOOKUP($G34,'Visu totale'!$D$3:$DT$129,CL$1,0)</f>
        <v>NANCY_D</v>
      </c>
      <c r="CM34" s="14" t="str">
        <f>VLOOKUP($G34,'Visu totale'!$D$3:$DT$129,CM$1,0)</f>
        <v>NANCY_D</v>
      </c>
      <c r="CN34" s="13">
        <f>VLOOKUP($G34,'Visu totale'!$D$3:$DT$129,CN$1,0)</f>
        <v>18</v>
      </c>
      <c r="CO34" s="13">
        <f>VLOOKUP($G34,'Visu totale'!$D$3:$DT$129,CO$1,0)</f>
        <v>18</v>
      </c>
      <c r="CP34" s="13" t="str">
        <f>VLOOKUP($G34,'Visu totale'!$D$3:$DT$129,CP$1,0)</f>
        <v>NANCY_D</v>
      </c>
      <c r="CQ34" s="13" t="str">
        <f>VLOOKUP($G34,'Visu totale'!$D$3:$DT$129,CQ$1,0)</f>
        <v>NANCY_D</v>
      </c>
      <c r="CR34" s="13" t="str">
        <f>VLOOKUP($G34,'Visu totale'!$D$3:$DT$129,CR$1,0)</f>
        <v>NANCY_D</v>
      </c>
      <c r="CS34" s="13" t="str">
        <f>VLOOKUP($G34,'Visu totale'!$D$3:$DT$129,CS$1,0)</f>
        <v>NANCY_D</v>
      </c>
      <c r="CT34" s="13">
        <f>VLOOKUP($G34,'Visu totale'!$D$3:$DT$129,CT$1,0)</f>
        <v>18</v>
      </c>
      <c r="CU34" s="13">
        <f>VLOOKUP($G34,'Visu totale'!$D$3:$DT$129,CU$1,0)</f>
        <v>18</v>
      </c>
      <c r="CV34" s="13">
        <f>VLOOKUP($G34,'Visu totale'!$D$3:$DT$129,CV$1,0)</f>
        <v>18</v>
      </c>
      <c r="CW34" s="13">
        <f>VLOOKUP($G34,'Visu totale'!$D$3:$DT$129,CW$1,0)</f>
        <v>18</v>
      </c>
      <c r="CX34" s="15">
        <f>VLOOKUP($G34,'Visu totale'!$D$3:$DT$129,CX$1,0)</f>
        <v>18</v>
      </c>
      <c r="CY34" s="14">
        <f>VLOOKUP($G34,'Visu totale'!$D$3:$DT$129,CY$1,0)</f>
        <v>0</v>
      </c>
      <c r="CZ34" s="13">
        <f>VLOOKUP($G34,'Visu totale'!$D$3:$DT$129,CZ$1,0)</f>
        <v>0</v>
      </c>
      <c r="DA34" s="13">
        <f>VLOOKUP($G34,'Visu totale'!$D$3:$DT$129,DA$1,0)</f>
        <v>0</v>
      </c>
      <c r="DB34" s="13">
        <f>VLOOKUP($G34,'Visu totale'!$D$3:$DT$129,DB$1,0)</f>
        <v>0</v>
      </c>
      <c r="DC34" s="13">
        <f>VLOOKUP($G34,'Visu totale'!$D$3:$DT$129,DC$1,0)</f>
        <v>0</v>
      </c>
      <c r="DD34" s="13">
        <f>VLOOKUP($G34,'Visu totale'!$D$3:$DT$129,DD$1,0)</f>
        <v>0</v>
      </c>
      <c r="DE34" s="13">
        <f>VLOOKUP($G34,'Visu totale'!$D$3:$DT$129,DE$1,0)</f>
        <v>0</v>
      </c>
      <c r="DF34" s="13">
        <f>VLOOKUP($G34,'Visu totale'!$D$3:$DT$129,DF$1,0)</f>
        <v>0</v>
      </c>
      <c r="DG34" s="13">
        <f>VLOOKUP($G34,'Visu totale'!$D$3:$DT$129,DG$1,0)</f>
        <v>0</v>
      </c>
      <c r="DH34" s="13">
        <f>VLOOKUP($G34,'Visu totale'!$D$3:$DT$129,DH$1,0)</f>
        <v>0</v>
      </c>
      <c r="DI34" s="13">
        <f>VLOOKUP($G34,'Visu totale'!$D$3:$DT$129,DI$1,0)</f>
        <v>0</v>
      </c>
      <c r="DJ34" s="15">
        <f>VLOOKUP($G34,'Visu totale'!$D$3:$DT$129,DJ$1,0)</f>
        <v>0</v>
      </c>
      <c r="DK34" s="14">
        <f>VLOOKUP($G34,'Visu totale'!$D$3:$DT$129,DK$1,0)</f>
        <v>0</v>
      </c>
      <c r="DL34" s="13">
        <f>VLOOKUP($G34,'Visu totale'!$D$3:$DT$129,DL$1,0)</f>
        <v>0</v>
      </c>
      <c r="DM34" s="13">
        <f>VLOOKUP($G34,'Visu totale'!$D$3:$DT$129,DM$1,0)</f>
        <v>0</v>
      </c>
      <c r="DN34" s="13">
        <f>VLOOKUP($G34,'Visu totale'!$D$3:$DT$129,DN$1,0)</f>
        <v>0</v>
      </c>
      <c r="DO34" s="13">
        <f>VLOOKUP($G34,'Visu totale'!$D$3:$DT$129,DO$1,0)</f>
        <v>0</v>
      </c>
      <c r="DP34" s="13">
        <f>VLOOKUP($G34,'Visu totale'!$D$3:$DT$129,DP$1,0)</f>
        <v>0</v>
      </c>
      <c r="DQ34" s="13">
        <f>VLOOKUP($G34,'Visu totale'!$D$3:$DT$129,DQ$1,0)</f>
        <v>0</v>
      </c>
      <c r="DR34" s="13">
        <f>VLOOKUP($G34,'Visu totale'!$D$3:$DT$129,DR$1,0)</f>
        <v>0</v>
      </c>
      <c r="DS34" s="13">
        <f>VLOOKUP($G34,'Visu totale'!$D$3:$DT$129,DS$1,0)</f>
        <v>0</v>
      </c>
      <c r="DT34" s="13">
        <f>VLOOKUP($G34,'Visu totale'!$D$3:$DT$129,DT$1,0)</f>
        <v>0</v>
      </c>
      <c r="DU34" s="13">
        <f>VLOOKUP($G34,'Visu totale'!$D$3:$DT$129,DU$1,0)</f>
        <v>0</v>
      </c>
      <c r="DV34" s="15">
        <f>VLOOKUP($G34,'Visu totale'!$D$3:$DT$129,DV$1,0)</f>
        <v>0</v>
      </c>
    </row>
    <row r="35" spans="1:126" x14ac:dyDescent="0.25">
      <c r="A35" s="13"/>
      <c r="B35" s="13"/>
      <c r="C35" s="13"/>
      <c r="D35" s="16"/>
      <c r="E35" s="14"/>
      <c r="F35" s="13"/>
      <c r="G35" s="17" t="s">
        <v>37</v>
      </c>
      <c r="H35" s="13">
        <f>VLOOKUP($G35,'Visu totale'!$D$3:$DT$129,H$1,0)</f>
        <v>18</v>
      </c>
      <c r="I35" s="13" t="str">
        <f>VLOOKUP($G35,'Visu totale'!$D$3:$DT$129,I$1,0)</f>
        <v>NANCY_D</v>
      </c>
      <c r="J35" s="13" t="str">
        <f>VLOOKUP($G35,'Visu totale'!$D$3:$DT$129,J$1,0)</f>
        <v>NANCY_D</v>
      </c>
      <c r="K35" s="13" t="str">
        <f>VLOOKUP($G35,'Visu totale'!$D$3:$DT$129,K$1,0)</f>
        <v>NANCY_D</v>
      </c>
      <c r="L35" s="13" t="str">
        <f>VLOOKUP($G35,'Visu totale'!$D$3:$DT$129,L$1,0)</f>
        <v>NANCY_D</v>
      </c>
      <c r="M35" s="13">
        <f>VLOOKUP($G35,'Visu totale'!$D$3:$DT$129,M$1,0)</f>
        <v>18</v>
      </c>
      <c r="N35" s="13">
        <f>VLOOKUP($G35,'Visu totale'!$D$3:$DT$129,N$1,0)</f>
        <v>18</v>
      </c>
      <c r="O35" s="13" t="str">
        <f>VLOOKUP($G35,'Visu totale'!$D$3:$DT$129,O$1,0)</f>
        <v>NANCY_D</v>
      </c>
      <c r="P35" s="13" t="str">
        <f>VLOOKUP($G35,'Visu totale'!$D$3:$DT$129,P$1,0)</f>
        <v>NANCY_D</v>
      </c>
      <c r="Q35" s="13" t="str">
        <f>VLOOKUP($G35,'Visu totale'!$D$3:$DT$129,Q$1,0)</f>
        <v>NANCY_D</v>
      </c>
      <c r="R35" s="15" t="str">
        <f>VLOOKUP($G35,'Visu totale'!$D$3:$DT$129,R$1,0)</f>
        <v>NANCY_D</v>
      </c>
      <c r="S35" s="14">
        <f>VLOOKUP($G35,'Visu totale'!$D$3:$DT$129,S$1,0)</f>
        <v>18</v>
      </c>
      <c r="T35" s="13">
        <f>VLOOKUP($G35,'Visu totale'!$D$3:$DT$129,T$1,0)</f>
        <v>18</v>
      </c>
      <c r="U35" s="13" t="str">
        <f>VLOOKUP($G35,'Visu totale'!$D$3:$DT$129,U$1,0)</f>
        <v>NANCY_D</v>
      </c>
      <c r="V35" s="13" t="str">
        <f>VLOOKUP($G35,'Visu totale'!$D$3:$DT$129,V$1,0)</f>
        <v>NANCY_D</v>
      </c>
      <c r="W35" s="13" t="str">
        <f>VLOOKUP($G35,'Visu totale'!$D$3:$DT$129,W$1,0)</f>
        <v>NANCY_D</v>
      </c>
      <c r="X35" s="13" t="str">
        <f>VLOOKUP($G35,'Visu totale'!$D$3:$DT$129,X$1,0)</f>
        <v>NANCY_D</v>
      </c>
      <c r="Y35" s="13">
        <f>VLOOKUP($G35,'Visu totale'!$D$3:$DT$129,Y$1,0)</f>
        <v>18</v>
      </c>
      <c r="Z35" s="13">
        <f>VLOOKUP($G35,'Visu totale'!$D$3:$DT$129,Z$1,0)</f>
        <v>18</v>
      </c>
      <c r="AA35" s="13" t="str">
        <f>VLOOKUP($G35,'Visu totale'!$D$3:$DT$129,AA$1,0)</f>
        <v>NANCY_D</v>
      </c>
      <c r="AB35" s="13" t="str">
        <f>VLOOKUP($G35,'Visu totale'!$D$3:$DT$129,AB$1,0)</f>
        <v>NANCY_D</v>
      </c>
      <c r="AC35" s="13" t="str">
        <f>VLOOKUP($G35,'Visu totale'!$D$3:$DT$129,AC$1,0)</f>
        <v>NANCY_D</v>
      </c>
      <c r="AD35" s="15" t="str">
        <f>VLOOKUP($G35,'Visu totale'!$D$3:$DT$129,AD$1,0)</f>
        <v>NANCY_D</v>
      </c>
      <c r="AE35" s="14">
        <f>VLOOKUP($G35,'Visu totale'!$D$3:$DT$129,AE$1,0)</f>
        <v>18</v>
      </c>
      <c r="AF35" s="13">
        <f>VLOOKUP($G35,'Visu totale'!$D$3:$DT$129,AF$1,0)</f>
        <v>18</v>
      </c>
      <c r="AG35" s="13" t="str">
        <f>VLOOKUP($G35,'Visu totale'!$D$3:$DT$129,AG$1,0)</f>
        <v>NANCY_D</v>
      </c>
      <c r="AH35" s="13" t="str">
        <f>VLOOKUP($G35,'Visu totale'!$D$3:$DT$129,AH$1,0)</f>
        <v>NANCY_D</v>
      </c>
      <c r="AI35" s="13" t="str">
        <f>VLOOKUP($G35,'Visu totale'!$D$3:$DT$129,AI$1,0)</f>
        <v>NANCY_D</v>
      </c>
      <c r="AJ35" s="13" t="str">
        <f>VLOOKUP($G35,'Visu totale'!$D$3:$DT$129,AJ$1,0)</f>
        <v>NANCY_D</v>
      </c>
      <c r="AK35" s="13" t="str">
        <f>VLOOKUP($G35,'Visu totale'!$D$3:$DT$129,AK$1,0)</f>
        <v>V10</v>
      </c>
      <c r="AL35" s="13" t="str">
        <f>VLOOKUP($G35,'Visu totale'!$D$3:$DT$129,AL$1,0)</f>
        <v>V10</v>
      </c>
      <c r="AM35" s="13" t="str">
        <f>VLOOKUP($G35,'Visu totale'!$D$3:$DT$129,AM$1,0)</f>
        <v>V10</v>
      </c>
      <c r="AN35" s="13" t="str">
        <f>VLOOKUP($G35,'Visu totale'!$D$3:$DT$129,AN$1,0)</f>
        <v>V10</v>
      </c>
      <c r="AO35" s="13" t="str">
        <f>VLOOKUP($G35,'Visu totale'!$D$3:$DT$129,AO$1,0)</f>
        <v>V10</v>
      </c>
      <c r="AP35" s="15" t="str">
        <f>VLOOKUP($G35,'Visu totale'!$D$3:$DT$129,AP$1,0)</f>
        <v>V10</v>
      </c>
      <c r="AQ35" s="14">
        <f>VLOOKUP($G35,'Visu totale'!$D$3:$DT$129,AQ$1,0)</f>
        <v>18</v>
      </c>
      <c r="AR35" s="13">
        <f>VLOOKUP($G35,'Visu totale'!$D$3:$DT$129,AR$1,0)</f>
        <v>18</v>
      </c>
      <c r="AS35" s="13" t="str">
        <f>VLOOKUP($G35,'Visu totale'!$D$3:$DT$129,AS$1,0)</f>
        <v>NANCY_D</v>
      </c>
      <c r="AT35" s="13" t="str">
        <f>VLOOKUP($G35,'Visu totale'!$D$3:$DT$129,AT$1,0)</f>
        <v>NANCY_D</v>
      </c>
      <c r="AU35" s="13" t="str">
        <f>VLOOKUP($G35,'Visu totale'!$D$3:$DT$129,AU$1,0)</f>
        <v>NANCY_D</v>
      </c>
      <c r="AV35" s="13" t="str">
        <f>VLOOKUP($G35,'Visu totale'!$D$3:$DT$129,AV$1,0)</f>
        <v>NANCY_D</v>
      </c>
      <c r="AW35" s="13">
        <f>VLOOKUP($G35,'Visu totale'!$D$3:$DT$129,AW$1,0)</f>
        <v>18</v>
      </c>
      <c r="AX35" s="13">
        <f>VLOOKUP($G35,'Visu totale'!$D$3:$DT$129,AX$1,0)</f>
        <v>18</v>
      </c>
      <c r="AY35" s="13" t="str">
        <f>VLOOKUP($G35,'Visu totale'!$D$3:$DT$129,AY$1,0)</f>
        <v>NANCY_D</v>
      </c>
      <c r="AZ35" s="13" t="str">
        <f>VLOOKUP($G35,'Visu totale'!$D$3:$DT$129,AZ$1,0)</f>
        <v>NANCY_D</v>
      </c>
      <c r="BA35" s="13" t="str">
        <f>VLOOKUP($G35,'Visu totale'!$D$3:$DT$129,BA$1,0)</f>
        <v>NANCY_D</v>
      </c>
      <c r="BB35" s="15" t="str">
        <f>VLOOKUP($G35,'Visu totale'!$D$3:$DT$129,BB$1,0)</f>
        <v>NANCY_D</v>
      </c>
      <c r="BC35" s="14">
        <f>VLOOKUP($G35,'Visu totale'!$D$3:$DT$129,BC$1,0)</f>
        <v>18</v>
      </c>
      <c r="BD35" s="13">
        <f>VLOOKUP($G35,'Visu totale'!$D$3:$DT$129,BD$1,0)</f>
        <v>18</v>
      </c>
      <c r="BE35" s="13" t="str">
        <f>VLOOKUP($G35,'Visu totale'!$D$3:$DT$129,BE$1,0)</f>
        <v>NANCY_D</v>
      </c>
      <c r="BF35" s="13" t="str">
        <f>VLOOKUP($G35,'Visu totale'!$D$3:$DT$129,BF$1,0)</f>
        <v>NANCY_D</v>
      </c>
      <c r="BG35" s="13" t="str">
        <f>VLOOKUP($G35,'Visu totale'!$D$3:$DT$129,BG$1,0)</f>
        <v>NANCY_D</v>
      </c>
      <c r="BH35" s="13" t="str">
        <f>VLOOKUP($G35,'Visu totale'!$D$3:$DT$129,BH$1,0)</f>
        <v>NANCY_D</v>
      </c>
      <c r="BI35" s="13">
        <f>VLOOKUP($G35,'Visu totale'!$D$3:$DT$129,BI$1,0)</f>
        <v>18</v>
      </c>
      <c r="BJ35" s="13">
        <f>VLOOKUP($G35,'Visu totale'!$D$3:$DT$129,BJ$1,0)</f>
        <v>18</v>
      </c>
      <c r="BK35" s="13" t="str">
        <f>VLOOKUP($G35,'Visu totale'!$D$3:$DT$129,BK$1,0)</f>
        <v>NANCY_D</v>
      </c>
      <c r="BL35" s="13" t="str">
        <f>VLOOKUP($G35,'Visu totale'!$D$3:$DT$129,BL$1,0)</f>
        <v>NANCY_D</v>
      </c>
      <c r="BM35" s="13" t="str">
        <f>VLOOKUP($G35,'Visu totale'!$D$3:$DT$129,BM$1,0)</f>
        <v>NANCY_D</v>
      </c>
      <c r="BN35" s="15" t="str">
        <f>VLOOKUP($G35,'Visu totale'!$D$3:$DT$129,BN$1,0)</f>
        <v>NANCY_D</v>
      </c>
      <c r="BO35" s="14">
        <f>VLOOKUP($G35,'Visu totale'!$D$3:$DT$129,BO$1,0)</f>
        <v>0</v>
      </c>
      <c r="BP35" s="13">
        <f>VLOOKUP($G35,'Visu totale'!$D$3:$DT$129,BP$1,0)</f>
        <v>0</v>
      </c>
      <c r="BQ35" s="13" t="str">
        <f>VLOOKUP($G35,'Visu totale'!$D$3:$DT$129,BQ$1,0)</f>
        <v>V20</v>
      </c>
      <c r="BR35" s="13" t="str">
        <f>VLOOKUP($G35,'Visu totale'!$D$3:$DT$129,BR$1,0)</f>
        <v>V20</v>
      </c>
      <c r="BS35" s="13" t="str">
        <f>VLOOKUP($G35,'Visu totale'!$D$3:$DT$129,BS$1,0)</f>
        <v>V20</v>
      </c>
      <c r="BT35" s="13" t="str">
        <f>VLOOKUP($G35,'Visu totale'!$D$3:$DT$129,BT$1,0)</f>
        <v>V20</v>
      </c>
      <c r="BU35" s="13" t="str">
        <f>VLOOKUP($G35,'Visu totale'!$D$3:$DT$129,BU$1,0)</f>
        <v>V20</v>
      </c>
      <c r="BV35" s="13" t="str">
        <f>VLOOKUP($G35,'Visu totale'!$D$3:$DT$129,BV$1,0)</f>
        <v>V20</v>
      </c>
      <c r="BW35" s="13">
        <f>VLOOKUP($G35,'Visu totale'!$D$3:$DT$129,BW$1,0)</f>
        <v>18</v>
      </c>
      <c r="BX35" s="13">
        <f>VLOOKUP($G35,'Visu totale'!$D$3:$DT$129,BX$1,0)</f>
        <v>18</v>
      </c>
      <c r="BY35" s="13" t="str">
        <f>VLOOKUP($G35,'Visu totale'!$D$3:$DT$129,BY$1,0)</f>
        <v>NANCY_D</v>
      </c>
      <c r="BZ35" s="15" t="str">
        <f>VLOOKUP($G35,'Visu totale'!$D$3:$DT$129,BZ$1,0)</f>
        <v>NANCY_D</v>
      </c>
      <c r="CA35" s="14" t="str">
        <f>VLOOKUP($G35,'Visu totale'!$D$3:$DT$129,CA$1,0)</f>
        <v>NANCY_D</v>
      </c>
      <c r="CB35" s="13" t="str">
        <f>VLOOKUP($G35,'Visu totale'!$D$3:$DT$129,CB$1,0)</f>
        <v>NANCY_D</v>
      </c>
      <c r="CC35" s="13">
        <f>VLOOKUP($G35,'Visu totale'!$D$3:$DT$129,CC$1,0)</f>
        <v>18</v>
      </c>
      <c r="CD35" s="13">
        <f>VLOOKUP($G35,'Visu totale'!$D$3:$DT$129,CD$1,0)</f>
        <v>18</v>
      </c>
      <c r="CE35" s="13" t="str">
        <f>VLOOKUP($G35,'Visu totale'!$D$3:$DT$129,CE$1,0)</f>
        <v>NANCY_D</v>
      </c>
      <c r="CF35" s="13" t="str">
        <f>VLOOKUP($G35,'Visu totale'!$D$3:$DT$129,CF$1,0)</f>
        <v>NANCY_D</v>
      </c>
      <c r="CG35" s="13" t="str">
        <f>VLOOKUP($G35,'Visu totale'!$D$3:$DT$129,CG$1,0)</f>
        <v>NANCY_D</v>
      </c>
      <c r="CH35" s="13" t="str">
        <f>VLOOKUP($G35,'Visu totale'!$D$3:$DT$129,CH$1,0)</f>
        <v>NANCY_D</v>
      </c>
      <c r="CI35" s="13">
        <f>VLOOKUP($G35,'Visu totale'!$D$3:$DT$129,CI$1,0)</f>
        <v>18</v>
      </c>
      <c r="CJ35" s="13">
        <f>VLOOKUP($G35,'Visu totale'!$D$3:$DT$129,CJ$1,0)</f>
        <v>18</v>
      </c>
      <c r="CK35" s="13" t="str">
        <f>VLOOKUP($G35,'Visu totale'!$D$3:$DT$129,CK$1,0)</f>
        <v>NANCY_D</v>
      </c>
      <c r="CL35" s="15" t="str">
        <f>VLOOKUP($G35,'Visu totale'!$D$3:$DT$129,CL$1,0)</f>
        <v>NANCY_D</v>
      </c>
      <c r="CM35" s="14" t="str">
        <f>VLOOKUP($G35,'Visu totale'!$D$3:$DT$129,CM$1,0)</f>
        <v>NANCY_D</v>
      </c>
      <c r="CN35" s="13" t="str">
        <f>VLOOKUP($G35,'Visu totale'!$D$3:$DT$129,CN$1,0)</f>
        <v>NANCY_D</v>
      </c>
      <c r="CO35" s="13">
        <f>VLOOKUP($G35,'Visu totale'!$D$3:$DT$129,CO$1,0)</f>
        <v>18</v>
      </c>
      <c r="CP35" s="13">
        <f>VLOOKUP($G35,'Visu totale'!$D$3:$DT$129,CP$1,0)</f>
        <v>18</v>
      </c>
      <c r="CQ35" s="13" t="str">
        <f>VLOOKUP($G35,'Visu totale'!$D$3:$DT$129,CQ$1,0)</f>
        <v>NANCY_D</v>
      </c>
      <c r="CR35" s="13" t="str">
        <f>VLOOKUP($G35,'Visu totale'!$D$3:$DT$129,CR$1,0)</f>
        <v>NANCY_D</v>
      </c>
      <c r="CS35" s="13" t="str">
        <f>VLOOKUP($G35,'Visu totale'!$D$3:$DT$129,CS$1,0)</f>
        <v>NANCY_D</v>
      </c>
      <c r="CT35" s="13" t="str">
        <f>VLOOKUP($G35,'Visu totale'!$D$3:$DT$129,CT$1,0)</f>
        <v>NANCY_D</v>
      </c>
      <c r="CU35" s="13">
        <f>VLOOKUP($G35,'Visu totale'!$D$3:$DT$129,CU$1,0)</f>
        <v>18</v>
      </c>
      <c r="CV35" s="13">
        <f>VLOOKUP($G35,'Visu totale'!$D$3:$DT$129,CV$1,0)</f>
        <v>18</v>
      </c>
      <c r="CW35" s="13">
        <f>VLOOKUP($G35,'Visu totale'!$D$3:$DT$129,CW$1,0)</f>
        <v>18</v>
      </c>
      <c r="CX35" s="15">
        <f>VLOOKUP($G35,'Visu totale'!$D$3:$DT$129,CX$1,0)</f>
        <v>18</v>
      </c>
      <c r="CY35" s="14">
        <f>VLOOKUP($G35,'Visu totale'!$D$3:$DT$129,CY$1,0)</f>
        <v>0</v>
      </c>
      <c r="CZ35" s="13">
        <f>VLOOKUP($G35,'Visu totale'!$D$3:$DT$129,CZ$1,0)</f>
        <v>0</v>
      </c>
      <c r="DA35" s="13">
        <f>VLOOKUP($G35,'Visu totale'!$D$3:$DT$129,DA$1,0)</f>
        <v>0</v>
      </c>
      <c r="DB35" s="13">
        <f>VLOOKUP($G35,'Visu totale'!$D$3:$DT$129,DB$1,0)</f>
        <v>0</v>
      </c>
      <c r="DC35" s="13">
        <f>VLOOKUP($G35,'Visu totale'!$D$3:$DT$129,DC$1,0)</f>
        <v>0</v>
      </c>
      <c r="DD35" s="13">
        <f>VLOOKUP($G35,'Visu totale'!$D$3:$DT$129,DD$1,0)</f>
        <v>0</v>
      </c>
      <c r="DE35" s="13">
        <f>VLOOKUP($G35,'Visu totale'!$D$3:$DT$129,DE$1,0)</f>
        <v>0</v>
      </c>
      <c r="DF35" s="13">
        <f>VLOOKUP($G35,'Visu totale'!$D$3:$DT$129,DF$1,0)</f>
        <v>0</v>
      </c>
      <c r="DG35" s="13">
        <f>VLOOKUP($G35,'Visu totale'!$D$3:$DT$129,DG$1,0)</f>
        <v>0</v>
      </c>
      <c r="DH35" s="13">
        <f>VLOOKUP($G35,'Visu totale'!$D$3:$DT$129,DH$1,0)</f>
        <v>0</v>
      </c>
      <c r="DI35" s="13">
        <f>VLOOKUP($G35,'Visu totale'!$D$3:$DT$129,DI$1,0)</f>
        <v>0</v>
      </c>
      <c r="DJ35" s="15">
        <f>VLOOKUP($G35,'Visu totale'!$D$3:$DT$129,DJ$1,0)</f>
        <v>0</v>
      </c>
      <c r="DK35" s="14">
        <f>VLOOKUP($G35,'Visu totale'!$D$3:$DT$129,DK$1,0)</f>
        <v>0</v>
      </c>
      <c r="DL35" s="13">
        <f>VLOOKUP($G35,'Visu totale'!$D$3:$DT$129,DL$1,0)</f>
        <v>0</v>
      </c>
      <c r="DM35" s="13">
        <f>VLOOKUP($G35,'Visu totale'!$D$3:$DT$129,DM$1,0)</f>
        <v>0</v>
      </c>
      <c r="DN35" s="13">
        <f>VLOOKUP($G35,'Visu totale'!$D$3:$DT$129,DN$1,0)</f>
        <v>0</v>
      </c>
      <c r="DO35" s="13">
        <f>VLOOKUP($G35,'Visu totale'!$D$3:$DT$129,DO$1,0)</f>
        <v>0</v>
      </c>
      <c r="DP35" s="13">
        <f>VLOOKUP($G35,'Visu totale'!$D$3:$DT$129,DP$1,0)</f>
        <v>0</v>
      </c>
      <c r="DQ35" s="13">
        <f>VLOOKUP($G35,'Visu totale'!$D$3:$DT$129,DQ$1,0)</f>
        <v>0</v>
      </c>
      <c r="DR35" s="13">
        <f>VLOOKUP($G35,'Visu totale'!$D$3:$DT$129,DR$1,0)</f>
        <v>0</v>
      </c>
      <c r="DS35" s="13">
        <f>VLOOKUP($G35,'Visu totale'!$D$3:$DT$129,DS$1,0)</f>
        <v>0</v>
      </c>
      <c r="DT35" s="13">
        <f>VLOOKUP($G35,'Visu totale'!$D$3:$DT$129,DT$1,0)</f>
        <v>0</v>
      </c>
      <c r="DU35" s="13">
        <f>VLOOKUP($G35,'Visu totale'!$D$3:$DT$129,DU$1,0)</f>
        <v>0</v>
      </c>
      <c r="DV35" s="15">
        <f>VLOOKUP($G35,'Visu totale'!$D$3:$DT$129,DV$1,0)</f>
        <v>0</v>
      </c>
    </row>
    <row r="36" spans="1:126" x14ac:dyDescent="0.25">
      <c r="A36" s="13"/>
      <c r="B36" s="13"/>
      <c r="C36" s="13"/>
      <c r="D36" s="16"/>
      <c r="E36" s="14"/>
      <c r="F36" s="13"/>
      <c r="G36" s="17" t="s">
        <v>38</v>
      </c>
      <c r="H36" s="13">
        <f>VLOOKUP($G36,'Visu totale'!$D$3:$DT$129,H$1,0)</f>
        <v>18</v>
      </c>
      <c r="I36" s="13" t="str">
        <f>VLOOKUP($G36,'Visu totale'!$D$3:$DT$129,I$1,0)</f>
        <v>CHAMMAL_D</v>
      </c>
      <c r="J36" s="13" t="str">
        <f>VLOOKUP($G36,'Visu totale'!$D$3:$DT$129,J$1,0)</f>
        <v>CHAMMAL_D</v>
      </c>
      <c r="K36" s="13" t="str">
        <f>VLOOKUP($G36,'Visu totale'!$D$3:$DT$129,K$1,0)</f>
        <v>CHAMMAL_D</v>
      </c>
      <c r="L36" s="13" t="str">
        <f>VLOOKUP($G36,'Visu totale'!$D$3:$DT$129,L$1,0)</f>
        <v>CHAMMAL_D</v>
      </c>
      <c r="M36" s="13">
        <f>VLOOKUP($G36,'Visu totale'!$D$3:$DT$129,M$1,0)</f>
        <v>18</v>
      </c>
      <c r="N36" s="13">
        <f>VLOOKUP($G36,'Visu totale'!$D$3:$DT$129,N$1,0)</f>
        <v>18</v>
      </c>
      <c r="O36" s="13" t="str">
        <f>VLOOKUP($G36,'Visu totale'!$D$3:$DT$129,O$1,0)</f>
        <v>NANCY_D</v>
      </c>
      <c r="P36" s="13" t="str">
        <f>VLOOKUP($G36,'Visu totale'!$D$3:$DT$129,P$1,0)</f>
        <v>NANCY_D</v>
      </c>
      <c r="Q36" s="13" t="str">
        <f>VLOOKUP($G36,'Visu totale'!$D$3:$DT$129,Q$1,0)</f>
        <v>NANCY_D</v>
      </c>
      <c r="R36" s="15" t="str">
        <f>VLOOKUP($G36,'Visu totale'!$D$3:$DT$129,R$1,0)</f>
        <v>NANCY_D</v>
      </c>
      <c r="S36" s="14">
        <f>VLOOKUP($G36,'Visu totale'!$D$3:$DT$129,S$1,0)</f>
        <v>18</v>
      </c>
      <c r="T36" s="13">
        <f>VLOOKUP($G36,'Visu totale'!$D$3:$DT$129,T$1,0)</f>
        <v>18</v>
      </c>
      <c r="U36" s="13" t="str">
        <f>VLOOKUP($G36,'Visu totale'!$D$3:$DT$129,U$1,0)</f>
        <v>NANCY_D</v>
      </c>
      <c r="V36" s="13" t="str">
        <f>VLOOKUP($G36,'Visu totale'!$D$3:$DT$129,V$1,0)</f>
        <v>NANCY_D</v>
      </c>
      <c r="W36" s="13" t="str">
        <f>VLOOKUP($G36,'Visu totale'!$D$3:$DT$129,W$1,0)</f>
        <v>NANCY_D</v>
      </c>
      <c r="X36" s="13" t="str">
        <f>VLOOKUP($G36,'Visu totale'!$D$3:$DT$129,X$1,0)</f>
        <v>NANCY_D</v>
      </c>
      <c r="Y36" s="13">
        <f>VLOOKUP($G36,'Visu totale'!$D$3:$DT$129,Y$1,0)</f>
        <v>18</v>
      </c>
      <c r="Z36" s="13">
        <f>VLOOKUP($G36,'Visu totale'!$D$3:$DT$129,Z$1,0)</f>
        <v>18</v>
      </c>
      <c r="AA36" s="13">
        <f>VLOOKUP($G36,'Visu totale'!$D$3:$DT$129,AA$1,0)</f>
        <v>18</v>
      </c>
      <c r="AB36" s="13">
        <f>VLOOKUP($G36,'Visu totale'!$D$3:$DT$129,AB$1,0)</f>
        <v>18</v>
      </c>
      <c r="AC36" s="13">
        <f>VLOOKUP($G36,'Visu totale'!$D$3:$DT$129,AC$1,0)</f>
        <v>18</v>
      </c>
      <c r="AD36" s="15">
        <f>VLOOKUP($G36,'Visu totale'!$D$3:$DT$129,AD$1,0)</f>
        <v>18</v>
      </c>
      <c r="AE36" s="14">
        <f>VLOOKUP($G36,'Visu totale'!$D$3:$DT$129,AE$1,0)</f>
        <v>18</v>
      </c>
      <c r="AF36" s="13" t="str">
        <f>VLOOKUP($G36,'Visu totale'!$D$3:$DT$129,AF$1,0)</f>
        <v>V10</v>
      </c>
      <c r="AG36" s="13" t="str">
        <f>VLOOKUP($G36,'Visu totale'!$D$3:$DT$129,AG$1,0)</f>
        <v>V10</v>
      </c>
      <c r="AH36" s="13" t="str">
        <f>VLOOKUP($G36,'Visu totale'!$D$3:$DT$129,AH$1,0)</f>
        <v>V10</v>
      </c>
      <c r="AI36" s="13" t="str">
        <f>VLOOKUP($G36,'Visu totale'!$D$3:$DT$129,AI$1,0)</f>
        <v>V10</v>
      </c>
      <c r="AJ36" s="13" t="str">
        <f>VLOOKUP($G36,'Visu totale'!$D$3:$DT$129,AJ$1,0)</f>
        <v>V10</v>
      </c>
      <c r="AK36" s="13" t="str">
        <f>VLOOKUP($G36,'Visu totale'!$D$3:$DT$129,AK$1,0)</f>
        <v>V10</v>
      </c>
      <c r="AL36" s="13" t="str">
        <f>VLOOKUP($G36,'Visu totale'!$D$3:$DT$129,AL$1,0)</f>
        <v>V10</v>
      </c>
      <c r="AM36" s="13" t="str">
        <f>VLOOKUP($G36,'Visu totale'!$D$3:$DT$129,AM$1,0)</f>
        <v>V10</v>
      </c>
      <c r="AN36" s="13" t="str">
        <f>VLOOKUP($G36,'Visu totale'!$D$3:$DT$129,AN$1,0)</f>
        <v>V10</v>
      </c>
      <c r="AO36" s="13" t="str">
        <f>VLOOKUP($G36,'Visu totale'!$D$3:$DT$129,AO$1,0)</f>
        <v>V10</v>
      </c>
      <c r="AP36" s="15" t="str">
        <f>VLOOKUP($G36,'Visu totale'!$D$3:$DT$129,AP$1,0)</f>
        <v>V10</v>
      </c>
      <c r="AQ36" s="14">
        <f>VLOOKUP($G36,'Visu totale'!$D$3:$DT$129,AQ$1,0)</f>
        <v>18</v>
      </c>
      <c r="AR36" s="13">
        <f>VLOOKUP($G36,'Visu totale'!$D$3:$DT$129,AR$1,0)</f>
        <v>18</v>
      </c>
      <c r="AS36" s="13" t="str">
        <f>VLOOKUP($G36,'Visu totale'!$D$3:$DT$129,AS$1,0)</f>
        <v>CHAMMAL_D</v>
      </c>
      <c r="AT36" s="13" t="str">
        <f>VLOOKUP($G36,'Visu totale'!$D$3:$DT$129,AT$1,0)</f>
        <v>CHAMMAL_D</v>
      </c>
      <c r="AU36" s="13" t="str">
        <f>VLOOKUP($G36,'Visu totale'!$D$3:$DT$129,AU$1,0)</f>
        <v>CHAMMAL_D</v>
      </c>
      <c r="AV36" s="13" t="str">
        <f>VLOOKUP($G36,'Visu totale'!$D$3:$DT$129,AV$1,0)</f>
        <v>CHAMMAL_D</v>
      </c>
      <c r="AW36" s="13">
        <f>VLOOKUP($G36,'Visu totale'!$D$3:$DT$129,AW$1,0)</f>
        <v>18</v>
      </c>
      <c r="AX36" s="13">
        <f>VLOOKUP($G36,'Visu totale'!$D$3:$DT$129,AX$1,0)</f>
        <v>18</v>
      </c>
      <c r="AY36" s="13" t="str">
        <f>VLOOKUP($G36,'Visu totale'!$D$3:$DT$129,AY$1,0)</f>
        <v>CHAMMAL_D</v>
      </c>
      <c r="AZ36" s="13" t="str">
        <f>VLOOKUP($G36,'Visu totale'!$D$3:$DT$129,AZ$1,0)</f>
        <v>CHAMMAL_D</v>
      </c>
      <c r="BA36" s="13" t="str">
        <f>VLOOKUP($G36,'Visu totale'!$D$3:$DT$129,BA$1,0)</f>
        <v>CHAMMAL_D</v>
      </c>
      <c r="BB36" s="15" t="str">
        <f>VLOOKUP($G36,'Visu totale'!$D$3:$DT$129,BB$1,0)</f>
        <v>CHAMMAL_D</v>
      </c>
      <c r="BC36" s="14">
        <f>VLOOKUP($G36,'Visu totale'!$D$3:$DT$129,BC$1,0)</f>
        <v>18</v>
      </c>
      <c r="BD36" s="13">
        <f>VLOOKUP($G36,'Visu totale'!$D$3:$DT$129,BD$1,0)</f>
        <v>18</v>
      </c>
      <c r="BE36" s="13" t="str">
        <f>VLOOKUP($G36,'Visu totale'!$D$3:$DT$129,BE$1,0)</f>
        <v>NANCY_D</v>
      </c>
      <c r="BF36" s="13" t="str">
        <f>VLOOKUP($G36,'Visu totale'!$D$3:$DT$129,BF$1,0)</f>
        <v>NANCY_D</v>
      </c>
      <c r="BG36" s="13" t="str">
        <f>VLOOKUP($G36,'Visu totale'!$D$3:$DT$129,BG$1,0)</f>
        <v>NANCY_D</v>
      </c>
      <c r="BH36" s="13" t="str">
        <f>VLOOKUP($G36,'Visu totale'!$D$3:$DT$129,BH$1,0)</f>
        <v>NANCY_D</v>
      </c>
      <c r="BI36" s="13">
        <f>VLOOKUP($G36,'Visu totale'!$D$3:$DT$129,BI$1,0)</f>
        <v>18</v>
      </c>
      <c r="BJ36" s="13">
        <f>VLOOKUP($G36,'Visu totale'!$D$3:$DT$129,BJ$1,0)</f>
        <v>18</v>
      </c>
      <c r="BK36" s="13">
        <f>VLOOKUP($G36,'Visu totale'!$D$3:$DT$129,BK$1,0)</f>
        <v>18</v>
      </c>
      <c r="BL36" s="13">
        <f>VLOOKUP($G36,'Visu totale'!$D$3:$DT$129,BL$1,0)</f>
        <v>18</v>
      </c>
      <c r="BM36" s="13">
        <f>VLOOKUP($G36,'Visu totale'!$D$3:$DT$129,BM$1,0)</f>
        <v>18</v>
      </c>
      <c r="BN36" s="15">
        <f>VLOOKUP($G36,'Visu totale'!$D$3:$DT$129,BN$1,0)</f>
        <v>18</v>
      </c>
      <c r="BO36" s="14" t="str">
        <f>VLOOKUP($G36,'Visu totale'!$D$3:$DT$129,BO$1,0)</f>
        <v>V15</v>
      </c>
      <c r="BP36" s="13" t="str">
        <f>VLOOKUP($G36,'Visu totale'!$D$3:$DT$129,BP$1,0)</f>
        <v>V15</v>
      </c>
      <c r="BQ36" s="13" t="str">
        <f>VLOOKUP($G36,'Visu totale'!$D$3:$DT$129,BQ$1,0)</f>
        <v>V15</v>
      </c>
      <c r="BR36" s="13" t="str">
        <f>VLOOKUP($G36,'Visu totale'!$D$3:$DT$129,BR$1,0)</f>
        <v>V15</v>
      </c>
      <c r="BS36" s="13" t="str">
        <f>VLOOKUP($G36,'Visu totale'!$D$3:$DT$129,BS$1,0)</f>
        <v>V15</v>
      </c>
      <c r="BT36" s="13" t="str">
        <f>VLOOKUP($G36,'Visu totale'!$D$3:$DT$129,BT$1,0)</f>
        <v>V15</v>
      </c>
      <c r="BU36" s="13">
        <f>VLOOKUP($G36,'Visu totale'!$D$3:$DT$129,BU$1,0)</f>
        <v>18</v>
      </c>
      <c r="BV36" s="13">
        <f>VLOOKUP($G36,'Visu totale'!$D$3:$DT$129,BV$1,0)</f>
        <v>18</v>
      </c>
      <c r="BW36" s="13" t="str">
        <f>VLOOKUP($G36,'Visu totale'!$D$3:$DT$129,BW$1,0)</f>
        <v>NANCY_D</v>
      </c>
      <c r="BX36" s="13" t="str">
        <f>VLOOKUP($G36,'Visu totale'!$D$3:$DT$129,BX$1,0)</f>
        <v>NANCY_D</v>
      </c>
      <c r="BY36" s="13" t="str">
        <f>VLOOKUP($G36,'Visu totale'!$D$3:$DT$129,BY$1,0)</f>
        <v>NANCY_D</v>
      </c>
      <c r="BZ36" s="15" t="str">
        <f>VLOOKUP($G36,'Visu totale'!$D$3:$DT$129,BZ$1,0)</f>
        <v>NANCY_D</v>
      </c>
      <c r="CA36" s="14">
        <f>VLOOKUP($G36,'Visu totale'!$D$3:$DT$129,CA$1,0)</f>
        <v>18</v>
      </c>
      <c r="CB36" s="13">
        <f>VLOOKUP($G36,'Visu totale'!$D$3:$DT$129,CB$1,0)</f>
        <v>18</v>
      </c>
      <c r="CC36" s="13" t="str">
        <f>VLOOKUP($G36,'Visu totale'!$D$3:$DT$129,CC$1,0)</f>
        <v>NANCY_D</v>
      </c>
      <c r="CD36" s="13" t="str">
        <f>VLOOKUP($G36,'Visu totale'!$D$3:$DT$129,CD$1,0)</f>
        <v>NANCY_D</v>
      </c>
      <c r="CE36" s="13" t="str">
        <f>VLOOKUP($G36,'Visu totale'!$D$3:$DT$129,CE$1,0)</f>
        <v>NANCY_D</v>
      </c>
      <c r="CF36" s="13" t="str">
        <f>VLOOKUP($G36,'Visu totale'!$D$3:$DT$129,CF$1,0)</f>
        <v>NANCY_D</v>
      </c>
      <c r="CG36" s="13">
        <f>VLOOKUP($G36,'Visu totale'!$D$3:$DT$129,CG$1,0)</f>
        <v>18</v>
      </c>
      <c r="CH36" s="13">
        <f>VLOOKUP($G36,'Visu totale'!$D$3:$DT$129,CH$1,0)</f>
        <v>18</v>
      </c>
      <c r="CI36" s="13" t="str">
        <f>VLOOKUP($G36,'Visu totale'!$D$3:$DT$129,CI$1,0)</f>
        <v>NANCY_D</v>
      </c>
      <c r="CJ36" s="13" t="str">
        <f>VLOOKUP($G36,'Visu totale'!$D$3:$DT$129,CJ$1,0)</f>
        <v>NANCY_D</v>
      </c>
      <c r="CK36" s="13" t="str">
        <f>VLOOKUP($G36,'Visu totale'!$D$3:$DT$129,CK$1,0)</f>
        <v>NANCY_D</v>
      </c>
      <c r="CL36" s="15" t="str">
        <f>VLOOKUP($G36,'Visu totale'!$D$3:$DT$129,CL$1,0)</f>
        <v>NANCY_D</v>
      </c>
      <c r="CM36" s="14">
        <f>VLOOKUP($G36,'Visu totale'!$D$3:$DT$129,CM$1,0)</f>
        <v>18</v>
      </c>
      <c r="CN36" s="13">
        <f>VLOOKUP($G36,'Visu totale'!$D$3:$DT$129,CN$1,0)</f>
        <v>18</v>
      </c>
      <c r="CO36" s="13" t="str">
        <f>VLOOKUP($G36,'Visu totale'!$D$3:$DT$129,CO$1,0)</f>
        <v>NANCY_D</v>
      </c>
      <c r="CP36" s="13" t="str">
        <f>VLOOKUP($G36,'Visu totale'!$D$3:$DT$129,CP$1,0)</f>
        <v>NANCY_D</v>
      </c>
      <c r="CQ36" s="13" t="str">
        <f>VLOOKUP($G36,'Visu totale'!$D$3:$DT$129,CQ$1,0)</f>
        <v>NANCY_D</v>
      </c>
      <c r="CR36" s="13" t="str">
        <f>VLOOKUP($G36,'Visu totale'!$D$3:$DT$129,CR$1,0)</f>
        <v>NANCY_D</v>
      </c>
      <c r="CS36" s="13">
        <f>VLOOKUP($G36,'Visu totale'!$D$3:$DT$129,CS$1,0)</f>
        <v>18</v>
      </c>
      <c r="CT36" s="13">
        <f>VLOOKUP($G36,'Visu totale'!$D$3:$DT$129,CT$1,0)</f>
        <v>18</v>
      </c>
      <c r="CU36" s="13">
        <f>VLOOKUP($G36,'Visu totale'!$D$3:$DT$129,CU$1,0)</f>
        <v>18</v>
      </c>
      <c r="CV36" s="13">
        <f>VLOOKUP($G36,'Visu totale'!$D$3:$DT$129,CV$1,0)</f>
        <v>18</v>
      </c>
      <c r="CW36" s="13">
        <f>VLOOKUP($G36,'Visu totale'!$D$3:$DT$129,CW$1,0)</f>
        <v>18</v>
      </c>
      <c r="CX36" s="15">
        <f>VLOOKUP($G36,'Visu totale'!$D$3:$DT$129,CX$1,0)</f>
        <v>18</v>
      </c>
      <c r="CY36" s="14">
        <f>VLOOKUP($G36,'Visu totale'!$D$3:$DT$129,CY$1,0)</f>
        <v>0</v>
      </c>
      <c r="CZ36" s="13">
        <f>VLOOKUP($G36,'Visu totale'!$D$3:$DT$129,CZ$1,0)</f>
        <v>0</v>
      </c>
      <c r="DA36" s="13">
        <f>VLOOKUP($G36,'Visu totale'!$D$3:$DT$129,DA$1,0)</f>
        <v>0</v>
      </c>
      <c r="DB36" s="13">
        <f>VLOOKUP($G36,'Visu totale'!$D$3:$DT$129,DB$1,0)</f>
        <v>0</v>
      </c>
      <c r="DC36" s="13">
        <f>VLOOKUP($G36,'Visu totale'!$D$3:$DT$129,DC$1,0)</f>
        <v>0</v>
      </c>
      <c r="DD36" s="13">
        <f>VLOOKUP($G36,'Visu totale'!$D$3:$DT$129,DD$1,0)</f>
        <v>0</v>
      </c>
      <c r="DE36" s="13">
        <f>VLOOKUP($G36,'Visu totale'!$D$3:$DT$129,DE$1,0)</f>
        <v>0</v>
      </c>
      <c r="DF36" s="13">
        <f>VLOOKUP($G36,'Visu totale'!$D$3:$DT$129,DF$1,0)</f>
        <v>0</v>
      </c>
      <c r="DG36" s="13">
        <f>VLOOKUP($G36,'Visu totale'!$D$3:$DT$129,DG$1,0)</f>
        <v>0</v>
      </c>
      <c r="DH36" s="13">
        <f>VLOOKUP($G36,'Visu totale'!$D$3:$DT$129,DH$1,0)</f>
        <v>0</v>
      </c>
      <c r="DI36" s="13">
        <f>VLOOKUP($G36,'Visu totale'!$D$3:$DT$129,DI$1,0)</f>
        <v>0</v>
      </c>
      <c r="DJ36" s="15">
        <f>VLOOKUP($G36,'Visu totale'!$D$3:$DT$129,DJ$1,0)</f>
        <v>0</v>
      </c>
      <c r="DK36" s="14">
        <f>VLOOKUP($G36,'Visu totale'!$D$3:$DT$129,DK$1,0)</f>
        <v>0</v>
      </c>
      <c r="DL36" s="13">
        <f>VLOOKUP($G36,'Visu totale'!$D$3:$DT$129,DL$1,0)</f>
        <v>0</v>
      </c>
      <c r="DM36" s="13">
        <f>VLOOKUP($G36,'Visu totale'!$D$3:$DT$129,DM$1,0)</f>
        <v>0</v>
      </c>
      <c r="DN36" s="13">
        <f>VLOOKUP($G36,'Visu totale'!$D$3:$DT$129,DN$1,0)</f>
        <v>0</v>
      </c>
      <c r="DO36" s="13">
        <f>VLOOKUP($G36,'Visu totale'!$D$3:$DT$129,DO$1,0)</f>
        <v>0</v>
      </c>
      <c r="DP36" s="13">
        <f>VLOOKUP($G36,'Visu totale'!$D$3:$DT$129,DP$1,0)</f>
        <v>0</v>
      </c>
      <c r="DQ36" s="13">
        <f>VLOOKUP($G36,'Visu totale'!$D$3:$DT$129,DQ$1,0)</f>
        <v>0</v>
      </c>
      <c r="DR36" s="13">
        <f>VLOOKUP($G36,'Visu totale'!$D$3:$DT$129,DR$1,0)</f>
        <v>0</v>
      </c>
      <c r="DS36" s="13">
        <f>VLOOKUP($G36,'Visu totale'!$D$3:$DT$129,DS$1,0)</f>
        <v>0</v>
      </c>
      <c r="DT36" s="13">
        <f>VLOOKUP($G36,'Visu totale'!$D$3:$DT$129,DT$1,0)</f>
        <v>0</v>
      </c>
      <c r="DU36" s="13">
        <f>VLOOKUP($G36,'Visu totale'!$D$3:$DT$129,DU$1,0)</f>
        <v>0</v>
      </c>
      <c r="DV36" s="15">
        <f>VLOOKUP($G36,'Visu totale'!$D$3:$DT$129,DV$1,0)</f>
        <v>0</v>
      </c>
    </row>
    <row r="37" spans="1:126" x14ac:dyDescent="0.25">
      <c r="A37" s="13"/>
      <c r="B37" s="13"/>
      <c r="C37" s="13"/>
      <c r="D37" s="16"/>
      <c r="E37" s="14"/>
      <c r="F37" s="13"/>
      <c r="G37" s="17" t="s">
        <v>39</v>
      </c>
      <c r="H37" s="13">
        <f>VLOOKUP($G37,'Visu totale'!$D$3:$DT$129,H$1,0)</f>
        <v>18</v>
      </c>
      <c r="I37" s="13" t="str">
        <f>VLOOKUP($G37,'Visu totale'!$D$3:$DT$129,I$1,0)</f>
        <v>NANCY_D</v>
      </c>
      <c r="J37" s="13" t="str">
        <f>VLOOKUP($G37,'Visu totale'!$D$3:$DT$129,J$1,0)</f>
        <v>NANCY_D</v>
      </c>
      <c r="K37" s="13" t="str">
        <f>VLOOKUP($G37,'Visu totale'!$D$3:$DT$129,K$1,0)</f>
        <v>NANCY_D</v>
      </c>
      <c r="L37" s="13" t="str">
        <f>VLOOKUP($G37,'Visu totale'!$D$3:$DT$129,L$1,0)</f>
        <v>NANCY_D</v>
      </c>
      <c r="M37" s="13">
        <f>VLOOKUP($G37,'Visu totale'!$D$3:$DT$129,M$1,0)</f>
        <v>18</v>
      </c>
      <c r="N37" s="13">
        <f>VLOOKUP($G37,'Visu totale'!$D$3:$DT$129,N$1,0)</f>
        <v>18</v>
      </c>
      <c r="O37" s="13" t="str">
        <f>VLOOKUP($G37,'Visu totale'!$D$3:$DT$129,O$1,0)</f>
        <v>CHAMMAL_D</v>
      </c>
      <c r="P37" s="13" t="str">
        <f>VLOOKUP($G37,'Visu totale'!$D$3:$DT$129,P$1,0)</f>
        <v>CHAMMAL_D</v>
      </c>
      <c r="Q37" s="13" t="str">
        <f>VLOOKUP($G37,'Visu totale'!$D$3:$DT$129,Q$1,0)</f>
        <v>CHAMMAL_D</v>
      </c>
      <c r="R37" s="15" t="str">
        <f>VLOOKUP($G37,'Visu totale'!$D$3:$DT$129,R$1,0)</f>
        <v>CHAMMAL_D</v>
      </c>
      <c r="S37" s="14">
        <f>VLOOKUP($G37,'Visu totale'!$D$3:$DT$129,S$1,0)</f>
        <v>18</v>
      </c>
      <c r="T37" s="13">
        <f>VLOOKUP($G37,'Visu totale'!$D$3:$DT$129,T$1,0)</f>
        <v>18</v>
      </c>
      <c r="U37" s="13" t="str">
        <f>VLOOKUP($G37,'Visu totale'!$D$3:$DT$129,U$1,0)</f>
        <v>NANCY_D</v>
      </c>
      <c r="V37" s="13" t="str">
        <f>VLOOKUP($G37,'Visu totale'!$D$3:$DT$129,V$1,0)</f>
        <v>NANCY_D</v>
      </c>
      <c r="W37" s="13" t="str">
        <f>VLOOKUP($G37,'Visu totale'!$D$3:$DT$129,W$1,0)</f>
        <v>NANCY_D</v>
      </c>
      <c r="X37" s="13" t="str">
        <f>VLOOKUP($G37,'Visu totale'!$D$3:$DT$129,X$1,0)</f>
        <v>NANCY_D</v>
      </c>
      <c r="Y37" s="13">
        <f>VLOOKUP($G37,'Visu totale'!$D$3:$DT$129,Y$1,0)</f>
        <v>18</v>
      </c>
      <c r="Z37" s="13">
        <f>VLOOKUP($G37,'Visu totale'!$D$3:$DT$129,Z$1,0)</f>
        <v>18</v>
      </c>
      <c r="AA37" s="13" t="str">
        <f>VLOOKUP($G37,'Visu totale'!$D$3:$DT$129,AA$1,0)</f>
        <v>NANCY_D</v>
      </c>
      <c r="AB37" s="13" t="str">
        <f>VLOOKUP($G37,'Visu totale'!$D$3:$DT$129,AB$1,0)</f>
        <v>NANCY_D</v>
      </c>
      <c r="AC37" s="13" t="str">
        <f>VLOOKUP($G37,'Visu totale'!$D$3:$DT$129,AC$1,0)</f>
        <v>NANCY_D</v>
      </c>
      <c r="AD37" s="15" t="str">
        <f>VLOOKUP($G37,'Visu totale'!$D$3:$DT$129,AD$1,0)</f>
        <v>NANCY_D</v>
      </c>
      <c r="AE37" s="14">
        <f>VLOOKUP($G37,'Visu totale'!$D$3:$DT$129,AE$1,0)</f>
        <v>18</v>
      </c>
      <c r="AF37" s="13">
        <f>VLOOKUP($G37,'Visu totale'!$D$3:$DT$129,AF$1,0)</f>
        <v>18</v>
      </c>
      <c r="AG37" s="13" t="str">
        <f>VLOOKUP($G37,'Visu totale'!$D$3:$DT$129,AG$1,0)</f>
        <v>NANCY_D</v>
      </c>
      <c r="AH37" s="13" t="str">
        <f>VLOOKUP($G37,'Visu totale'!$D$3:$DT$129,AH$1,0)</f>
        <v>NANCY_D</v>
      </c>
      <c r="AI37" s="13" t="str">
        <f>VLOOKUP($G37,'Visu totale'!$D$3:$DT$129,AI$1,0)</f>
        <v>NANCY_D</v>
      </c>
      <c r="AJ37" s="13" t="str">
        <f>VLOOKUP($G37,'Visu totale'!$D$3:$DT$129,AJ$1,0)</f>
        <v>NANCY_D</v>
      </c>
      <c r="AK37" s="13">
        <f>VLOOKUP($G37,'Visu totale'!$D$3:$DT$129,AK$1,0)</f>
        <v>18</v>
      </c>
      <c r="AL37" s="13">
        <f>VLOOKUP($G37,'Visu totale'!$D$3:$DT$129,AL$1,0)</f>
        <v>18</v>
      </c>
      <c r="AM37" s="13" t="str">
        <f>VLOOKUP($G37,'Visu totale'!$D$3:$DT$129,AM$1,0)</f>
        <v>NANCY_D</v>
      </c>
      <c r="AN37" s="13" t="str">
        <f>VLOOKUP($G37,'Visu totale'!$D$3:$DT$129,AN$1,0)</f>
        <v>NANCY_D</v>
      </c>
      <c r="AO37" s="13" t="str">
        <f>VLOOKUP($G37,'Visu totale'!$D$3:$DT$129,AO$1,0)</f>
        <v>NANCY_D</v>
      </c>
      <c r="AP37" s="15" t="str">
        <f>VLOOKUP($G37,'Visu totale'!$D$3:$DT$129,AP$1,0)</f>
        <v>NANCY_D</v>
      </c>
      <c r="AQ37" s="14">
        <f>VLOOKUP($G37,'Visu totale'!$D$3:$DT$129,AQ$1,0)</f>
        <v>18</v>
      </c>
      <c r="AR37" s="13">
        <f>VLOOKUP($G37,'Visu totale'!$D$3:$DT$129,AR$1,0)</f>
        <v>18</v>
      </c>
      <c r="AS37" s="13">
        <f>VLOOKUP($G37,'Visu totale'!$D$3:$DT$129,AS$1,0)</f>
        <v>18</v>
      </c>
      <c r="AT37" s="13">
        <f>VLOOKUP($G37,'Visu totale'!$D$3:$DT$129,AT$1,0)</f>
        <v>18</v>
      </c>
      <c r="AU37" s="13">
        <f>VLOOKUP($G37,'Visu totale'!$D$3:$DT$129,AU$1,0)</f>
        <v>18</v>
      </c>
      <c r="AV37" s="13">
        <f>VLOOKUP($G37,'Visu totale'!$D$3:$DT$129,AV$1,0)</f>
        <v>18</v>
      </c>
      <c r="AW37" s="13">
        <f>VLOOKUP($G37,'Visu totale'!$D$3:$DT$129,AW$1,0)</f>
        <v>0</v>
      </c>
      <c r="AX37" s="13" t="str">
        <f>VLOOKUP($G37,'Visu totale'!$D$3:$DT$129,AX$1,0)</f>
        <v>V10</v>
      </c>
      <c r="AY37" s="13" t="str">
        <f>VLOOKUP($G37,'Visu totale'!$D$3:$DT$129,AY$1,0)</f>
        <v>V10</v>
      </c>
      <c r="AZ37" s="13" t="str">
        <f>VLOOKUP($G37,'Visu totale'!$D$3:$DT$129,AZ$1,0)</f>
        <v>V10</v>
      </c>
      <c r="BA37" s="13" t="str">
        <f>VLOOKUP($G37,'Visu totale'!$D$3:$DT$129,BA$1,0)</f>
        <v>V10</v>
      </c>
      <c r="BB37" s="15" t="str">
        <f>VLOOKUP($G37,'Visu totale'!$D$3:$DT$129,BB$1,0)</f>
        <v>V10</v>
      </c>
      <c r="BC37" s="14" t="str">
        <f>VLOOKUP($G37,'Visu totale'!$D$3:$DT$129,BC$1,0)</f>
        <v>V10</v>
      </c>
      <c r="BD37" s="13">
        <f>VLOOKUP($G37,'Visu totale'!$D$3:$DT$129,BD$1,0)</f>
        <v>18</v>
      </c>
      <c r="BE37" s="13">
        <f>VLOOKUP($G37,'Visu totale'!$D$3:$DT$129,BE$1,0)</f>
        <v>18</v>
      </c>
      <c r="BF37" s="13" t="str">
        <f>VLOOKUP($G37,'Visu totale'!$D$3:$DT$129,BF$1,0)</f>
        <v>NDJAMENA_D</v>
      </c>
      <c r="BG37" s="13" t="str">
        <f>VLOOKUP($G37,'Visu totale'!$D$3:$DT$129,BG$1,0)</f>
        <v>NDJAMENA_D</v>
      </c>
      <c r="BH37" s="13" t="str">
        <f>VLOOKUP($G37,'Visu totale'!$D$3:$DT$129,BH$1,0)</f>
        <v>NDJAMENA_D</v>
      </c>
      <c r="BI37" s="13" t="str">
        <f>VLOOKUP($G37,'Visu totale'!$D$3:$DT$129,BI$1,0)</f>
        <v>NDJAMENA_D</v>
      </c>
      <c r="BJ37" s="13">
        <f>VLOOKUP($G37,'Visu totale'!$D$3:$DT$129,BJ$1,0)</f>
        <v>18</v>
      </c>
      <c r="BK37" s="13">
        <f>VLOOKUP($G37,'Visu totale'!$D$3:$DT$129,BK$1,0)</f>
        <v>18</v>
      </c>
      <c r="BL37" s="13" t="str">
        <f>VLOOKUP($G37,'Visu totale'!$D$3:$DT$129,BL$1,0)</f>
        <v>CHAMMAL_D</v>
      </c>
      <c r="BM37" s="13" t="str">
        <f>VLOOKUP($G37,'Visu totale'!$D$3:$DT$129,BM$1,0)</f>
        <v>CHAMMAL_D</v>
      </c>
      <c r="BN37" s="15" t="str">
        <f>VLOOKUP($G37,'Visu totale'!$D$3:$DT$129,BN$1,0)</f>
        <v>CHAMMAL_D</v>
      </c>
      <c r="BO37" s="14" t="str">
        <f>VLOOKUP($G37,'Visu totale'!$D$3:$DT$129,BO$1,0)</f>
        <v>V20</v>
      </c>
      <c r="BP37" s="13">
        <f>VLOOKUP($G37,'Visu totale'!$D$3:$DT$129,BP$1,0)</f>
        <v>18</v>
      </c>
      <c r="BQ37" s="13">
        <f>VLOOKUP($G37,'Visu totale'!$D$3:$DT$129,BQ$1,0)</f>
        <v>18</v>
      </c>
      <c r="BR37" s="13" t="str">
        <f>VLOOKUP($G37,'Visu totale'!$D$3:$DT$129,BR$1,0)</f>
        <v>NANCY_D</v>
      </c>
      <c r="BS37" s="13" t="str">
        <f>VLOOKUP($G37,'Visu totale'!$D$3:$DT$129,BS$1,0)</f>
        <v>NANCY_D</v>
      </c>
      <c r="BT37" s="13" t="str">
        <f>VLOOKUP($G37,'Visu totale'!$D$3:$DT$129,BT$1,0)</f>
        <v>NANCY_D</v>
      </c>
      <c r="BU37" s="13" t="str">
        <f>VLOOKUP($G37,'Visu totale'!$D$3:$DT$129,BU$1,0)</f>
        <v>NANCY_D</v>
      </c>
      <c r="BV37" s="13">
        <f>VLOOKUP($G37,'Visu totale'!$D$3:$DT$129,BV$1,0)</f>
        <v>18</v>
      </c>
      <c r="BW37" s="13">
        <f>VLOOKUP($G37,'Visu totale'!$D$3:$DT$129,BW$1,0)</f>
        <v>18</v>
      </c>
      <c r="BX37" s="13" t="str">
        <f>VLOOKUP($G37,'Visu totale'!$D$3:$DT$129,BX$1,0)</f>
        <v>NANCY_D</v>
      </c>
      <c r="BY37" s="13" t="str">
        <f>VLOOKUP($G37,'Visu totale'!$D$3:$DT$129,BY$1,0)</f>
        <v>NANCY_D</v>
      </c>
      <c r="BZ37" s="15" t="str">
        <f>VLOOKUP($G37,'Visu totale'!$D$3:$DT$129,BZ$1,0)</f>
        <v>NANCY_D</v>
      </c>
      <c r="CA37" s="14" t="str">
        <f>VLOOKUP($G37,'Visu totale'!$D$3:$DT$129,CA$1,0)</f>
        <v>NANCY_D</v>
      </c>
      <c r="CB37" s="13">
        <f>VLOOKUP($G37,'Visu totale'!$D$3:$DT$129,CB$1,0)</f>
        <v>18</v>
      </c>
      <c r="CC37" s="13">
        <f>VLOOKUP($G37,'Visu totale'!$D$3:$DT$129,CC$1,0)</f>
        <v>18</v>
      </c>
      <c r="CD37" s="13" t="str">
        <f>VLOOKUP($G37,'Visu totale'!$D$3:$DT$129,CD$1,0)</f>
        <v>NANCY_D</v>
      </c>
      <c r="CE37" s="13" t="str">
        <f>VLOOKUP($G37,'Visu totale'!$D$3:$DT$129,CE$1,0)</f>
        <v>NANCY_D</v>
      </c>
      <c r="CF37" s="13" t="str">
        <f>VLOOKUP($G37,'Visu totale'!$D$3:$DT$129,CF$1,0)</f>
        <v>NANCY_D</v>
      </c>
      <c r="CG37" s="13" t="str">
        <f>VLOOKUP($G37,'Visu totale'!$D$3:$DT$129,CG$1,0)</f>
        <v>NANCY_D</v>
      </c>
      <c r="CH37" s="13">
        <f>VLOOKUP($G37,'Visu totale'!$D$3:$DT$129,CH$1,0)</f>
        <v>18</v>
      </c>
      <c r="CI37" s="13">
        <f>VLOOKUP($G37,'Visu totale'!$D$3:$DT$129,CI$1,0)</f>
        <v>18</v>
      </c>
      <c r="CJ37" s="13" t="str">
        <f>VLOOKUP($G37,'Visu totale'!$D$3:$DT$129,CJ$1,0)</f>
        <v>NANCY_D</v>
      </c>
      <c r="CK37" s="13" t="str">
        <f>VLOOKUP($G37,'Visu totale'!$D$3:$DT$129,CK$1,0)</f>
        <v>NANCY_D</v>
      </c>
      <c r="CL37" s="15" t="str">
        <f>VLOOKUP($G37,'Visu totale'!$D$3:$DT$129,CL$1,0)</f>
        <v>NANCY_D</v>
      </c>
      <c r="CM37" s="14" t="str">
        <f>VLOOKUP($G37,'Visu totale'!$D$3:$DT$129,CM$1,0)</f>
        <v>NANCY_D</v>
      </c>
      <c r="CN37" s="13">
        <f>VLOOKUP($G37,'Visu totale'!$D$3:$DT$129,CN$1,0)</f>
        <v>18</v>
      </c>
      <c r="CO37" s="13">
        <f>VLOOKUP($G37,'Visu totale'!$D$3:$DT$129,CO$1,0)</f>
        <v>18</v>
      </c>
      <c r="CP37" s="13" t="str">
        <f>VLOOKUP($G37,'Visu totale'!$D$3:$DT$129,CP$1,0)</f>
        <v>NANCY_D</v>
      </c>
      <c r="CQ37" s="13" t="str">
        <f>VLOOKUP($G37,'Visu totale'!$D$3:$DT$129,CQ$1,0)</f>
        <v>NANCY_D</v>
      </c>
      <c r="CR37" s="13" t="str">
        <f>VLOOKUP($G37,'Visu totale'!$D$3:$DT$129,CR$1,0)</f>
        <v>NANCY_D</v>
      </c>
      <c r="CS37" s="13" t="str">
        <f>VLOOKUP($G37,'Visu totale'!$D$3:$DT$129,CS$1,0)</f>
        <v>NANCY_D</v>
      </c>
      <c r="CT37" s="13">
        <f>VLOOKUP($G37,'Visu totale'!$D$3:$DT$129,CT$1,0)</f>
        <v>18</v>
      </c>
      <c r="CU37" s="13">
        <f>VLOOKUP($G37,'Visu totale'!$D$3:$DT$129,CU$1,0)</f>
        <v>18</v>
      </c>
      <c r="CV37" s="13">
        <f>VLOOKUP($G37,'Visu totale'!$D$3:$DT$129,CV$1,0)</f>
        <v>18</v>
      </c>
      <c r="CW37" s="13">
        <f>VLOOKUP($G37,'Visu totale'!$D$3:$DT$129,CW$1,0)</f>
        <v>18</v>
      </c>
      <c r="CX37" s="15">
        <f>VLOOKUP($G37,'Visu totale'!$D$3:$DT$129,CX$1,0)</f>
        <v>18</v>
      </c>
      <c r="CY37" s="14">
        <f>VLOOKUP($G37,'Visu totale'!$D$3:$DT$129,CY$1,0)</f>
        <v>0</v>
      </c>
      <c r="CZ37" s="13">
        <f>VLOOKUP($G37,'Visu totale'!$D$3:$DT$129,CZ$1,0)</f>
        <v>0</v>
      </c>
      <c r="DA37" s="13">
        <f>VLOOKUP($G37,'Visu totale'!$D$3:$DT$129,DA$1,0)</f>
        <v>0</v>
      </c>
      <c r="DB37" s="13">
        <f>VLOOKUP($G37,'Visu totale'!$D$3:$DT$129,DB$1,0)</f>
        <v>0</v>
      </c>
      <c r="DC37" s="13">
        <f>VLOOKUP($G37,'Visu totale'!$D$3:$DT$129,DC$1,0)</f>
        <v>0</v>
      </c>
      <c r="DD37" s="13">
        <f>VLOOKUP($G37,'Visu totale'!$D$3:$DT$129,DD$1,0)</f>
        <v>0</v>
      </c>
      <c r="DE37" s="13">
        <f>VLOOKUP($G37,'Visu totale'!$D$3:$DT$129,DE$1,0)</f>
        <v>0</v>
      </c>
      <c r="DF37" s="13">
        <f>VLOOKUP($G37,'Visu totale'!$D$3:$DT$129,DF$1,0)</f>
        <v>0</v>
      </c>
      <c r="DG37" s="13">
        <f>VLOOKUP($G37,'Visu totale'!$D$3:$DT$129,DG$1,0)</f>
        <v>0</v>
      </c>
      <c r="DH37" s="13">
        <f>VLOOKUP($G37,'Visu totale'!$D$3:$DT$129,DH$1,0)</f>
        <v>0</v>
      </c>
      <c r="DI37" s="13">
        <f>VLOOKUP($G37,'Visu totale'!$D$3:$DT$129,DI$1,0)</f>
        <v>0</v>
      </c>
      <c r="DJ37" s="15">
        <f>VLOOKUP($G37,'Visu totale'!$D$3:$DT$129,DJ$1,0)</f>
        <v>0</v>
      </c>
      <c r="DK37" s="14">
        <f>VLOOKUP($G37,'Visu totale'!$D$3:$DT$129,DK$1,0)</f>
        <v>0</v>
      </c>
      <c r="DL37" s="13">
        <f>VLOOKUP($G37,'Visu totale'!$D$3:$DT$129,DL$1,0)</f>
        <v>0</v>
      </c>
      <c r="DM37" s="13">
        <f>VLOOKUP($G37,'Visu totale'!$D$3:$DT$129,DM$1,0)</f>
        <v>0</v>
      </c>
      <c r="DN37" s="13">
        <f>VLOOKUP($G37,'Visu totale'!$D$3:$DT$129,DN$1,0)</f>
        <v>0</v>
      </c>
      <c r="DO37" s="13">
        <f>VLOOKUP($G37,'Visu totale'!$D$3:$DT$129,DO$1,0)</f>
        <v>0</v>
      </c>
      <c r="DP37" s="13">
        <f>VLOOKUP($G37,'Visu totale'!$D$3:$DT$129,DP$1,0)</f>
        <v>0</v>
      </c>
      <c r="DQ37" s="13">
        <f>VLOOKUP($G37,'Visu totale'!$D$3:$DT$129,DQ$1,0)</f>
        <v>0</v>
      </c>
      <c r="DR37" s="13">
        <f>VLOOKUP($G37,'Visu totale'!$D$3:$DT$129,DR$1,0)</f>
        <v>0</v>
      </c>
      <c r="DS37" s="13">
        <f>VLOOKUP($G37,'Visu totale'!$D$3:$DT$129,DS$1,0)</f>
        <v>0</v>
      </c>
      <c r="DT37" s="13">
        <f>VLOOKUP($G37,'Visu totale'!$D$3:$DT$129,DT$1,0)</f>
        <v>0</v>
      </c>
      <c r="DU37" s="13">
        <f>VLOOKUP($G37,'Visu totale'!$D$3:$DT$129,DU$1,0)</f>
        <v>0</v>
      </c>
      <c r="DV37" s="15">
        <f>VLOOKUP($G37,'Visu totale'!$D$3:$DT$129,DV$1,0)</f>
        <v>0</v>
      </c>
    </row>
    <row r="38" spans="1:126" x14ac:dyDescent="0.25">
      <c r="A38" s="13"/>
      <c r="B38" s="13"/>
      <c r="C38" s="13"/>
      <c r="D38" s="16"/>
      <c r="E38" s="14"/>
      <c r="F38" s="13"/>
      <c r="G38" s="17" t="s">
        <v>40</v>
      </c>
      <c r="H38" s="13">
        <f>VLOOKUP($G38,'Visu totale'!$D$3:$DT$129,H$1,0)</f>
        <v>18</v>
      </c>
      <c r="I38" s="13" t="str">
        <f>VLOOKUP($G38,'Visu totale'!$D$3:$DT$129,I$1,0)</f>
        <v>CHAMMAL_D</v>
      </c>
      <c r="J38" s="13" t="str">
        <f>VLOOKUP($G38,'Visu totale'!$D$3:$DT$129,J$1,0)</f>
        <v>CHAMMAL_D</v>
      </c>
      <c r="K38" s="13" t="str">
        <f>VLOOKUP($G38,'Visu totale'!$D$3:$DT$129,K$1,0)</f>
        <v>CHAMMAL_D</v>
      </c>
      <c r="L38" s="13" t="str">
        <f>VLOOKUP($G38,'Visu totale'!$D$3:$DT$129,L$1,0)</f>
        <v>CHAMMAL_D</v>
      </c>
      <c r="M38" s="13">
        <f>VLOOKUP($G38,'Visu totale'!$D$3:$DT$129,M$1,0)</f>
        <v>18</v>
      </c>
      <c r="N38" s="13">
        <f>VLOOKUP($G38,'Visu totale'!$D$3:$DT$129,N$1,0)</f>
        <v>18</v>
      </c>
      <c r="O38" s="13" t="str">
        <f>VLOOKUP($G38,'Visu totale'!$D$3:$DT$129,O$1,0)</f>
        <v>CHAMMAL_D</v>
      </c>
      <c r="P38" s="13" t="str">
        <f>VLOOKUP($G38,'Visu totale'!$D$3:$DT$129,P$1,0)</f>
        <v>CHAMMAL_D</v>
      </c>
      <c r="Q38" s="13" t="str">
        <f>VLOOKUP($G38,'Visu totale'!$D$3:$DT$129,Q$1,0)</f>
        <v>CHAMMAL_D</v>
      </c>
      <c r="R38" s="15" t="str">
        <f>VLOOKUP($G38,'Visu totale'!$D$3:$DT$129,R$1,0)</f>
        <v>CHAMMAL_D</v>
      </c>
      <c r="S38" s="14">
        <f>VLOOKUP($G38,'Visu totale'!$D$3:$DT$129,S$1,0)</f>
        <v>18</v>
      </c>
      <c r="T38" s="13">
        <f>VLOOKUP($G38,'Visu totale'!$D$3:$DT$129,T$1,0)</f>
        <v>18</v>
      </c>
      <c r="U38" s="13" t="str">
        <f>VLOOKUP($G38,'Visu totale'!$D$3:$DT$129,U$1,0)</f>
        <v>NANCY_D</v>
      </c>
      <c r="V38" s="13" t="str">
        <f>VLOOKUP($G38,'Visu totale'!$D$3:$DT$129,V$1,0)</f>
        <v>NANCY_D</v>
      </c>
      <c r="W38" s="13" t="str">
        <f>VLOOKUP($G38,'Visu totale'!$D$3:$DT$129,W$1,0)</f>
        <v>NANCY_D</v>
      </c>
      <c r="X38" s="13" t="str">
        <f>VLOOKUP($G38,'Visu totale'!$D$3:$DT$129,X$1,0)</f>
        <v>NANCY_D</v>
      </c>
      <c r="Y38" s="13">
        <f>VLOOKUP($G38,'Visu totale'!$D$3:$DT$129,Y$1,0)</f>
        <v>18</v>
      </c>
      <c r="Z38" s="13">
        <f>VLOOKUP($G38,'Visu totale'!$D$3:$DT$129,Z$1,0)</f>
        <v>18</v>
      </c>
      <c r="AA38" s="13">
        <f>VLOOKUP($G38,'Visu totale'!$D$3:$DT$129,AA$1,0)</f>
        <v>18</v>
      </c>
      <c r="AB38" s="13">
        <f>VLOOKUP($G38,'Visu totale'!$D$3:$DT$129,AB$1,0)</f>
        <v>18</v>
      </c>
      <c r="AC38" s="13">
        <f>VLOOKUP($G38,'Visu totale'!$D$3:$DT$129,AC$1,0)</f>
        <v>18</v>
      </c>
      <c r="AD38" s="15">
        <f>VLOOKUP($G38,'Visu totale'!$D$3:$DT$129,AD$1,0)</f>
        <v>18</v>
      </c>
      <c r="AE38" s="14">
        <f>VLOOKUP($G38,'Visu totale'!$D$3:$DT$129,AE$1,0)</f>
        <v>18</v>
      </c>
      <c r="AF38" s="13">
        <f>VLOOKUP($G38,'Visu totale'!$D$3:$DT$129,AF$1,0)</f>
        <v>18</v>
      </c>
      <c r="AG38" s="13">
        <f>VLOOKUP($G38,'Visu totale'!$D$3:$DT$129,AG$1,0)</f>
        <v>18</v>
      </c>
      <c r="AH38" s="13">
        <f>VLOOKUP($G38,'Visu totale'!$D$3:$DT$129,AH$1,0)</f>
        <v>0</v>
      </c>
      <c r="AI38" s="13">
        <f>VLOOKUP($G38,'Visu totale'!$D$3:$DT$129,AI$1,0)</f>
        <v>0</v>
      </c>
      <c r="AJ38" s="13">
        <f>VLOOKUP($G38,'Visu totale'!$D$3:$DT$129,AJ$1,0)</f>
        <v>0</v>
      </c>
      <c r="AK38" s="13">
        <f>VLOOKUP($G38,'Visu totale'!$D$3:$DT$129,AK$1,0)</f>
        <v>0</v>
      </c>
      <c r="AL38" s="13">
        <f>VLOOKUP($G38,'Visu totale'!$D$3:$DT$129,AL$1,0)</f>
        <v>0</v>
      </c>
      <c r="AM38" s="13">
        <f>VLOOKUP($G38,'Visu totale'!$D$3:$DT$129,AM$1,0)</f>
        <v>0</v>
      </c>
      <c r="AN38" s="13">
        <f>VLOOKUP($G38,'Visu totale'!$D$3:$DT$129,AN$1,0)</f>
        <v>0</v>
      </c>
      <c r="AO38" s="13">
        <f>VLOOKUP($G38,'Visu totale'!$D$3:$DT$129,AO$1,0)</f>
        <v>0</v>
      </c>
      <c r="AP38" s="15">
        <f>VLOOKUP($G38,'Visu totale'!$D$3:$DT$129,AP$1,0)</f>
        <v>0</v>
      </c>
      <c r="AQ38" s="14">
        <f>VLOOKUP($G38,'Visu totale'!$D$3:$DT$129,AQ$1,0)</f>
        <v>0</v>
      </c>
      <c r="AR38" s="13">
        <f>VLOOKUP($G38,'Visu totale'!$D$3:$DT$129,AR$1,0)</f>
        <v>0</v>
      </c>
      <c r="AS38" s="13">
        <f>VLOOKUP($G38,'Visu totale'!$D$3:$DT$129,AS$1,0)</f>
        <v>0</v>
      </c>
      <c r="AT38" s="13">
        <f>VLOOKUP($G38,'Visu totale'!$D$3:$DT$129,AT$1,0)</f>
        <v>0</v>
      </c>
      <c r="AU38" s="13">
        <f>VLOOKUP($G38,'Visu totale'!$D$3:$DT$129,AU$1,0)</f>
        <v>0</v>
      </c>
      <c r="AV38" s="13">
        <f>VLOOKUP($G38,'Visu totale'!$D$3:$DT$129,AV$1,0)</f>
        <v>0</v>
      </c>
      <c r="AW38" s="13">
        <f>VLOOKUP($G38,'Visu totale'!$D$3:$DT$129,AW$1,0)</f>
        <v>0</v>
      </c>
      <c r="AX38" s="13" t="str">
        <f>VLOOKUP($G38,'Visu totale'!$D$3:$DT$129,AX$1,0)</f>
        <v>V10</v>
      </c>
      <c r="AY38" s="13" t="str">
        <f>VLOOKUP($G38,'Visu totale'!$D$3:$DT$129,AY$1,0)</f>
        <v>V10</v>
      </c>
      <c r="AZ38" s="13" t="str">
        <f>VLOOKUP($G38,'Visu totale'!$D$3:$DT$129,AZ$1,0)</f>
        <v>V10</v>
      </c>
      <c r="BA38" s="13" t="str">
        <f>VLOOKUP($G38,'Visu totale'!$D$3:$DT$129,BA$1,0)</f>
        <v>V10</v>
      </c>
      <c r="BB38" s="15" t="str">
        <f>VLOOKUP($G38,'Visu totale'!$D$3:$DT$129,BB$1,0)</f>
        <v>V10</v>
      </c>
      <c r="BC38" s="14" t="str">
        <f>VLOOKUP($G38,'Visu totale'!$D$3:$DT$129,BC$1,0)</f>
        <v>V10</v>
      </c>
      <c r="BD38" s="13">
        <f>VLOOKUP($G38,'Visu totale'!$D$3:$DT$129,BD$1,0)</f>
        <v>18</v>
      </c>
      <c r="BE38" s="13">
        <f>VLOOKUP($G38,'Visu totale'!$D$3:$DT$129,BE$1,0)</f>
        <v>18</v>
      </c>
      <c r="BF38" s="13" t="str">
        <f>VLOOKUP($G38,'Visu totale'!$D$3:$DT$129,BF$1,0)</f>
        <v>CHAMMAL_D</v>
      </c>
      <c r="BG38" s="13" t="str">
        <f>VLOOKUP($G38,'Visu totale'!$D$3:$DT$129,BG$1,0)</f>
        <v>CHAMMAL_D</v>
      </c>
      <c r="BH38" s="13" t="str">
        <f>VLOOKUP($G38,'Visu totale'!$D$3:$DT$129,BH$1,0)</f>
        <v>CHAMMAL_D</v>
      </c>
      <c r="BI38" s="13" t="str">
        <f>VLOOKUP($G38,'Visu totale'!$D$3:$DT$129,BI$1,0)</f>
        <v>CHAMMAL_D</v>
      </c>
      <c r="BJ38" s="13">
        <f>VLOOKUP($G38,'Visu totale'!$D$3:$DT$129,BJ$1,0)</f>
        <v>18</v>
      </c>
      <c r="BK38" s="13">
        <f>VLOOKUP($G38,'Visu totale'!$D$3:$DT$129,BK$1,0)</f>
        <v>18</v>
      </c>
      <c r="BL38" s="13" t="str">
        <f>VLOOKUP($G38,'Visu totale'!$D$3:$DT$129,BL$1,0)</f>
        <v>CHAMMAL_D</v>
      </c>
      <c r="BM38" s="13" t="str">
        <f>VLOOKUP($G38,'Visu totale'!$D$3:$DT$129,BM$1,0)</f>
        <v>CHAMMAL_D</v>
      </c>
      <c r="BN38" s="15" t="str">
        <f>VLOOKUP($G38,'Visu totale'!$D$3:$DT$129,BN$1,0)</f>
        <v>CHAMMAL_D</v>
      </c>
      <c r="BO38" s="14" t="str">
        <f>VLOOKUP($G38,'Visu totale'!$D$3:$DT$129,BO$1,0)</f>
        <v>V20</v>
      </c>
      <c r="BP38" s="13" t="str">
        <f>VLOOKUP($G38,'Visu totale'!$D$3:$DT$129,BP$1,0)</f>
        <v>V20</v>
      </c>
      <c r="BQ38" s="13" t="str">
        <f>VLOOKUP($G38,'Visu totale'!$D$3:$DT$129,BQ$1,0)</f>
        <v>V20</v>
      </c>
      <c r="BR38" s="13" t="str">
        <f>VLOOKUP($G38,'Visu totale'!$D$3:$DT$129,BR$1,0)</f>
        <v>V20</v>
      </c>
      <c r="BS38" s="13" t="str">
        <f>VLOOKUP($G38,'Visu totale'!$D$3:$DT$129,BS$1,0)</f>
        <v>V20</v>
      </c>
      <c r="BT38" s="13" t="str">
        <f>VLOOKUP($G38,'Visu totale'!$D$3:$DT$129,BT$1,0)</f>
        <v>V20</v>
      </c>
      <c r="BU38" s="13">
        <f>VLOOKUP($G38,'Visu totale'!$D$3:$DT$129,BU$1,0)</f>
        <v>18</v>
      </c>
      <c r="BV38" s="13">
        <f>VLOOKUP($G38,'Visu totale'!$D$3:$DT$129,BV$1,0)</f>
        <v>18</v>
      </c>
      <c r="BW38" s="13" t="str">
        <f>VLOOKUP($G38,'Visu totale'!$D$3:$DT$129,BW$1,0)</f>
        <v>NANCY_D</v>
      </c>
      <c r="BX38" s="13" t="str">
        <f>VLOOKUP($G38,'Visu totale'!$D$3:$DT$129,BX$1,0)</f>
        <v>NANCY_D</v>
      </c>
      <c r="BY38" s="13" t="str">
        <f>VLOOKUP($G38,'Visu totale'!$D$3:$DT$129,BY$1,0)</f>
        <v>NANCY_D</v>
      </c>
      <c r="BZ38" s="15" t="str">
        <f>VLOOKUP($G38,'Visu totale'!$D$3:$DT$129,BZ$1,0)</f>
        <v>NANCY_D</v>
      </c>
      <c r="CA38" s="14">
        <f>VLOOKUP($G38,'Visu totale'!$D$3:$DT$129,CA$1,0)</f>
        <v>18</v>
      </c>
      <c r="CB38" s="13">
        <f>VLOOKUP($G38,'Visu totale'!$D$3:$DT$129,CB$1,0)</f>
        <v>18</v>
      </c>
      <c r="CC38" s="13" t="str">
        <f>VLOOKUP($G38,'Visu totale'!$D$3:$DT$129,CC$1,0)</f>
        <v>NANCY_D</v>
      </c>
      <c r="CD38" s="13" t="str">
        <f>VLOOKUP($G38,'Visu totale'!$D$3:$DT$129,CD$1,0)</f>
        <v>NANCY_D</v>
      </c>
      <c r="CE38" s="13" t="str">
        <f>VLOOKUP($G38,'Visu totale'!$D$3:$DT$129,CE$1,0)</f>
        <v>NANCY_D</v>
      </c>
      <c r="CF38" s="13" t="str">
        <f>VLOOKUP($G38,'Visu totale'!$D$3:$DT$129,CF$1,0)</f>
        <v>NANCY_D</v>
      </c>
      <c r="CG38" s="13">
        <f>VLOOKUP($G38,'Visu totale'!$D$3:$DT$129,CG$1,0)</f>
        <v>18</v>
      </c>
      <c r="CH38" s="13">
        <f>VLOOKUP($G38,'Visu totale'!$D$3:$DT$129,CH$1,0)</f>
        <v>18</v>
      </c>
      <c r="CI38" s="13" t="str">
        <f>VLOOKUP($G38,'Visu totale'!$D$3:$DT$129,CI$1,0)</f>
        <v>NANCY_D</v>
      </c>
      <c r="CJ38" s="13" t="str">
        <f>VLOOKUP($G38,'Visu totale'!$D$3:$DT$129,CJ$1,0)</f>
        <v>NANCY_D</v>
      </c>
      <c r="CK38" s="13" t="str">
        <f>VLOOKUP($G38,'Visu totale'!$D$3:$DT$129,CK$1,0)</f>
        <v>NANCY_D</v>
      </c>
      <c r="CL38" s="15" t="str">
        <f>VLOOKUP($G38,'Visu totale'!$D$3:$DT$129,CL$1,0)</f>
        <v>NANCY_D</v>
      </c>
      <c r="CM38" s="14">
        <f>VLOOKUP($G38,'Visu totale'!$D$3:$DT$129,CM$1,0)</f>
        <v>18</v>
      </c>
      <c r="CN38" s="13">
        <f>VLOOKUP($G38,'Visu totale'!$D$3:$DT$129,CN$1,0)</f>
        <v>18</v>
      </c>
      <c r="CO38" s="13" t="str">
        <f>VLOOKUP($G38,'Visu totale'!$D$3:$DT$129,CO$1,0)</f>
        <v>NANCY_D</v>
      </c>
      <c r="CP38" s="13" t="str">
        <f>VLOOKUP($G38,'Visu totale'!$D$3:$DT$129,CP$1,0)</f>
        <v>NANCY_D</v>
      </c>
      <c r="CQ38" s="13" t="str">
        <f>VLOOKUP($G38,'Visu totale'!$D$3:$DT$129,CQ$1,0)</f>
        <v>NANCY_D</v>
      </c>
      <c r="CR38" s="13" t="str">
        <f>VLOOKUP($G38,'Visu totale'!$D$3:$DT$129,CR$1,0)</f>
        <v>NANCY_D</v>
      </c>
      <c r="CS38" s="13">
        <f>VLOOKUP($G38,'Visu totale'!$D$3:$DT$129,CS$1,0)</f>
        <v>18</v>
      </c>
      <c r="CT38" s="13">
        <f>VLOOKUP($G38,'Visu totale'!$D$3:$DT$129,CT$1,0)</f>
        <v>18</v>
      </c>
      <c r="CU38" s="13">
        <f>VLOOKUP($G38,'Visu totale'!$D$3:$DT$129,CU$1,0)</f>
        <v>18</v>
      </c>
      <c r="CV38" s="13">
        <f>VLOOKUP($G38,'Visu totale'!$D$3:$DT$129,CV$1,0)</f>
        <v>18</v>
      </c>
      <c r="CW38" s="13">
        <f>VLOOKUP($G38,'Visu totale'!$D$3:$DT$129,CW$1,0)</f>
        <v>18</v>
      </c>
      <c r="CX38" s="15">
        <f>VLOOKUP($G38,'Visu totale'!$D$3:$DT$129,CX$1,0)</f>
        <v>18</v>
      </c>
      <c r="CY38" s="14">
        <f>VLOOKUP($G38,'Visu totale'!$D$3:$DT$129,CY$1,0)</f>
        <v>0</v>
      </c>
      <c r="CZ38" s="13">
        <f>VLOOKUP($G38,'Visu totale'!$D$3:$DT$129,CZ$1,0)</f>
        <v>0</v>
      </c>
      <c r="DA38" s="13">
        <f>VLOOKUP($G38,'Visu totale'!$D$3:$DT$129,DA$1,0)</f>
        <v>0</v>
      </c>
      <c r="DB38" s="13">
        <f>VLOOKUP($G38,'Visu totale'!$D$3:$DT$129,DB$1,0)</f>
        <v>0</v>
      </c>
      <c r="DC38" s="13">
        <f>VLOOKUP($G38,'Visu totale'!$D$3:$DT$129,DC$1,0)</f>
        <v>0</v>
      </c>
      <c r="DD38" s="13">
        <f>VLOOKUP($G38,'Visu totale'!$D$3:$DT$129,DD$1,0)</f>
        <v>0</v>
      </c>
      <c r="DE38" s="13">
        <f>VLOOKUP($G38,'Visu totale'!$D$3:$DT$129,DE$1,0)</f>
        <v>0</v>
      </c>
      <c r="DF38" s="13">
        <f>VLOOKUP($G38,'Visu totale'!$D$3:$DT$129,DF$1,0)</f>
        <v>0</v>
      </c>
      <c r="DG38" s="13">
        <f>VLOOKUP($G38,'Visu totale'!$D$3:$DT$129,DG$1,0)</f>
        <v>0</v>
      </c>
      <c r="DH38" s="13">
        <f>VLOOKUP($G38,'Visu totale'!$D$3:$DT$129,DH$1,0)</f>
        <v>0</v>
      </c>
      <c r="DI38" s="13">
        <f>VLOOKUP($G38,'Visu totale'!$D$3:$DT$129,DI$1,0)</f>
        <v>0</v>
      </c>
      <c r="DJ38" s="15">
        <f>VLOOKUP($G38,'Visu totale'!$D$3:$DT$129,DJ$1,0)</f>
        <v>0</v>
      </c>
      <c r="DK38" s="14">
        <f>VLOOKUP($G38,'Visu totale'!$D$3:$DT$129,DK$1,0)</f>
        <v>0</v>
      </c>
      <c r="DL38" s="13">
        <f>VLOOKUP($G38,'Visu totale'!$D$3:$DT$129,DL$1,0)</f>
        <v>0</v>
      </c>
      <c r="DM38" s="13">
        <f>VLOOKUP($G38,'Visu totale'!$D$3:$DT$129,DM$1,0)</f>
        <v>0</v>
      </c>
      <c r="DN38" s="13">
        <f>VLOOKUP($G38,'Visu totale'!$D$3:$DT$129,DN$1,0)</f>
        <v>0</v>
      </c>
      <c r="DO38" s="13">
        <f>VLOOKUP($G38,'Visu totale'!$D$3:$DT$129,DO$1,0)</f>
        <v>0</v>
      </c>
      <c r="DP38" s="13">
        <f>VLOOKUP($G38,'Visu totale'!$D$3:$DT$129,DP$1,0)</f>
        <v>0</v>
      </c>
      <c r="DQ38" s="13">
        <f>VLOOKUP($G38,'Visu totale'!$D$3:$DT$129,DQ$1,0)</f>
        <v>0</v>
      </c>
      <c r="DR38" s="13">
        <f>VLOOKUP($G38,'Visu totale'!$D$3:$DT$129,DR$1,0)</f>
        <v>0</v>
      </c>
      <c r="DS38" s="13">
        <f>VLOOKUP($G38,'Visu totale'!$D$3:$DT$129,DS$1,0)</f>
        <v>0</v>
      </c>
      <c r="DT38" s="13">
        <f>VLOOKUP($G38,'Visu totale'!$D$3:$DT$129,DT$1,0)</f>
        <v>0</v>
      </c>
      <c r="DU38" s="13">
        <f>VLOOKUP($G38,'Visu totale'!$D$3:$DT$129,DU$1,0)</f>
        <v>0</v>
      </c>
      <c r="DV38" s="15">
        <f>VLOOKUP($G38,'Visu totale'!$D$3:$DT$129,DV$1,0)</f>
        <v>0</v>
      </c>
    </row>
    <row r="39" spans="1:126" x14ac:dyDescent="0.25">
      <c r="A39" s="13"/>
      <c r="B39" s="13"/>
      <c r="C39" s="13"/>
      <c r="D39" s="16"/>
      <c r="E39" s="14"/>
      <c r="F39" s="13"/>
      <c r="G39" s="17" t="s">
        <v>41</v>
      </c>
      <c r="H39" s="13" t="str">
        <f>VLOOKUP($G39,'Visu totale'!$D$3:$DT$129,H$1,0)</f>
        <v>MARSAN_D</v>
      </c>
      <c r="I39" s="13" t="str">
        <f>VLOOKUP($G39,'Visu totale'!$D$3:$DT$129,I$1,0)</f>
        <v>MARSAN_D</v>
      </c>
      <c r="J39" s="13" t="str">
        <f>VLOOKUP($G39,'Visu totale'!$D$3:$DT$129,J$1,0)</f>
        <v>MARSAN_D</v>
      </c>
      <c r="K39" s="13">
        <f>VLOOKUP($G39,'Visu totale'!$D$3:$DT$129,K$1,0)</f>
        <v>18</v>
      </c>
      <c r="L39" s="13">
        <f>VLOOKUP($G39,'Visu totale'!$D$3:$DT$129,L$1,0)</f>
        <v>18</v>
      </c>
      <c r="M39" s="13" t="str">
        <f>VLOOKUP($G39,'Visu totale'!$D$3:$DT$129,M$1,0)</f>
        <v>CHAMMAL_D</v>
      </c>
      <c r="N39" s="13" t="str">
        <f>VLOOKUP($G39,'Visu totale'!$D$3:$DT$129,N$1,0)</f>
        <v>CHAMMAL_D</v>
      </c>
      <c r="O39" s="13" t="str">
        <f>VLOOKUP($G39,'Visu totale'!$D$3:$DT$129,O$1,0)</f>
        <v>CHAMMAL_D</v>
      </c>
      <c r="P39" s="13" t="str">
        <f>VLOOKUP($G39,'Visu totale'!$D$3:$DT$129,P$1,0)</f>
        <v>CHAMMAL_D</v>
      </c>
      <c r="Q39" s="13">
        <f>VLOOKUP($G39,'Visu totale'!$D$3:$DT$129,Q$1,0)</f>
        <v>18</v>
      </c>
      <c r="R39" s="15">
        <f>VLOOKUP($G39,'Visu totale'!$D$3:$DT$129,R$1,0)</f>
        <v>18</v>
      </c>
      <c r="S39" s="14" t="str">
        <f>VLOOKUP($G39,'Visu totale'!$D$3:$DT$129,S$1,0)</f>
        <v>CHAMMAL_D</v>
      </c>
      <c r="T39" s="13" t="str">
        <f>VLOOKUP($G39,'Visu totale'!$D$3:$DT$129,T$1,0)</f>
        <v>CHAMMAL_D</v>
      </c>
      <c r="U39" s="13" t="str">
        <f>VLOOKUP($G39,'Visu totale'!$D$3:$DT$129,U$1,0)</f>
        <v>CHAMMAL_D</v>
      </c>
      <c r="V39" s="13" t="str">
        <f>VLOOKUP($G39,'Visu totale'!$D$3:$DT$129,V$1,0)</f>
        <v>CHAMMAL_D</v>
      </c>
      <c r="W39" s="13">
        <f>VLOOKUP($G39,'Visu totale'!$D$3:$DT$129,W$1,0)</f>
        <v>18</v>
      </c>
      <c r="X39" s="13">
        <f>VLOOKUP($G39,'Visu totale'!$D$3:$DT$129,X$1,0)</f>
        <v>18</v>
      </c>
      <c r="Y39" s="13" t="str">
        <f>VLOOKUP($G39,'Visu totale'!$D$3:$DT$129,Y$1,0)</f>
        <v>MARSAN_D</v>
      </c>
      <c r="Z39" s="13" t="str">
        <f>VLOOKUP($G39,'Visu totale'!$D$3:$DT$129,Z$1,0)</f>
        <v>MARSAN_D</v>
      </c>
      <c r="AA39" s="13" t="str">
        <f>VLOOKUP($G39,'Visu totale'!$D$3:$DT$129,AA$1,0)</f>
        <v>MARSAN_D</v>
      </c>
      <c r="AB39" s="13" t="str">
        <f>VLOOKUP($G39,'Visu totale'!$D$3:$DT$129,AB$1,0)</f>
        <v>MARSAN_D</v>
      </c>
      <c r="AC39" s="13">
        <f>VLOOKUP($G39,'Visu totale'!$D$3:$DT$129,AC$1,0)</f>
        <v>18</v>
      </c>
      <c r="AD39" s="15">
        <f>VLOOKUP($G39,'Visu totale'!$D$3:$DT$129,AD$1,0)</f>
        <v>18</v>
      </c>
      <c r="AE39" s="14">
        <f>VLOOKUP($G39,'Visu totale'!$D$3:$DT$129,AE$1,0)</f>
        <v>18</v>
      </c>
      <c r="AF39" s="13">
        <f>VLOOKUP($G39,'Visu totale'!$D$3:$DT$129,AF$1,0)</f>
        <v>18</v>
      </c>
      <c r="AG39" s="13">
        <f>VLOOKUP($G39,'Visu totale'!$D$3:$DT$129,AG$1,0)</f>
        <v>18</v>
      </c>
      <c r="AH39" s="13">
        <f>VLOOKUP($G39,'Visu totale'!$D$3:$DT$129,AH$1,0)</f>
        <v>18</v>
      </c>
      <c r="AI39" s="13">
        <f>VLOOKUP($G39,'Visu totale'!$D$3:$DT$129,AI$1,0)</f>
        <v>0</v>
      </c>
      <c r="AJ39" s="13">
        <f>VLOOKUP($G39,'Visu totale'!$D$3:$DT$129,AJ$1,0)</f>
        <v>0</v>
      </c>
      <c r="AK39" s="13">
        <f>VLOOKUP($G39,'Visu totale'!$D$3:$DT$129,AK$1,0)</f>
        <v>0</v>
      </c>
      <c r="AL39" s="13">
        <f>VLOOKUP($G39,'Visu totale'!$D$3:$DT$129,AL$1,0)</f>
        <v>0</v>
      </c>
      <c r="AM39" s="13">
        <f>VLOOKUP($G39,'Visu totale'!$D$3:$DT$129,AM$1,0)</f>
        <v>0</v>
      </c>
      <c r="AN39" s="13">
        <f>VLOOKUP($G39,'Visu totale'!$D$3:$DT$129,AN$1,0)</f>
        <v>0</v>
      </c>
      <c r="AO39" s="13">
        <f>VLOOKUP($G39,'Visu totale'!$D$3:$DT$129,AO$1,0)</f>
        <v>0</v>
      </c>
      <c r="AP39" s="15">
        <f>VLOOKUP($G39,'Visu totale'!$D$3:$DT$129,AP$1,0)</f>
        <v>0</v>
      </c>
      <c r="AQ39" s="14">
        <f>VLOOKUP($G39,'Visu totale'!$D$3:$DT$129,AQ$1,0)</f>
        <v>0</v>
      </c>
      <c r="AR39" s="13">
        <f>VLOOKUP($G39,'Visu totale'!$D$3:$DT$129,AR$1,0)</f>
        <v>0</v>
      </c>
      <c r="AS39" s="13">
        <f>VLOOKUP($G39,'Visu totale'!$D$3:$DT$129,AS$1,0)</f>
        <v>0</v>
      </c>
      <c r="AT39" s="13">
        <f>VLOOKUP($G39,'Visu totale'!$D$3:$DT$129,AT$1,0)</f>
        <v>0</v>
      </c>
      <c r="AU39" s="13">
        <f>VLOOKUP($G39,'Visu totale'!$D$3:$DT$129,AU$1,0)</f>
        <v>0</v>
      </c>
      <c r="AV39" s="13">
        <f>VLOOKUP($G39,'Visu totale'!$D$3:$DT$129,AV$1,0)</f>
        <v>0</v>
      </c>
      <c r="AW39" s="13">
        <f>VLOOKUP($G39,'Visu totale'!$D$3:$DT$129,AW$1,0)</f>
        <v>0</v>
      </c>
      <c r="AX39" s="13">
        <f>VLOOKUP($G39,'Visu totale'!$D$3:$DT$129,AX$1,0)</f>
        <v>0</v>
      </c>
      <c r="AY39" s="13">
        <f>VLOOKUP($G39,'Visu totale'!$D$3:$DT$129,AY$1,0)</f>
        <v>0</v>
      </c>
      <c r="AZ39" s="13" t="str">
        <f>VLOOKUP($G39,'Visu totale'!$D$3:$DT$129,AZ$1,0)</f>
        <v>V10</v>
      </c>
      <c r="BA39" s="13" t="str">
        <f>VLOOKUP($G39,'Visu totale'!$D$3:$DT$129,BA$1,0)</f>
        <v>V10</v>
      </c>
      <c r="BB39" s="15" t="str">
        <f>VLOOKUP($G39,'Visu totale'!$D$3:$DT$129,BB$1,0)</f>
        <v>V10</v>
      </c>
      <c r="BC39" s="14" t="str">
        <f>VLOOKUP($G39,'Visu totale'!$D$3:$DT$129,BC$1,0)</f>
        <v>V10</v>
      </c>
      <c r="BD39" s="13" t="str">
        <f>VLOOKUP($G39,'Visu totale'!$D$3:$DT$129,BD$1,0)</f>
        <v>V10</v>
      </c>
      <c r="BE39" s="13" t="str">
        <f>VLOOKUP($G39,'Visu totale'!$D$3:$DT$129,BE$1,0)</f>
        <v>V10</v>
      </c>
      <c r="BF39" s="13">
        <f>VLOOKUP($G39,'Visu totale'!$D$3:$DT$129,BF$1,0)</f>
        <v>18</v>
      </c>
      <c r="BG39" s="13">
        <f>VLOOKUP($G39,'Visu totale'!$D$3:$DT$129,BG$1,0)</f>
        <v>18</v>
      </c>
      <c r="BH39" s="13" t="str">
        <f>VLOOKUP($G39,'Visu totale'!$D$3:$DT$129,BH$1,0)</f>
        <v>CHAMMAL_D</v>
      </c>
      <c r="BI39" s="13" t="str">
        <f>VLOOKUP($G39,'Visu totale'!$D$3:$DT$129,BI$1,0)</f>
        <v>CHAMMAL_D</v>
      </c>
      <c r="BJ39" s="13" t="str">
        <f>VLOOKUP($G39,'Visu totale'!$D$3:$DT$129,BJ$1,0)</f>
        <v>CHAMMAL_D</v>
      </c>
      <c r="BK39" s="13" t="str">
        <f>VLOOKUP($G39,'Visu totale'!$D$3:$DT$129,BK$1,0)</f>
        <v>CHAMMAL_D</v>
      </c>
      <c r="BL39" s="13">
        <f>VLOOKUP($G39,'Visu totale'!$D$3:$DT$129,BL$1,0)</f>
        <v>18</v>
      </c>
      <c r="BM39" s="13">
        <f>VLOOKUP($G39,'Visu totale'!$D$3:$DT$129,BM$1,0)</f>
        <v>18</v>
      </c>
      <c r="BN39" s="15" t="str">
        <f>VLOOKUP($G39,'Visu totale'!$D$3:$DT$129,BN$1,0)</f>
        <v>CHAMMAL_D</v>
      </c>
      <c r="BO39" s="14">
        <f>VLOOKUP($G39,'Visu totale'!$D$3:$DT$129,BO$1,0)</f>
        <v>0</v>
      </c>
      <c r="BP39" s="13">
        <f>VLOOKUP($G39,'Visu totale'!$D$3:$DT$129,BP$1,0)</f>
        <v>0</v>
      </c>
      <c r="BQ39" s="13">
        <f>VLOOKUP($G39,'Visu totale'!$D$3:$DT$129,BQ$1,0)</f>
        <v>0</v>
      </c>
      <c r="BR39" s="13">
        <f>VLOOKUP($G39,'Visu totale'!$D$3:$DT$129,BR$1,0)</f>
        <v>0</v>
      </c>
      <c r="BS39" s="13">
        <f>VLOOKUP($G39,'Visu totale'!$D$3:$DT$129,BS$1,0)</f>
        <v>0</v>
      </c>
      <c r="BT39" s="13">
        <f>VLOOKUP($G39,'Visu totale'!$D$3:$DT$129,BT$1,0)</f>
        <v>0</v>
      </c>
      <c r="BU39" s="13">
        <f>VLOOKUP($G39,'Visu totale'!$D$3:$DT$129,BU$1,0)</f>
        <v>0</v>
      </c>
      <c r="BV39" s="13">
        <f>VLOOKUP($G39,'Visu totale'!$D$3:$DT$129,BV$1,0)</f>
        <v>0</v>
      </c>
      <c r="BW39" s="13">
        <f>VLOOKUP($G39,'Visu totale'!$D$3:$DT$129,BW$1,0)</f>
        <v>0</v>
      </c>
      <c r="BX39" s="13">
        <f>VLOOKUP($G39,'Visu totale'!$D$3:$DT$129,BX$1,0)</f>
        <v>0</v>
      </c>
      <c r="BY39" s="13">
        <f>VLOOKUP($G39,'Visu totale'!$D$3:$DT$129,BY$1,0)</f>
        <v>0</v>
      </c>
      <c r="BZ39" s="15">
        <f>VLOOKUP($G39,'Visu totale'!$D$3:$DT$129,BZ$1,0)</f>
        <v>0</v>
      </c>
      <c r="CA39" s="14">
        <f>VLOOKUP($G39,'Visu totale'!$D$3:$DT$129,CA$1,0)</f>
        <v>0</v>
      </c>
      <c r="CB39" s="13">
        <f>VLOOKUP($G39,'Visu totale'!$D$3:$DT$129,CB$1,0)</f>
        <v>0</v>
      </c>
      <c r="CC39" s="13">
        <f>VLOOKUP($G39,'Visu totale'!$D$3:$DT$129,CC$1,0)</f>
        <v>0</v>
      </c>
      <c r="CD39" s="13">
        <f>VLOOKUP($G39,'Visu totale'!$D$3:$DT$129,CD$1,0)</f>
        <v>0</v>
      </c>
      <c r="CE39" s="13" t="str">
        <f>VLOOKUP($G39,'Visu totale'!$D$3:$DT$129,CE$1,0)</f>
        <v>V20</v>
      </c>
      <c r="CF39" s="13" t="str">
        <f>VLOOKUP($G39,'Visu totale'!$D$3:$DT$129,CF$1,0)</f>
        <v>V20</v>
      </c>
      <c r="CG39" s="13" t="str">
        <f>VLOOKUP($G39,'Visu totale'!$D$3:$DT$129,CG$1,0)</f>
        <v>V20</v>
      </c>
      <c r="CH39" s="13" t="str">
        <f>VLOOKUP($G39,'Visu totale'!$D$3:$DT$129,CH$1,0)</f>
        <v>V20</v>
      </c>
      <c r="CI39" s="13" t="str">
        <f>VLOOKUP($G39,'Visu totale'!$D$3:$DT$129,CI$1,0)</f>
        <v>V20</v>
      </c>
      <c r="CJ39" s="13" t="str">
        <f>VLOOKUP($G39,'Visu totale'!$D$3:$DT$129,CJ$1,0)</f>
        <v>V20</v>
      </c>
      <c r="CK39" s="13">
        <f>VLOOKUP($G39,'Visu totale'!$D$3:$DT$129,CK$1,0)</f>
        <v>18</v>
      </c>
      <c r="CL39" s="15">
        <f>VLOOKUP($G39,'Visu totale'!$D$3:$DT$129,CL$1,0)</f>
        <v>18</v>
      </c>
      <c r="CM39" s="14" t="str">
        <f>VLOOKUP($G39,'Visu totale'!$D$3:$DT$129,CM$1,0)</f>
        <v>MARSAN_D</v>
      </c>
      <c r="CN39" s="13" t="str">
        <f>VLOOKUP($G39,'Visu totale'!$D$3:$DT$129,CN$1,0)</f>
        <v>MARSAN_D</v>
      </c>
      <c r="CO39" s="13" t="str">
        <f>VLOOKUP($G39,'Visu totale'!$D$3:$DT$129,CO$1,0)</f>
        <v>MARSAN_D</v>
      </c>
      <c r="CP39" s="13" t="str">
        <f>VLOOKUP($G39,'Visu totale'!$D$3:$DT$129,CP$1,0)</f>
        <v>MARSAN_D</v>
      </c>
      <c r="CQ39" s="13">
        <f>VLOOKUP($G39,'Visu totale'!$D$3:$DT$129,CQ$1,0)</f>
        <v>18</v>
      </c>
      <c r="CR39" s="13">
        <f>VLOOKUP($G39,'Visu totale'!$D$3:$DT$129,CR$1,0)</f>
        <v>18</v>
      </c>
      <c r="CS39" s="13" t="str">
        <f>VLOOKUP($G39,'Visu totale'!$D$3:$DT$129,CS$1,0)</f>
        <v>MARSAN_D</v>
      </c>
      <c r="CT39" s="13" t="str">
        <f>VLOOKUP($G39,'Visu totale'!$D$3:$DT$129,CT$1,0)</f>
        <v>MARSAN_D</v>
      </c>
      <c r="CU39" s="13">
        <f>VLOOKUP($G39,'Visu totale'!$D$3:$DT$129,CU$1,0)</f>
        <v>18</v>
      </c>
      <c r="CV39" s="13">
        <f>VLOOKUP($G39,'Visu totale'!$D$3:$DT$129,CV$1,0)</f>
        <v>18</v>
      </c>
      <c r="CW39" s="13">
        <f>VLOOKUP($G39,'Visu totale'!$D$3:$DT$129,CW$1,0)</f>
        <v>18</v>
      </c>
      <c r="CX39" s="15">
        <f>VLOOKUP($G39,'Visu totale'!$D$3:$DT$129,CX$1,0)</f>
        <v>18</v>
      </c>
      <c r="CY39" s="14">
        <f>VLOOKUP($G39,'Visu totale'!$D$3:$DT$129,CY$1,0)</f>
        <v>0</v>
      </c>
      <c r="CZ39" s="13">
        <f>VLOOKUP($G39,'Visu totale'!$D$3:$DT$129,CZ$1,0)</f>
        <v>0</v>
      </c>
      <c r="DA39" s="13">
        <f>VLOOKUP($G39,'Visu totale'!$D$3:$DT$129,DA$1,0)</f>
        <v>0</v>
      </c>
      <c r="DB39" s="13">
        <f>VLOOKUP($G39,'Visu totale'!$D$3:$DT$129,DB$1,0)</f>
        <v>0</v>
      </c>
      <c r="DC39" s="13">
        <f>VLOOKUP($G39,'Visu totale'!$D$3:$DT$129,DC$1,0)</f>
        <v>0</v>
      </c>
      <c r="DD39" s="13">
        <f>VLOOKUP($G39,'Visu totale'!$D$3:$DT$129,DD$1,0)</f>
        <v>0</v>
      </c>
      <c r="DE39" s="13">
        <f>VLOOKUP($G39,'Visu totale'!$D$3:$DT$129,DE$1,0)</f>
        <v>0</v>
      </c>
      <c r="DF39" s="13">
        <f>VLOOKUP($G39,'Visu totale'!$D$3:$DT$129,DF$1,0)</f>
        <v>0</v>
      </c>
      <c r="DG39" s="13">
        <f>VLOOKUP($G39,'Visu totale'!$D$3:$DT$129,DG$1,0)</f>
        <v>0</v>
      </c>
      <c r="DH39" s="13">
        <f>VLOOKUP($G39,'Visu totale'!$D$3:$DT$129,DH$1,0)</f>
        <v>0</v>
      </c>
      <c r="DI39" s="13">
        <f>VLOOKUP($G39,'Visu totale'!$D$3:$DT$129,DI$1,0)</f>
        <v>0</v>
      </c>
      <c r="DJ39" s="15">
        <f>VLOOKUP($G39,'Visu totale'!$D$3:$DT$129,DJ$1,0)</f>
        <v>0</v>
      </c>
      <c r="DK39" s="14">
        <f>VLOOKUP($G39,'Visu totale'!$D$3:$DT$129,DK$1,0)</f>
        <v>0</v>
      </c>
      <c r="DL39" s="13">
        <f>VLOOKUP($G39,'Visu totale'!$D$3:$DT$129,DL$1,0)</f>
        <v>0</v>
      </c>
      <c r="DM39" s="13">
        <f>VLOOKUP($G39,'Visu totale'!$D$3:$DT$129,DM$1,0)</f>
        <v>0</v>
      </c>
      <c r="DN39" s="13">
        <f>VLOOKUP($G39,'Visu totale'!$D$3:$DT$129,DN$1,0)</f>
        <v>0</v>
      </c>
      <c r="DO39" s="13">
        <f>VLOOKUP($G39,'Visu totale'!$D$3:$DT$129,DO$1,0)</f>
        <v>0</v>
      </c>
      <c r="DP39" s="13">
        <f>VLOOKUP($G39,'Visu totale'!$D$3:$DT$129,DP$1,0)</f>
        <v>0</v>
      </c>
      <c r="DQ39" s="13">
        <f>VLOOKUP($G39,'Visu totale'!$D$3:$DT$129,DQ$1,0)</f>
        <v>0</v>
      </c>
      <c r="DR39" s="13">
        <f>VLOOKUP($G39,'Visu totale'!$D$3:$DT$129,DR$1,0)</f>
        <v>0</v>
      </c>
      <c r="DS39" s="13">
        <f>VLOOKUP($G39,'Visu totale'!$D$3:$DT$129,DS$1,0)</f>
        <v>0</v>
      </c>
      <c r="DT39" s="13">
        <f>VLOOKUP($G39,'Visu totale'!$D$3:$DT$129,DT$1,0)</f>
        <v>0</v>
      </c>
      <c r="DU39" s="13">
        <f>VLOOKUP($G39,'Visu totale'!$D$3:$DT$129,DU$1,0)</f>
        <v>0</v>
      </c>
      <c r="DV39" s="15">
        <f>VLOOKUP($G39,'Visu totale'!$D$3:$DT$129,DV$1,0)</f>
        <v>0</v>
      </c>
    </row>
    <row r="40" spans="1:126" x14ac:dyDescent="0.25">
      <c r="A40" s="13"/>
      <c r="B40" s="13"/>
      <c r="C40" s="13"/>
      <c r="D40" s="16"/>
      <c r="E40" s="14"/>
      <c r="F40" s="13"/>
      <c r="G40" s="17" t="s">
        <v>42</v>
      </c>
      <c r="H40" s="13">
        <f>VLOOKUP($G40,'Visu totale'!$D$3:$DT$129,H$1,0)</f>
        <v>18</v>
      </c>
      <c r="I40" s="13" t="str">
        <f>VLOOKUP($G40,'Visu totale'!$D$3:$DT$129,I$1,0)</f>
        <v>CHAMMAL_D</v>
      </c>
      <c r="J40" s="13" t="str">
        <f>VLOOKUP($G40,'Visu totale'!$D$3:$DT$129,J$1,0)</f>
        <v>CHAMMAL_D</v>
      </c>
      <c r="K40" s="13" t="str">
        <f>VLOOKUP($G40,'Visu totale'!$D$3:$DT$129,K$1,0)</f>
        <v>CHAMMAL_D</v>
      </c>
      <c r="L40" s="13" t="str">
        <f>VLOOKUP($G40,'Visu totale'!$D$3:$DT$129,L$1,0)</f>
        <v>CHAMMAL_D</v>
      </c>
      <c r="M40" s="13">
        <f>VLOOKUP($G40,'Visu totale'!$D$3:$DT$129,M$1,0)</f>
        <v>18</v>
      </c>
      <c r="N40" s="13">
        <f>VLOOKUP($G40,'Visu totale'!$D$3:$DT$129,N$1,0)</f>
        <v>18</v>
      </c>
      <c r="O40" s="13" t="str">
        <f>VLOOKUP($G40,'Visu totale'!$D$3:$DT$129,O$1,0)</f>
        <v>NANCY_D</v>
      </c>
      <c r="P40" s="13" t="str">
        <f>VLOOKUP($G40,'Visu totale'!$D$3:$DT$129,P$1,0)</f>
        <v>NANCY_D</v>
      </c>
      <c r="Q40" s="13" t="str">
        <f>VLOOKUP($G40,'Visu totale'!$D$3:$DT$129,Q$1,0)</f>
        <v>NANCY_D</v>
      </c>
      <c r="R40" s="15" t="str">
        <f>VLOOKUP($G40,'Visu totale'!$D$3:$DT$129,R$1,0)</f>
        <v>NANCY_D</v>
      </c>
      <c r="S40" s="14">
        <f>VLOOKUP($G40,'Visu totale'!$D$3:$DT$129,S$1,0)</f>
        <v>18</v>
      </c>
      <c r="T40" s="13">
        <f>VLOOKUP($G40,'Visu totale'!$D$3:$DT$129,T$1,0)</f>
        <v>18</v>
      </c>
      <c r="U40" s="13" t="str">
        <f>VLOOKUP($G40,'Visu totale'!$D$3:$DT$129,U$1,0)</f>
        <v>NANCY_D</v>
      </c>
      <c r="V40" s="13" t="str">
        <f>VLOOKUP($G40,'Visu totale'!$D$3:$DT$129,V$1,0)</f>
        <v>NANCY_D</v>
      </c>
      <c r="W40" s="13" t="str">
        <f>VLOOKUP($G40,'Visu totale'!$D$3:$DT$129,W$1,0)</f>
        <v>NANCY_D</v>
      </c>
      <c r="X40" s="13" t="str">
        <f>VLOOKUP($G40,'Visu totale'!$D$3:$DT$129,X$1,0)</f>
        <v>NANCY_D</v>
      </c>
      <c r="Y40" s="13">
        <f>VLOOKUP($G40,'Visu totale'!$D$3:$DT$129,Y$1,0)</f>
        <v>18</v>
      </c>
      <c r="Z40" s="13">
        <f>VLOOKUP($G40,'Visu totale'!$D$3:$DT$129,Z$1,0)</f>
        <v>18</v>
      </c>
      <c r="AA40" s="13">
        <f>VLOOKUP($G40,'Visu totale'!$D$3:$DT$129,AA$1,0)</f>
        <v>18</v>
      </c>
      <c r="AB40" s="13">
        <f>VLOOKUP($G40,'Visu totale'!$D$3:$DT$129,AB$1,0)</f>
        <v>18</v>
      </c>
      <c r="AC40" s="13">
        <f>VLOOKUP($G40,'Visu totale'!$D$3:$DT$129,AC$1,0)</f>
        <v>18</v>
      </c>
      <c r="AD40" s="15">
        <f>VLOOKUP($G40,'Visu totale'!$D$3:$DT$129,AD$1,0)</f>
        <v>18</v>
      </c>
      <c r="AE40" s="14">
        <f>VLOOKUP($G40,'Visu totale'!$D$3:$DT$129,AE$1,0)</f>
        <v>0</v>
      </c>
      <c r="AF40" s="13">
        <f>VLOOKUP($G40,'Visu totale'!$D$3:$DT$129,AF$1,0)</f>
        <v>0</v>
      </c>
      <c r="AG40" s="13">
        <f>VLOOKUP($G40,'Visu totale'!$D$3:$DT$129,AG$1,0)</f>
        <v>0</v>
      </c>
      <c r="AH40" s="13">
        <f>VLOOKUP($G40,'Visu totale'!$D$3:$DT$129,AH$1,0)</f>
        <v>0</v>
      </c>
      <c r="AI40" s="13">
        <f>VLOOKUP($G40,'Visu totale'!$D$3:$DT$129,AI$1,0)</f>
        <v>0</v>
      </c>
      <c r="AJ40" s="13">
        <f>VLOOKUP($G40,'Visu totale'!$D$3:$DT$129,AJ$1,0)</f>
        <v>0</v>
      </c>
      <c r="AK40" s="13">
        <f>VLOOKUP($G40,'Visu totale'!$D$3:$DT$129,AK$1,0)</f>
        <v>0</v>
      </c>
      <c r="AL40" s="13">
        <f>VLOOKUP($G40,'Visu totale'!$D$3:$DT$129,AL$1,0)</f>
        <v>0</v>
      </c>
      <c r="AM40" s="13">
        <f>VLOOKUP($G40,'Visu totale'!$D$3:$DT$129,AM$1,0)</f>
        <v>0</v>
      </c>
      <c r="AN40" s="13">
        <f>VLOOKUP($G40,'Visu totale'!$D$3:$DT$129,AN$1,0)</f>
        <v>0</v>
      </c>
      <c r="AO40" s="13">
        <f>VLOOKUP($G40,'Visu totale'!$D$3:$DT$129,AO$1,0)</f>
        <v>0</v>
      </c>
      <c r="AP40" s="15">
        <f>VLOOKUP($G40,'Visu totale'!$D$3:$DT$129,AP$1,0)</f>
        <v>0</v>
      </c>
      <c r="AQ40" s="14">
        <f>VLOOKUP($G40,'Visu totale'!$D$3:$DT$129,AQ$1,0)</f>
        <v>0</v>
      </c>
      <c r="AR40" s="13">
        <f>VLOOKUP($G40,'Visu totale'!$D$3:$DT$129,AR$1,0)</f>
        <v>0</v>
      </c>
      <c r="AS40" s="13">
        <f>VLOOKUP($G40,'Visu totale'!$D$3:$DT$129,AS$1,0)</f>
        <v>0</v>
      </c>
      <c r="AT40" s="13">
        <f>VLOOKUP($G40,'Visu totale'!$D$3:$DT$129,AT$1,0)</f>
        <v>0</v>
      </c>
      <c r="AU40" s="13" t="str">
        <f>VLOOKUP($G40,'Visu totale'!$D$3:$DT$129,AU$1,0)</f>
        <v>V10</v>
      </c>
      <c r="AV40" s="13" t="str">
        <f>VLOOKUP($G40,'Visu totale'!$D$3:$DT$129,AV$1,0)</f>
        <v>V10</v>
      </c>
      <c r="AW40" s="13" t="str">
        <f>VLOOKUP($G40,'Visu totale'!$D$3:$DT$129,AW$1,0)</f>
        <v>V10</v>
      </c>
      <c r="AX40" s="13" t="str">
        <f>VLOOKUP($G40,'Visu totale'!$D$3:$DT$129,AX$1,0)</f>
        <v>V10</v>
      </c>
      <c r="AY40" s="13" t="str">
        <f>VLOOKUP($G40,'Visu totale'!$D$3:$DT$129,AY$1,0)</f>
        <v>V10</v>
      </c>
      <c r="AZ40" s="13" t="str">
        <f>VLOOKUP($G40,'Visu totale'!$D$3:$DT$129,AZ$1,0)</f>
        <v>V10</v>
      </c>
      <c r="BA40" s="13">
        <f>VLOOKUP($G40,'Visu totale'!$D$3:$DT$129,BA$1,0)</f>
        <v>18</v>
      </c>
      <c r="BB40" s="15">
        <f>VLOOKUP($G40,'Visu totale'!$D$3:$DT$129,BB$1,0)</f>
        <v>18</v>
      </c>
      <c r="BC40" s="14" t="str">
        <f>VLOOKUP($G40,'Visu totale'!$D$3:$DT$129,BC$1,0)</f>
        <v>CHAMMAL_D</v>
      </c>
      <c r="BD40" s="13" t="str">
        <f>VLOOKUP($G40,'Visu totale'!$D$3:$DT$129,BD$1,0)</f>
        <v>CHAMMAL_D</v>
      </c>
      <c r="BE40" s="13" t="str">
        <f>VLOOKUP($G40,'Visu totale'!$D$3:$DT$129,BE$1,0)</f>
        <v>CHAMMAL_D</v>
      </c>
      <c r="BF40" s="13" t="str">
        <f>VLOOKUP($G40,'Visu totale'!$D$3:$DT$129,BF$1,0)</f>
        <v>CHAMMAL_D</v>
      </c>
      <c r="BG40" s="13">
        <f>VLOOKUP($G40,'Visu totale'!$D$3:$DT$129,BG$1,0)</f>
        <v>18</v>
      </c>
      <c r="BH40" s="13">
        <f>VLOOKUP($G40,'Visu totale'!$D$3:$DT$129,BH$1,0)</f>
        <v>18</v>
      </c>
      <c r="BI40" s="13" t="str">
        <f>VLOOKUP($G40,'Visu totale'!$D$3:$DT$129,BI$1,0)</f>
        <v>CHAMMAL_D</v>
      </c>
      <c r="BJ40" s="13" t="str">
        <f>VLOOKUP($G40,'Visu totale'!$D$3:$DT$129,BJ$1,0)</f>
        <v>CHAMMAL_D</v>
      </c>
      <c r="BK40" s="13" t="str">
        <f>VLOOKUP($G40,'Visu totale'!$D$3:$DT$129,BK$1,0)</f>
        <v>CHAMMAL_D</v>
      </c>
      <c r="BL40" s="13" t="str">
        <f>VLOOKUP($G40,'Visu totale'!$D$3:$DT$129,BL$1,0)</f>
        <v>CHAMMAL_D</v>
      </c>
      <c r="BM40" s="13">
        <f>VLOOKUP($G40,'Visu totale'!$D$3:$DT$129,BM$1,0)</f>
        <v>18</v>
      </c>
      <c r="BN40" s="15">
        <f>VLOOKUP($G40,'Visu totale'!$D$3:$DT$129,BN$1,0)</f>
        <v>18</v>
      </c>
      <c r="BO40" s="14">
        <f>VLOOKUP($G40,'Visu totale'!$D$3:$DT$129,BO$1,0)</f>
        <v>18</v>
      </c>
      <c r="BP40" s="13">
        <f>VLOOKUP($G40,'Visu totale'!$D$3:$DT$129,BP$1,0)</f>
        <v>18</v>
      </c>
      <c r="BQ40" s="13" t="str">
        <f>VLOOKUP($G40,'Visu totale'!$D$3:$DT$129,BQ$1,0)</f>
        <v>NANCY_D</v>
      </c>
      <c r="BR40" s="13" t="str">
        <f>VLOOKUP($G40,'Visu totale'!$D$3:$DT$129,BR$1,0)</f>
        <v>NANCY_D</v>
      </c>
      <c r="BS40" s="13" t="str">
        <f>VLOOKUP($G40,'Visu totale'!$D$3:$DT$129,BS$1,0)</f>
        <v>NANCY_D</v>
      </c>
      <c r="BT40" s="13" t="str">
        <f>VLOOKUP($G40,'Visu totale'!$D$3:$DT$129,BT$1,0)</f>
        <v>NANCY_D</v>
      </c>
      <c r="BU40" s="13">
        <f>VLOOKUP($G40,'Visu totale'!$D$3:$DT$129,BU$1,0)</f>
        <v>18</v>
      </c>
      <c r="BV40" s="13">
        <f>VLOOKUP($G40,'Visu totale'!$D$3:$DT$129,BV$1,0)</f>
        <v>18</v>
      </c>
      <c r="BW40" s="13" t="str">
        <f>VLOOKUP($G40,'Visu totale'!$D$3:$DT$129,BW$1,0)</f>
        <v>NANCY_D</v>
      </c>
      <c r="BX40" s="13" t="str">
        <f>VLOOKUP($G40,'Visu totale'!$D$3:$DT$129,BX$1,0)</f>
        <v>NANCY_D</v>
      </c>
      <c r="BY40" s="13" t="str">
        <f>VLOOKUP($G40,'Visu totale'!$D$3:$DT$129,BY$1,0)</f>
        <v>NANCY_D</v>
      </c>
      <c r="BZ40" s="15" t="str">
        <f>VLOOKUP($G40,'Visu totale'!$D$3:$DT$129,BZ$1,0)</f>
        <v>NANCY_D</v>
      </c>
      <c r="CA40" s="14">
        <f>VLOOKUP($G40,'Visu totale'!$D$3:$DT$129,CA$1,0)</f>
        <v>18</v>
      </c>
      <c r="CB40" s="13">
        <f>VLOOKUP($G40,'Visu totale'!$D$3:$DT$129,CB$1,0)</f>
        <v>18</v>
      </c>
      <c r="CC40" s="13" t="str">
        <f>VLOOKUP($G40,'Visu totale'!$D$3:$DT$129,CC$1,0)</f>
        <v>NANCY_D</v>
      </c>
      <c r="CD40" s="13" t="str">
        <f>VLOOKUP($G40,'Visu totale'!$D$3:$DT$129,CD$1,0)</f>
        <v>NANCY_D</v>
      </c>
      <c r="CE40" s="13" t="str">
        <f>VLOOKUP($G40,'Visu totale'!$D$3:$DT$129,CE$1,0)</f>
        <v>NANCY_D</v>
      </c>
      <c r="CF40" s="13" t="str">
        <f>VLOOKUP($G40,'Visu totale'!$D$3:$DT$129,CF$1,0)</f>
        <v>NANCY_D</v>
      </c>
      <c r="CG40" s="13">
        <f>VLOOKUP($G40,'Visu totale'!$D$3:$DT$129,CG$1,0)</f>
        <v>18</v>
      </c>
      <c r="CH40" s="13">
        <f>VLOOKUP($G40,'Visu totale'!$D$3:$DT$129,CH$1,0)</f>
        <v>18</v>
      </c>
      <c r="CI40" s="13" t="str">
        <f>VLOOKUP($G40,'Visu totale'!$D$3:$DT$129,CI$1,0)</f>
        <v>NANCY_D</v>
      </c>
      <c r="CJ40" s="13" t="str">
        <f>VLOOKUP($G40,'Visu totale'!$D$3:$DT$129,CJ$1,0)</f>
        <v>NANCY_D</v>
      </c>
      <c r="CK40" s="13" t="str">
        <f>VLOOKUP($G40,'Visu totale'!$D$3:$DT$129,CK$1,0)</f>
        <v>NANCY_D</v>
      </c>
      <c r="CL40" s="15" t="str">
        <f>VLOOKUP($G40,'Visu totale'!$D$3:$DT$129,CL$1,0)</f>
        <v>NANCY_D</v>
      </c>
      <c r="CM40" s="14">
        <f>VLOOKUP($G40,'Visu totale'!$D$3:$DT$129,CM$1,0)</f>
        <v>18</v>
      </c>
      <c r="CN40" s="13">
        <f>VLOOKUP($G40,'Visu totale'!$D$3:$DT$129,CN$1,0)</f>
        <v>18</v>
      </c>
      <c r="CO40" s="13" t="str">
        <f>VLOOKUP($G40,'Visu totale'!$D$3:$DT$129,CO$1,0)</f>
        <v>NANCY_D</v>
      </c>
      <c r="CP40" s="13" t="str">
        <f>VLOOKUP($G40,'Visu totale'!$D$3:$DT$129,CP$1,0)</f>
        <v>NANCY_D</v>
      </c>
      <c r="CQ40" s="13" t="str">
        <f>VLOOKUP($G40,'Visu totale'!$D$3:$DT$129,CQ$1,0)</f>
        <v>NANCY_D</v>
      </c>
      <c r="CR40" s="13" t="str">
        <f>VLOOKUP($G40,'Visu totale'!$D$3:$DT$129,CR$1,0)</f>
        <v>NANCY_D</v>
      </c>
      <c r="CS40" s="13">
        <f>VLOOKUP($G40,'Visu totale'!$D$3:$DT$129,CS$1,0)</f>
        <v>18</v>
      </c>
      <c r="CT40" s="13">
        <f>VLOOKUP($G40,'Visu totale'!$D$3:$DT$129,CT$1,0)</f>
        <v>18</v>
      </c>
      <c r="CU40" s="13">
        <f>VLOOKUP($G40,'Visu totale'!$D$3:$DT$129,CU$1,0)</f>
        <v>18</v>
      </c>
      <c r="CV40" s="13">
        <f>VLOOKUP($G40,'Visu totale'!$D$3:$DT$129,CV$1,0)</f>
        <v>18</v>
      </c>
      <c r="CW40" s="13">
        <f>VLOOKUP($G40,'Visu totale'!$D$3:$DT$129,CW$1,0)</f>
        <v>18</v>
      </c>
      <c r="CX40" s="15">
        <f>VLOOKUP($G40,'Visu totale'!$D$3:$DT$129,CX$1,0)</f>
        <v>18</v>
      </c>
      <c r="CY40" s="14">
        <f>VLOOKUP($G40,'Visu totale'!$D$3:$DT$129,CY$1,0)</f>
        <v>0</v>
      </c>
      <c r="CZ40" s="13">
        <f>VLOOKUP($G40,'Visu totale'!$D$3:$DT$129,CZ$1,0)</f>
        <v>0</v>
      </c>
      <c r="DA40" s="13">
        <f>VLOOKUP($G40,'Visu totale'!$D$3:$DT$129,DA$1,0)</f>
        <v>0</v>
      </c>
      <c r="DB40" s="13">
        <f>VLOOKUP($G40,'Visu totale'!$D$3:$DT$129,DB$1,0)</f>
        <v>0</v>
      </c>
      <c r="DC40" s="13">
        <f>VLOOKUP($G40,'Visu totale'!$D$3:$DT$129,DC$1,0)</f>
        <v>0</v>
      </c>
      <c r="DD40" s="13">
        <f>VLOOKUP($G40,'Visu totale'!$D$3:$DT$129,DD$1,0)</f>
        <v>0</v>
      </c>
      <c r="DE40" s="13">
        <f>VLOOKUP($G40,'Visu totale'!$D$3:$DT$129,DE$1,0)</f>
        <v>0</v>
      </c>
      <c r="DF40" s="13">
        <f>VLOOKUP($G40,'Visu totale'!$D$3:$DT$129,DF$1,0)</f>
        <v>0</v>
      </c>
      <c r="DG40" s="13">
        <f>VLOOKUP($G40,'Visu totale'!$D$3:$DT$129,DG$1,0)</f>
        <v>0</v>
      </c>
      <c r="DH40" s="13">
        <f>VLOOKUP($G40,'Visu totale'!$D$3:$DT$129,DH$1,0)</f>
        <v>0</v>
      </c>
      <c r="DI40" s="13">
        <f>VLOOKUP($G40,'Visu totale'!$D$3:$DT$129,DI$1,0)</f>
        <v>0</v>
      </c>
      <c r="DJ40" s="15">
        <f>VLOOKUP($G40,'Visu totale'!$D$3:$DT$129,DJ$1,0)</f>
        <v>0</v>
      </c>
      <c r="DK40" s="14">
        <f>VLOOKUP($G40,'Visu totale'!$D$3:$DT$129,DK$1,0)</f>
        <v>0</v>
      </c>
      <c r="DL40" s="13">
        <f>VLOOKUP($G40,'Visu totale'!$D$3:$DT$129,DL$1,0)</f>
        <v>0</v>
      </c>
      <c r="DM40" s="13">
        <f>VLOOKUP($G40,'Visu totale'!$D$3:$DT$129,DM$1,0)</f>
        <v>0</v>
      </c>
      <c r="DN40" s="13">
        <f>VLOOKUP($G40,'Visu totale'!$D$3:$DT$129,DN$1,0)</f>
        <v>0</v>
      </c>
      <c r="DO40" s="13">
        <f>VLOOKUP($G40,'Visu totale'!$D$3:$DT$129,DO$1,0)</f>
        <v>0</v>
      </c>
      <c r="DP40" s="13">
        <f>VLOOKUP($G40,'Visu totale'!$D$3:$DT$129,DP$1,0)</f>
        <v>0</v>
      </c>
      <c r="DQ40" s="13">
        <f>VLOOKUP($G40,'Visu totale'!$D$3:$DT$129,DQ$1,0)</f>
        <v>0</v>
      </c>
      <c r="DR40" s="13">
        <f>VLOOKUP($G40,'Visu totale'!$D$3:$DT$129,DR$1,0)</f>
        <v>0</v>
      </c>
      <c r="DS40" s="13">
        <f>VLOOKUP($G40,'Visu totale'!$D$3:$DT$129,DS$1,0)</f>
        <v>0</v>
      </c>
      <c r="DT40" s="13">
        <f>VLOOKUP($G40,'Visu totale'!$D$3:$DT$129,DT$1,0)</f>
        <v>0</v>
      </c>
      <c r="DU40" s="13">
        <f>VLOOKUP($G40,'Visu totale'!$D$3:$DT$129,DU$1,0)</f>
        <v>0</v>
      </c>
      <c r="DV40" s="15">
        <f>VLOOKUP($G40,'Visu totale'!$D$3:$DT$129,DV$1,0)</f>
        <v>0</v>
      </c>
    </row>
    <row r="41" spans="1:126" x14ac:dyDescent="0.25">
      <c r="A41" s="13"/>
      <c r="B41" s="13"/>
      <c r="C41" s="13"/>
      <c r="D41" s="16"/>
      <c r="E41" s="14"/>
      <c r="F41" s="13"/>
      <c r="G41" s="17" t="s">
        <v>43</v>
      </c>
      <c r="H41" s="13">
        <f>VLOOKUP($G41,'Visu totale'!$D$3:$DT$129,H$1,0)</f>
        <v>18</v>
      </c>
      <c r="I41" s="13" t="str">
        <f>VLOOKUP($G41,'Visu totale'!$D$3:$DT$129,I$1,0)</f>
        <v>NANCY_D</v>
      </c>
      <c r="J41" s="13" t="str">
        <f>VLOOKUP($G41,'Visu totale'!$D$3:$DT$129,J$1,0)</f>
        <v>NANCY_D</v>
      </c>
      <c r="K41" s="13" t="str">
        <f>VLOOKUP($G41,'Visu totale'!$D$3:$DT$129,K$1,0)</f>
        <v>NANCY_D</v>
      </c>
      <c r="L41" s="13" t="str">
        <f>VLOOKUP($G41,'Visu totale'!$D$3:$DT$129,L$1,0)</f>
        <v>NANCY_D</v>
      </c>
      <c r="M41" s="13">
        <f>VLOOKUP($G41,'Visu totale'!$D$3:$DT$129,M$1,0)</f>
        <v>18</v>
      </c>
      <c r="N41" s="13">
        <f>VLOOKUP($G41,'Visu totale'!$D$3:$DT$129,N$1,0)</f>
        <v>18</v>
      </c>
      <c r="O41" s="13" t="str">
        <f>VLOOKUP($G41,'Visu totale'!$D$3:$DT$129,O$1,0)</f>
        <v>NANCY_D</v>
      </c>
      <c r="P41" s="13" t="str">
        <f>VLOOKUP($G41,'Visu totale'!$D$3:$DT$129,P$1,0)</f>
        <v>NANCY_D</v>
      </c>
      <c r="Q41" s="13" t="str">
        <f>VLOOKUP($G41,'Visu totale'!$D$3:$DT$129,Q$1,0)</f>
        <v>NANCY_D</v>
      </c>
      <c r="R41" s="15" t="str">
        <f>VLOOKUP($G41,'Visu totale'!$D$3:$DT$129,R$1,0)</f>
        <v>NANCY_D</v>
      </c>
      <c r="S41" s="14">
        <f>VLOOKUP($G41,'Visu totale'!$D$3:$DT$129,S$1,0)</f>
        <v>18</v>
      </c>
      <c r="T41" s="13">
        <f>VLOOKUP($G41,'Visu totale'!$D$3:$DT$129,T$1,0)</f>
        <v>18</v>
      </c>
      <c r="U41" s="13" t="str">
        <f>VLOOKUP($G41,'Visu totale'!$D$3:$DT$129,U$1,0)</f>
        <v>NANCY_D</v>
      </c>
      <c r="V41" s="13" t="str">
        <f>VLOOKUP($G41,'Visu totale'!$D$3:$DT$129,V$1,0)</f>
        <v>NANCY_D</v>
      </c>
      <c r="W41" s="13" t="str">
        <f>VLOOKUP($G41,'Visu totale'!$D$3:$DT$129,W$1,0)</f>
        <v>NANCY_D</v>
      </c>
      <c r="X41" s="13" t="str">
        <f>VLOOKUP($G41,'Visu totale'!$D$3:$DT$129,X$1,0)</f>
        <v>NANCY_D</v>
      </c>
      <c r="Y41" s="13">
        <f>VLOOKUP($G41,'Visu totale'!$D$3:$DT$129,Y$1,0)</f>
        <v>18</v>
      </c>
      <c r="Z41" s="13">
        <f>VLOOKUP($G41,'Visu totale'!$D$3:$DT$129,Z$1,0)</f>
        <v>18</v>
      </c>
      <c r="AA41" s="13" t="str">
        <f>VLOOKUP($G41,'Visu totale'!$D$3:$DT$129,AA$1,0)</f>
        <v>NANCY_D</v>
      </c>
      <c r="AB41" s="13" t="str">
        <f>VLOOKUP($G41,'Visu totale'!$D$3:$DT$129,AB$1,0)</f>
        <v>NANCY_D</v>
      </c>
      <c r="AC41" s="13" t="str">
        <f>VLOOKUP($G41,'Visu totale'!$D$3:$DT$129,AC$1,0)</f>
        <v>NANCY_D</v>
      </c>
      <c r="AD41" s="15" t="str">
        <f>VLOOKUP($G41,'Visu totale'!$D$3:$DT$129,AD$1,0)</f>
        <v>NANCY_D</v>
      </c>
      <c r="AE41" s="14">
        <f>VLOOKUP($G41,'Visu totale'!$D$3:$DT$129,AE$1,0)</f>
        <v>18</v>
      </c>
      <c r="AF41" s="13">
        <f>VLOOKUP($G41,'Visu totale'!$D$3:$DT$129,AF$1,0)</f>
        <v>18</v>
      </c>
      <c r="AG41" s="13" t="str">
        <f>VLOOKUP($G41,'Visu totale'!$D$3:$DT$129,AG$1,0)</f>
        <v>CHAMMAL_D</v>
      </c>
      <c r="AH41" s="13" t="str">
        <f>VLOOKUP($G41,'Visu totale'!$D$3:$DT$129,AH$1,0)</f>
        <v>CHAMMAL_D</v>
      </c>
      <c r="AI41" s="13" t="str">
        <f>VLOOKUP($G41,'Visu totale'!$D$3:$DT$129,AI$1,0)</f>
        <v>CHAMMAL_D</v>
      </c>
      <c r="AJ41" s="13" t="str">
        <f>VLOOKUP($G41,'Visu totale'!$D$3:$DT$129,AJ$1,0)</f>
        <v>CHAMMAL_D</v>
      </c>
      <c r="AK41" s="13">
        <f>VLOOKUP($G41,'Visu totale'!$D$3:$DT$129,AK$1,0)</f>
        <v>18</v>
      </c>
      <c r="AL41" s="13">
        <f>VLOOKUP($G41,'Visu totale'!$D$3:$DT$129,AL$1,0)</f>
        <v>18</v>
      </c>
      <c r="AM41" s="13" t="str">
        <f>VLOOKUP($G41,'Visu totale'!$D$3:$DT$129,AM$1,0)</f>
        <v>NANCY_D</v>
      </c>
      <c r="AN41" s="13" t="str">
        <f>VLOOKUP($G41,'Visu totale'!$D$3:$DT$129,AN$1,0)</f>
        <v>NANCY_D</v>
      </c>
      <c r="AO41" s="13" t="str">
        <f>VLOOKUP($G41,'Visu totale'!$D$3:$DT$129,AO$1,0)</f>
        <v>NANCY_D</v>
      </c>
      <c r="AP41" s="15" t="str">
        <f>VLOOKUP($G41,'Visu totale'!$D$3:$DT$129,AP$1,0)</f>
        <v>NANCY_D</v>
      </c>
      <c r="AQ41" s="14" t="str">
        <f>VLOOKUP($G41,'Visu totale'!$D$3:$DT$129,AQ$1,0)</f>
        <v>V10</v>
      </c>
      <c r="AR41" s="13" t="str">
        <f>VLOOKUP($G41,'Visu totale'!$D$3:$DT$129,AR$1,0)</f>
        <v>V10</v>
      </c>
      <c r="AS41" s="13" t="str">
        <f>VLOOKUP($G41,'Visu totale'!$D$3:$DT$129,AS$1,0)</f>
        <v>V10</v>
      </c>
      <c r="AT41" s="13" t="str">
        <f>VLOOKUP($G41,'Visu totale'!$D$3:$DT$129,AT$1,0)</f>
        <v>V10</v>
      </c>
      <c r="AU41" s="13" t="str">
        <f>VLOOKUP($G41,'Visu totale'!$D$3:$DT$129,AU$1,0)</f>
        <v>V10</v>
      </c>
      <c r="AV41" s="13" t="str">
        <f>VLOOKUP($G41,'Visu totale'!$D$3:$DT$129,AV$1,0)</f>
        <v>V10</v>
      </c>
      <c r="AW41" s="13">
        <f>VLOOKUP($G41,'Visu totale'!$D$3:$DT$129,AW$1,0)</f>
        <v>18</v>
      </c>
      <c r="AX41" s="13">
        <f>VLOOKUP($G41,'Visu totale'!$D$3:$DT$129,AX$1,0)</f>
        <v>18</v>
      </c>
      <c r="AY41" s="13" t="str">
        <f>VLOOKUP($G41,'Visu totale'!$D$3:$DT$129,AY$1,0)</f>
        <v>CHAMMAL_D</v>
      </c>
      <c r="AZ41" s="13" t="str">
        <f>VLOOKUP($G41,'Visu totale'!$D$3:$DT$129,AZ$1,0)</f>
        <v>CHAMMAL_D</v>
      </c>
      <c r="BA41" s="13" t="str">
        <f>VLOOKUP($G41,'Visu totale'!$D$3:$DT$129,BA$1,0)</f>
        <v>CHAMMAL_D</v>
      </c>
      <c r="BB41" s="15" t="str">
        <f>VLOOKUP($G41,'Visu totale'!$D$3:$DT$129,BB$1,0)</f>
        <v>CHAMMAL_D</v>
      </c>
      <c r="BC41" s="14">
        <f>VLOOKUP($G41,'Visu totale'!$D$3:$DT$129,BC$1,0)</f>
        <v>18</v>
      </c>
      <c r="BD41" s="13">
        <f>VLOOKUP($G41,'Visu totale'!$D$3:$DT$129,BD$1,0)</f>
        <v>18</v>
      </c>
      <c r="BE41" s="13" t="str">
        <f>VLOOKUP($G41,'Visu totale'!$D$3:$DT$129,BE$1,0)</f>
        <v>CHAMMAL_D</v>
      </c>
      <c r="BF41" s="13" t="str">
        <f>VLOOKUP($G41,'Visu totale'!$D$3:$DT$129,BF$1,0)</f>
        <v>CHAMMAL_D</v>
      </c>
      <c r="BG41" s="13" t="str">
        <f>VLOOKUP($G41,'Visu totale'!$D$3:$DT$129,BG$1,0)</f>
        <v>CHAMMAL_D</v>
      </c>
      <c r="BH41" s="13" t="str">
        <f>VLOOKUP($G41,'Visu totale'!$D$3:$DT$129,BH$1,0)</f>
        <v>CHAMMAL_D</v>
      </c>
      <c r="BI41" s="13">
        <f>VLOOKUP($G41,'Visu totale'!$D$3:$DT$129,BI$1,0)</f>
        <v>18</v>
      </c>
      <c r="BJ41" s="13">
        <f>VLOOKUP($G41,'Visu totale'!$D$3:$DT$129,BJ$1,0)</f>
        <v>18</v>
      </c>
      <c r="BK41" s="13" t="str">
        <f>VLOOKUP($G41,'Visu totale'!$D$3:$DT$129,BK$1,0)</f>
        <v>NIAMEY_D</v>
      </c>
      <c r="BL41" s="13" t="str">
        <f>VLOOKUP($G41,'Visu totale'!$D$3:$DT$129,BL$1,0)</f>
        <v>NIAMEY_D</v>
      </c>
      <c r="BM41" s="13">
        <f>VLOOKUP($G41,'Visu totale'!$D$3:$DT$129,BM$1,0)</f>
        <v>18</v>
      </c>
      <c r="BN41" s="15">
        <f>VLOOKUP($G41,'Visu totale'!$D$3:$DT$129,BN$1,0)</f>
        <v>18</v>
      </c>
      <c r="BO41" s="14" t="str">
        <f>VLOOKUP($G41,'Visu totale'!$D$3:$DT$129,BO$1,0)</f>
        <v>V20</v>
      </c>
      <c r="BP41" s="13" t="str">
        <f>VLOOKUP($G41,'Visu totale'!$D$3:$DT$129,BP$1,0)</f>
        <v>V20</v>
      </c>
      <c r="BQ41" s="13" t="str">
        <f>VLOOKUP($G41,'Visu totale'!$D$3:$DT$129,BQ$1,0)</f>
        <v>V20</v>
      </c>
      <c r="BR41" s="13" t="str">
        <f>VLOOKUP($G41,'Visu totale'!$D$3:$DT$129,BR$1,0)</f>
        <v>V20</v>
      </c>
      <c r="BS41" s="13">
        <f>VLOOKUP($G41,'Visu totale'!$D$3:$DT$129,BS$1,0)</f>
        <v>18</v>
      </c>
      <c r="BT41" s="13">
        <f>VLOOKUP($G41,'Visu totale'!$D$3:$DT$129,BT$1,0)</f>
        <v>18</v>
      </c>
      <c r="BU41" s="13" t="str">
        <f>VLOOKUP($G41,'Visu totale'!$D$3:$DT$129,BU$1,0)</f>
        <v>NANCY_D</v>
      </c>
      <c r="BV41" s="13" t="str">
        <f>VLOOKUP($G41,'Visu totale'!$D$3:$DT$129,BV$1,0)</f>
        <v>NANCY_D</v>
      </c>
      <c r="BW41" s="13" t="str">
        <f>VLOOKUP($G41,'Visu totale'!$D$3:$DT$129,BW$1,0)</f>
        <v>NANCY_D</v>
      </c>
      <c r="BX41" s="13" t="str">
        <f>VLOOKUP($G41,'Visu totale'!$D$3:$DT$129,BX$1,0)</f>
        <v>NANCY_D</v>
      </c>
      <c r="BY41" s="13">
        <f>VLOOKUP($G41,'Visu totale'!$D$3:$DT$129,BY$1,0)</f>
        <v>18</v>
      </c>
      <c r="BZ41" s="15">
        <f>VLOOKUP($G41,'Visu totale'!$D$3:$DT$129,BZ$1,0)</f>
        <v>18</v>
      </c>
      <c r="CA41" s="14" t="str">
        <f>VLOOKUP($G41,'Visu totale'!$D$3:$DT$129,CA$1,0)</f>
        <v>NANCY_D</v>
      </c>
      <c r="CB41" s="13" t="str">
        <f>VLOOKUP($G41,'Visu totale'!$D$3:$DT$129,CB$1,0)</f>
        <v>NANCY_D</v>
      </c>
      <c r="CC41" s="13" t="str">
        <f>VLOOKUP($G41,'Visu totale'!$D$3:$DT$129,CC$1,0)</f>
        <v>NANCY_D</v>
      </c>
      <c r="CD41" s="13" t="str">
        <f>VLOOKUP($G41,'Visu totale'!$D$3:$DT$129,CD$1,0)</f>
        <v>NANCY_D</v>
      </c>
      <c r="CE41" s="13">
        <f>VLOOKUP($G41,'Visu totale'!$D$3:$DT$129,CE$1,0)</f>
        <v>18</v>
      </c>
      <c r="CF41" s="13">
        <f>VLOOKUP($G41,'Visu totale'!$D$3:$DT$129,CF$1,0)</f>
        <v>18</v>
      </c>
      <c r="CG41" s="13" t="str">
        <f>VLOOKUP($G41,'Visu totale'!$D$3:$DT$129,CG$1,0)</f>
        <v>NANCY_D</v>
      </c>
      <c r="CH41" s="13" t="str">
        <f>VLOOKUP($G41,'Visu totale'!$D$3:$DT$129,CH$1,0)</f>
        <v>NANCY_D</v>
      </c>
      <c r="CI41" s="13" t="str">
        <f>VLOOKUP($G41,'Visu totale'!$D$3:$DT$129,CI$1,0)</f>
        <v>NANCY_D</v>
      </c>
      <c r="CJ41" s="13" t="str">
        <f>VLOOKUP($G41,'Visu totale'!$D$3:$DT$129,CJ$1,0)</f>
        <v>NANCY_D</v>
      </c>
      <c r="CK41" s="13">
        <f>VLOOKUP($G41,'Visu totale'!$D$3:$DT$129,CK$1,0)</f>
        <v>18</v>
      </c>
      <c r="CL41" s="15">
        <f>VLOOKUP($G41,'Visu totale'!$D$3:$DT$129,CL$1,0)</f>
        <v>18</v>
      </c>
      <c r="CM41" s="14" t="str">
        <f>VLOOKUP($G41,'Visu totale'!$D$3:$DT$129,CM$1,0)</f>
        <v>NANCY_D</v>
      </c>
      <c r="CN41" s="13" t="str">
        <f>VLOOKUP($G41,'Visu totale'!$D$3:$DT$129,CN$1,0)</f>
        <v>NANCY_D</v>
      </c>
      <c r="CO41" s="13" t="str">
        <f>VLOOKUP($G41,'Visu totale'!$D$3:$DT$129,CO$1,0)</f>
        <v>NANCY_D</v>
      </c>
      <c r="CP41" s="13" t="str">
        <f>VLOOKUP($G41,'Visu totale'!$D$3:$DT$129,CP$1,0)</f>
        <v>NANCY_D</v>
      </c>
      <c r="CQ41" s="13">
        <f>VLOOKUP($G41,'Visu totale'!$D$3:$DT$129,CQ$1,0)</f>
        <v>18</v>
      </c>
      <c r="CR41" s="13">
        <f>VLOOKUP($G41,'Visu totale'!$D$3:$DT$129,CR$1,0)</f>
        <v>18</v>
      </c>
      <c r="CS41" s="13" t="str">
        <f>VLOOKUP($G41,'Visu totale'!$D$3:$DT$129,CS$1,0)</f>
        <v>NANCY_D</v>
      </c>
      <c r="CT41" s="13" t="str">
        <f>VLOOKUP($G41,'Visu totale'!$D$3:$DT$129,CT$1,0)</f>
        <v>NANCY_D</v>
      </c>
      <c r="CU41" s="13" t="str">
        <f>VLOOKUP($G41,'Visu totale'!$D$3:$DT$129,CU$1,0)</f>
        <v>NANCY_D</v>
      </c>
      <c r="CV41" s="13" t="str">
        <f>VLOOKUP($G41,'Visu totale'!$D$3:$DT$129,CV$1,0)</f>
        <v>NANCY_D</v>
      </c>
      <c r="CW41" s="13">
        <f>VLOOKUP($G41,'Visu totale'!$D$3:$DT$129,CW$1,0)</f>
        <v>18</v>
      </c>
      <c r="CX41" s="15">
        <f>VLOOKUP($G41,'Visu totale'!$D$3:$DT$129,CX$1,0)</f>
        <v>18</v>
      </c>
      <c r="CY41" s="14">
        <f>VLOOKUP($G41,'Visu totale'!$D$3:$DT$129,CY$1,0)</f>
        <v>0</v>
      </c>
      <c r="CZ41" s="13">
        <f>VLOOKUP($G41,'Visu totale'!$D$3:$DT$129,CZ$1,0)</f>
        <v>0</v>
      </c>
      <c r="DA41" s="13">
        <f>VLOOKUP($G41,'Visu totale'!$D$3:$DT$129,DA$1,0)</f>
        <v>0</v>
      </c>
      <c r="DB41" s="13">
        <f>VLOOKUP($G41,'Visu totale'!$D$3:$DT$129,DB$1,0)</f>
        <v>0</v>
      </c>
      <c r="DC41" s="13">
        <f>VLOOKUP($G41,'Visu totale'!$D$3:$DT$129,DC$1,0)</f>
        <v>0</v>
      </c>
      <c r="DD41" s="13">
        <f>VLOOKUP($G41,'Visu totale'!$D$3:$DT$129,DD$1,0)</f>
        <v>0</v>
      </c>
      <c r="DE41" s="13">
        <f>VLOOKUP($G41,'Visu totale'!$D$3:$DT$129,DE$1,0)</f>
        <v>0</v>
      </c>
      <c r="DF41" s="13">
        <f>VLOOKUP($G41,'Visu totale'!$D$3:$DT$129,DF$1,0)</f>
        <v>0</v>
      </c>
      <c r="DG41" s="13">
        <f>VLOOKUP($G41,'Visu totale'!$D$3:$DT$129,DG$1,0)</f>
        <v>0</v>
      </c>
      <c r="DH41" s="13">
        <f>VLOOKUP($G41,'Visu totale'!$D$3:$DT$129,DH$1,0)</f>
        <v>0</v>
      </c>
      <c r="DI41" s="13">
        <f>VLOOKUP($G41,'Visu totale'!$D$3:$DT$129,DI$1,0)</f>
        <v>0</v>
      </c>
      <c r="DJ41" s="15">
        <f>VLOOKUP($G41,'Visu totale'!$D$3:$DT$129,DJ$1,0)</f>
        <v>0</v>
      </c>
      <c r="DK41" s="14">
        <f>VLOOKUP($G41,'Visu totale'!$D$3:$DT$129,DK$1,0)</f>
        <v>0</v>
      </c>
      <c r="DL41" s="13">
        <f>VLOOKUP($G41,'Visu totale'!$D$3:$DT$129,DL$1,0)</f>
        <v>0</v>
      </c>
      <c r="DM41" s="13">
        <f>VLOOKUP($G41,'Visu totale'!$D$3:$DT$129,DM$1,0)</f>
        <v>0</v>
      </c>
      <c r="DN41" s="13">
        <f>VLOOKUP($G41,'Visu totale'!$D$3:$DT$129,DN$1,0)</f>
        <v>0</v>
      </c>
      <c r="DO41" s="13">
        <f>VLOOKUP($G41,'Visu totale'!$D$3:$DT$129,DO$1,0)</f>
        <v>0</v>
      </c>
      <c r="DP41" s="13">
        <f>VLOOKUP($G41,'Visu totale'!$D$3:$DT$129,DP$1,0)</f>
        <v>0</v>
      </c>
      <c r="DQ41" s="13">
        <f>VLOOKUP($G41,'Visu totale'!$D$3:$DT$129,DQ$1,0)</f>
        <v>0</v>
      </c>
      <c r="DR41" s="13">
        <f>VLOOKUP($G41,'Visu totale'!$D$3:$DT$129,DR$1,0)</f>
        <v>0</v>
      </c>
      <c r="DS41" s="13">
        <f>VLOOKUP($G41,'Visu totale'!$D$3:$DT$129,DS$1,0)</f>
        <v>0</v>
      </c>
      <c r="DT41" s="13">
        <f>VLOOKUP($G41,'Visu totale'!$D$3:$DT$129,DT$1,0)</f>
        <v>0</v>
      </c>
      <c r="DU41" s="13">
        <f>VLOOKUP($G41,'Visu totale'!$D$3:$DT$129,DU$1,0)</f>
        <v>0</v>
      </c>
      <c r="DV41" s="15">
        <f>VLOOKUP($G41,'Visu totale'!$D$3:$DT$129,DV$1,0)</f>
        <v>0</v>
      </c>
    </row>
    <row r="42" spans="1:126" x14ac:dyDescent="0.25">
      <c r="A42" s="13"/>
      <c r="B42" s="13"/>
      <c r="C42" s="13"/>
      <c r="D42" s="16"/>
      <c r="E42" s="14"/>
      <c r="F42" s="13"/>
      <c r="G42" s="17" t="s">
        <v>44</v>
      </c>
      <c r="H42" s="13">
        <f>VLOOKUP($G42,'Visu totale'!$D$3:$DT$129,H$1,0)</f>
        <v>18</v>
      </c>
      <c r="I42" s="13" t="str">
        <f>VLOOKUP($G42,'Visu totale'!$D$3:$DT$129,I$1,0)</f>
        <v>NANCY_D</v>
      </c>
      <c r="J42" s="13" t="str">
        <f>VLOOKUP($G42,'Visu totale'!$D$3:$DT$129,J$1,0)</f>
        <v>NANCY_D</v>
      </c>
      <c r="K42" s="13" t="str">
        <f>VLOOKUP($G42,'Visu totale'!$D$3:$DT$129,K$1,0)</f>
        <v>NANCY_D</v>
      </c>
      <c r="L42" s="13" t="str">
        <f>VLOOKUP($G42,'Visu totale'!$D$3:$DT$129,L$1,0)</f>
        <v>NANCY_D</v>
      </c>
      <c r="M42" s="13">
        <f>VLOOKUP($G42,'Visu totale'!$D$3:$DT$129,M$1,0)</f>
        <v>18</v>
      </c>
      <c r="N42" s="13">
        <f>VLOOKUP($G42,'Visu totale'!$D$3:$DT$129,N$1,0)</f>
        <v>18</v>
      </c>
      <c r="O42" s="13" t="str">
        <f>VLOOKUP($G42,'Visu totale'!$D$3:$DT$129,O$1,0)</f>
        <v>NDJAMENA_D</v>
      </c>
      <c r="P42" s="13" t="str">
        <f>VLOOKUP($G42,'Visu totale'!$D$3:$DT$129,P$1,0)</f>
        <v>NDJAMENA_D</v>
      </c>
      <c r="Q42" s="13" t="str">
        <f>VLOOKUP($G42,'Visu totale'!$D$3:$DT$129,Q$1,0)</f>
        <v>NDJAMENA_D</v>
      </c>
      <c r="R42" s="15" t="str">
        <f>VLOOKUP($G42,'Visu totale'!$D$3:$DT$129,R$1,0)</f>
        <v>NDJAMENA_D</v>
      </c>
      <c r="S42" s="14">
        <f>VLOOKUP($G42,'Visu totale'!$D$3:$DT$129,S$1,0)</f>
        <v>18</v>
      </c>
      <c r="T42" s="13">
        <f>VLOOKUP($G42,'Visu totale'!$D$3:$DT$129,T$1,0)</f>
        <v>18</v>
      </c>
      <c r="U42" s="13" t="str">
        <f>VLOOKUP($G42,'Visu totale'!$D$3:$DT$129,U$1,0)</f>
        <v>NANCY_D</v>
      </c>
      <c r="V42" s="13" t="str">
        <f>VLOOKUP($G42,'Visu totale'!$D$3:$DT$129,V$1,0)</f>
        <v>NANCY_D</v>
      </c>
      <c r="W42" s="13" t="str">
        <f>VLOOKUP($G42,'Visu totale'!$D$3:$DT$129,W$1,0)</f>
        <v>NANCY_D</v>
      </c>
      <c r="X42" s="13" t="str">
        <f>VLOOKUP($G42,'Visu totale'!$D$3:$DT$129,X$1,0)</f>
        <v>NANCY_D</v>
      </c>
      <c r="Y42" s="13">
        <f>VLOOKUP($G42,'Visu totale'!$D$3:$DT$129,Y$1,0)</f>
        <v>18</v>
      </c>
      <c r="Z42" s="13">
        <f>VLOOKUP($G42,'Visu totale'!$D$3:$DT$129,Z$1,0)</f>
        <v>18</v>
      </c>
      <c r="AA42" s="13" t="str">
        <f>VLOOKUP($G42,'Visu totale'!$D$3:$DT$129,AA$1,0)</f>
        <v>NANCY_D</v>
      </c>
      <c r="AB42" s="13" t="str">
        <f>VLOOKUP($G42,'Visu totale'!$D$3:$DT$129,AB$1,0)</f>
        <v>NANCY_D</v>
      </c>
      <c r="AC42" s="13" t="str">
        <f>VLOOKUP($G42,'Visu totale'!$D$3:$DT$129,AC$1,0)</f>
        <v>NANCY_D</v>
      </c>
      <c r="AD42" s="15" t="str">
        <f>VLOOKUP($G42,'Visu totale'!$D$3:$DT$129,AD$1,0)</f>
        <v>NANCY_D</v>
      </c>
      <c r="AE42" s="14">
        <f>VLOOKUP($G42,'Visu totale'!$D$3:$DT$129,AE$1,0)</f>
        <v>18</v>
      </c>
      <c r="AF42" s="13">
        <f>VLOOKUP($G42,'Visu totale'!$D$3:$DT$129,AF$1,0)</f>
        <v>18</v>
      </c>
      <c r="AG42" s="13" t="str">
        <f>VLOOKUP($G42,'Visu totale'!$D$3:$DT$129,AG$1,0)</f>
        <v>NANCY_D</v>
      </c>
      <c r="AH42" s="13" t="str">
        <f>VLOOKUP($G42,'Visu totale'!$D$3:$DT$129,AH$1,0)</f>
        <v>NANCY_D</v>
      </c>
      <c r="AI42" s="13" t="str">
        <f>VLOOKUP($G42,'Visu totale'!$D$3:$DT$129,AI$1,0)</f>
        <v>NANCY_D</v>
      </c>
      <c r="AJ42" s="13" t="str">
        <f>VLOOKUP($G42,'Visu totale'!$D$3:$DT$129,AJ$1,0)</f>
        <v>NANCY_D</v>
      </c>
      <c r="AK42" s="13">
        <f>VLOOKUP($G42,'Visu totale'!$D$3:$DT$129,AK$1,0)</f>
        <v>18</v>
      </c>
      <c r="AL42" s="13">
        <f>VLOOKUP($G42,'Visu totale'!$D$3:$DT$129,AL$1,0)</f>
        <v>18</v>
      </c>
      <c r="AM42" s="13" t="str">
        <f>VLOOKUP($G42,'Visu totale'!$D$3:$DT$129,AM$1,0)</f>
        <v>NANCY_D</v>
      </c>
      <c r="AN42" s="13" t="str">
        <f>VLOOKUP($G42,'Visu totale'!$D$3:$DT$129,AN$1,0)</f>
        <v>NANCY_D</v>
      </c>
      <c r="AO42" s="13" t="str">
        <f>VLOOKUP($G42,'Visu totale'!$D$3:$DT$129,AO$1,0)</f>
        <v>NANCY_D</v>
      </c>
      <c r="AP42" s="15" t="str">
        <f>VLOOKUP($G42,'Visu totale'!$D$3:$DT$129,AP$1,0)</f>
        <v>NANCY_D</v>
      </c>
      <c r="AQ42" s="14">
        <f>VLOOKUP($G42,'Visu totale'!$D$3:$DT$129,AQ$1,0)</f>
        <v>18</v>
      </c>
      <c r="AR42" s="13">
        <f>VLOOKUP($G42,'Visu totale'!$D$3:$DT$129,AR$1,0)</f>
        <v>18</v>
      </c>
      <c r="AS42" s="13">
        <f>VLOOKUP($G42,'Visu totale'!$D$3:$DT$129,AS$1,0)</f>
        <v>18</v>
      </c>
      <c r="AT42" s="13">
        <f>VLOOKUP($G42,'Visu totale'!$D$3:$DT$129,AT$1,0)</f>
        <v>18</v>
      </c>
      <c r="AU42" s="13">
        <f>VLOOKUP($G42,'Visu totale'!$D$3:$DT$129,AU$1,0)</f>
        <v>18</v>
      </c>
      <c r="AV42" s="13">
        <f>VLOOKUP($G42,'Visu totale'!$D$3:$DT$129,AV$1,0)</f>
        <v>18</v>
      </c>
      <c r="AW42" s="13" t="str">
        <f>VLOOKUP($G42,'Visu totale'!$D$3:$DT$129,AW$1,0)</f>
        <v>V10</v>
      </c>
      <c r="AX42" s="13" t="str">
        <f>VLOOKUP($G42,'Visu totale'!$D$3:$DT$129,AX$1,0)</f>
        <v>V10</v>
      </c>
      <c r="AY42" s="13" t="str">
        <f>VLOOKUP($G42,'Visu totale'!$D$3:$DT$129,AY$1,0)</f>
        <v>V10</v>
      </c>
      <c r="AZ42" s="13" t="str">
        <f>VLOOKUP($G42,'Visu totale'!$D$3:$DT$129,AZ$1,0)</f>
        <v>V10</v>
      </c>
      <c r="BA42" s="13" t="str">
        <f>VLOOKUP($G42,'Visu totale'!$D$3:$DT$129,BA$1,0)</f>
        <v>V10</v>
      </c>
      <c r="BB42" s="15" t="str">
        <f>VLOOKUP($G42,'Visu totale'!$D$3:$DT$129,BB$1,0)</f>
        <v>V10</v>
      </c>
      <c r="BC42" s="14">
        <f>VLOOKUP($G42,'Visu totale'!$D$3:$DT$129,BC$1,0)</f>
        <v>18</v>
      </c>
      <c r="BD42" s="13">
        <f>VLOOKUP($G42,'Visu totale'!$D$3:$DT$129,BD$1,0)</f>
        <v>18</v>
      </c>
      <c r="BE42" s="13" t="str">
        <f>VLOOKUP($G42,'Visu totale'!$D$3:$DT$129,BE$1,0)</f>
        <v>CHAMMAL_D</v>
      </c>
      <c r="BF42" s="13" t="str">
        <f>VLOOKUP($G42,'Visu totale'!$D$3:$DT$129,BF$1,0)</f>
        <v>CHAMMAL_D</v>
      </c>
      <c r="BG42" s="13" t="str">
        <f>VLOOKUP($G42,'Visu totale'!$D$3:$DT$129,BG$1,0)</f>
        <v>CHAMMAL_D</v>
      </c>
      <c r="BH42" s="13" t="str">
        <f>VLOOKUP($G42,'Visu totale'!$D$3:$DT$129,BH$1,0)</f>
        <v>CHAMMAL_D</v>
      </c>
      <c r="BI42" s="13">
        <f>VLOOKUP($G42,'Visu totale'!$D$3:$DT$129,BI$1,0)</f>
        <v>18</v>
      </c>
      <c r="BJ42" s="13">
        <f>VLOOKUP($G42,'Visu totale'!$D$3:$DT$129,BJ$1,0)</f>
        <v>18</v>
      </c>
      <c r="BK42" s="13" t="str">
        <f>VLOOKUP($G42,'Visu totale'!$D$3:$DT$129,BK$1,0)</f>
        <v>CHAMMAL_D</v>
      </c>
      <c r="BL42" s="13" t="str">
        <f>VLOOKUP($G42,'Visu totale'!$D$3:$DT$129,BL$1,0)</f>
        <v>CHAMMAL_D</v>
      </c>
      <c r="BM42" s="13">
        <f>VLOOKUP($G42,'Visu totale'!$D$3:$DT$129,BM$1,0)</f>
        <v>18</v>
      </c>
      <c r="BN42" s="15">
        <f>VLOOKUP($G42,'Visu totale'!$D$3:$DT$129,BN$1,0)</f>
        <v>18</v>
      </c>
      <c r="BO42" s="14">
        <f>VLOOKUP($G42,'Visu totale'!$D$3:$DT$129,BO$1,0)</f>
        <v>0</v>
      </c>
      <c r="BP42" s="13">
        <f>VLOOKUP($G42,'Visu totale'!$D$3:$DT$129,BP$1,0)</f>
        <v>0</v>
      </c>
      <c r="BQ42" s="13">
        <f>VLOOKUP($G42,'Visu totale'!$D$3:$DT$129,BQ$1,0)</f>
        <v>0</v>
      </c>
      <c r="BR42" s="13">
        <f>VLOOKUP($G42,'Visu totale'!$D$3:$DT$129,BR$1,0)</f>
        <v>0</v>
      </c>
      <c r="BS42" s="13">
        <f>VLOOKUP($G42,'Visu totale'!$D$3:$DT$129,BS$1,0)</f>
        <v>0</v>
      </c>
      <c r="BT42" s="13">
        <f>VLOOKUP($G42,'Visu totale'!$D$3:$DT$129,BT$1,0)</f>
        <v>0</v>
      </c>
      <c r="BU42" s="13">
        <f>VLOOKUP($G42,'Visu totale'!$D$3:$DT$129,BU$1,0)</f>
        <v>0</v>
      </c>
      <c r="BV42" s="13">
        <f>VLOOKUP($G42,'Visu totale'!$D$3:$DT$129,BV$1,0)</f>
        <v>0</v>
      </c>
      <c r="BW42" s="13">
        <f>VLOOKUP($G42,'Visu totale'!$D$3:$DT$129,BW$1,0)</f>
        <v>0</v>
      </c>
      <c r="BX42" s="13">
        <f>VLOOKUP($G42,'Visu totale'!$D$3:$DT$129,BX$1,0)</f>
        <v>0</v>
      </c>
      <c r="BY42" s="13">
        <f>VLOOKUP($G42,'Visu totale'!$D$3:$DT$129,BY$1,0)</f>
        <v>0</v>
      </c>
      <c r="BZ42" s="15" t="str">
        <f>VLOOKUP($G42,'Visu totale'!$D$3:$DT$129,BZ$1,0)</f>
        <v>V20</v>
      </c>
      <c r="CA42" s="14" t="str">
        <f>VLOOKUP($G42,'Visu totale'!$D$3:$DT$129,CA$1,0)</f>
        <v>V20</v>
      </c>
      <c r="CB42" s="13" t="str">
        <f>VLOOKUP($G42,'Visu totale'!$D$3:$DT$129,CB$1,0)</f>
        <v>V20</v>
      </c>
      <c r="CC42" s="13" t="str">
        <f>VLOOKUP($G42,'Visu totale'!$D$3:$DT$129,CC$1,0)</f>
        <v>V20</v>
      </c>
      <c r="CD42" s="13" t="str">
        <f>VLOOKUP($G42,'Visu totale'!$D$3:$DT$129,CD$1,0)</f>
        <v>V20</v>
      </c>
      <c r="CE42" s="13" t="str">
        <f>VLOOKUP($G42,'Visu totale'!$D$3:$DT$129,CE$1,0)</f>
        <v>V20</v>
      </c>
      <c r="CF42" s="13">
        <f>VLOOKUP($G42,'Visu totale'!$D$3:$DT$129,CF$1,0)</f>
        <v>18</v>
      </c>
      <c r="CG42" s="13">
        <f>VLOOKUP($G42,'Visu totale'!$D$3:$DT$129,CG$1,0)</f>
        <v>18</v>
      </c>
      <c r="CH42" s="13" t="str">
        <f>VLOOKUP($G42,'Visu totale'!$D$3:$DT$129,CH$1,0)</f>
        <v>NANCY_D</v>
      </c>
      <c r="CI42" s="13" t="str">
        <f>VLOOKUP($G42,'Visu totale'!$D$3:$DT$129,CI$1,0)</f>
        <v>NANCY_D</v>
      </c>
      <c r="CJ42" s="13" t="str">
        <f>VLOOKUP($G42,'Visu totale'!$D$3:$DT$129,CJ$1,0)</f>
        <v>NANCY_D</v>
      </c>
      <c r="CK42" s="13" t="str">
        <f>VLOOKUP($G42,'Visu totale'!$D$3:$DT$129,CK$1,0)</f>
        <v>NANCY_D</v>
      </c>
      <c r="CL42" s="15">
        <f>VLOOKUP($G42,'Visu totale'!$D$3:$DT$129,CL$1,0)</f>
        <v>18</v>
      </c>
      <c r="CM42" s="14">
        <f>VLOOKUP($G42,'Visu totale'!$D$3:$DT$129,CM$1,0)</f>
        <v>18</v>
      </c>
      <c r="CN42" s="13" t="str">
        <f>VLOOKUP($G42,'Visu totale'!$D$3:$DT$129,CN$1,0)</f>
        <v>NANCY_D</v>
      </c>
      <c r="CO42" s="13" t="str">
        <f>VLOOKUP($G42,'Visu totale'!$D$3:$DT$129,CO$1,0)</f>
        <v>NANCY_D</v>
      </c>
      <c r="CP42" s="13" t="str">
        <f>VLOOKUP($G42,'Visu totale'!$D$3:$DT$129,CP$1,0)</f>
        <v>NANCY_D</v>
      </c>
      <c r="CQ42" s="13" t="str">
        <f>VLOOKUP($G42,'Visu totale'!$D$3:$DT$129,CQ$1,0)</f>
        <v>NANCY_D</v>
      </c>
      <c r="CR42" s="13">
        <f>VLOOKUP($G42,'Visu totale'!$D$3:$DT$129,CR$1,0)</f>
        <v>18</v>
      </c>
      <c r="CS42" s="13">
        <f>VLOOKUP($G42,'Visu totale'!$D$3:$DT$129,CS$1,0)</f>
        <v>18</v>
      </c>
      <c r="CT42" s="13">
        <f>VLOOKUP($G42,'Visu totale'!$D$3:$DT$129,CT$1,0)</f>
        <v>18</v>
      </c>
      <c r="CU42" s="13">
        <f>VLOOKUP($G42,'Visu totale'!$D$3:$DT$129,CU$1,0)</f>
        <v>18</v>
      </c>
      <c r="CV42" s="13">
        <f>VLOOKUP($G42,'Visu totale'!$D$3:$DT$129,CV$1,0)</f>
        <v>18</v>
      </c>
      <c r="CW42" s="13">
        <f>VLOOKUP($G42,'Visu totale'!$D$3:$DT$129,CW$1,0)</f>
        <v>18</v>
      </c>
      <c r="CX42" s="15">
        <f>VLOOKUP($G42,'Visu totale'!$D$3:$DT$129,CX$1,0)</f>
        <v>18</v>
      </c>
      <c r="CY42" s="14">
        <f>VLOOKUP($G42,'Visu totale'!$D$3:$DT$129,CY$1,0)</f>
        <v>0</v>
      </c>
      <c r="CZ42" s="13">
        <f>VLOOKUP($G42,'Visu totale'!$D$3:$DT$129,CZ$1,0)</f>
        <v>0</v>
      </c>
      <c r="DA42" s="13">
        <f>VLOOKUP($G42,'Visu totale'!$D$3:$DT$129,DA$1,0)</f>
        <v>0</v>
      </c>
      <c r="DB42" s="13">
        <f>VLOOKUP($G42,'Visu totale'!$D$3:$DT$129,DB$1,0)</f>
        <v>0</v>
      </c>
      <c r="DC42" s="13">
        <f>VLOOKUP($G42,'Visu totale'!$D$3:$DT$129,DC$1,0)</f>
        <v>0</v>
      </c>
      <c r="DD42" s="13">
        <f>VLOOKUP($G42,'Visu totale'!$D$3:$DT$129,DD$1,0)</f>
        <v>0</v>
      </c>
      <c r="DE42" s="13">
        <f>VLOOKUP($G42,'Visu totale'!$D$3:$DT$129,DE$1,0)</f>
        <v>0</v>
      </c>
      <c r="DF42" s="13">
        <f>VLOOKUP($G42,'Visu totale'!$D$3:$DT$129,DF$1,0)</f>
        <v>0</v>
      </c>
      <c r="DG42" s="13">
        <f>VLOOKUP($G42,'Visu totale'!$D$3:$DT$129,DG$1,0)</f>
        <v>0</v>
      </c>
      <c r="DH42" s="13">
        <f>VLOOKUP($G42,'Visu totale'!$D$3:$DT$129,DH$1,0)</f>
        <v>0</v>
      </c>
      <c r="DI42" s="13">
        <f>VLOOKUP($G42,'Visu totale'!$D$3:$DT$129,DI$1,0)</f>
        <v>0</v>
      </c>
      <c r="DJ42" s="15">
        <f>VLOOKUP($G42,'Visu totale'!$D$3:$DT$129,DJ$1,0)</f>
        <v>0</v>
      </c>
      <c r="DK42" s="14">
        <f>VLOOKUP($G42,'Visu totale'!$D$3:$DT$129,DK$1,0)</f>
        <v>0</v>
      </c>
      <c r="DL42" s="13">
        <f>VLOOKUP($G42,'Visu totale'!$D$3:$DT$129,DL$1,0)</f>
        <v>0</v>
      </c>
      <c r="DM42" s="13">
        <f>VLOOKUP($G42,'Visu totale'!$D$3:$DT$129,DM$1,0)</f>
        <v>0</v>
      </c>
      <c r="DN42" s="13">
        <f>VLOOKUP($G42,'Visu totale'!$D$3:$DT$129,DN$1,0)</f>
        <v>0</v>
      </c>
      <c r="DO42" s="13">
        <f>VLOOKUP($G42,'Visu totale'!$D$3:$DT$129,DO$1,0)</f>
        <v>0</v>
      </c>
      <c r="DP42" s="13">
        <f>VLOOKUP($G42,'Visu totale'!$D$3:$DT$129,DP$1,0)</f>
        <v>0</v>
      </c>
      <c r="DQ42" s="13">
        <f>VLOOKUP($G42,'Visu totale'!$D$3:$DT$129,DQ$1,0)</f>
        <v>0</v>
      </c>
      <c r="DR42" s="13">
        <f>VLOOKUP($G42,'Visu totale'!$D$3:$DT$129,DR$1,0)</f>
        <v>0</v>
      </c>
      <c r="DS42" s="13">
        <f>VLOOKUP($G42,'Visu totale'!$D$3:$DT$129,DS$1,0)</f>
        <v>0</v>
      </c>
      <c r="DT42" s="13">
        <f>VLOOKUP($G42,'Visu totale'!$D$3:$DT$129,DT$1,0)</f>
        <v>0</v>
      </c>
      <c r="DU42" s="13">
        <f>VLOOKUP($G42,'Visu totale'!$D$3:$DT$129,DU$1,0)</f>
        <v>0</v>
      </c>
      <c r="DV42" s="15">
        <f>VLOOKUP($G42,'Visu totale'!$D$3:$DT$129,DV$1,0)</f>
        <v>0</v>
      </c>
    </row>
    <row r="43" spans="1:126" x14ac:dyDescent="0.25">
      <c r="A43" s="13"/>
      <c r="B43" s="13"/>
      <c r="C43" s="13"/>
      <c r="D43" s="16"/>
      <c r="E43" s="14"/>
      <c r="F43" s="13"/>
      <c r="G43" s="17" t="s">
        <v>45</v>
      </c>
      <c r="H43" s="13">
        <f>VLOOKUP($G43,'Visu totale'!$D$3:$DT$129,H$1,0)</f>
        <v>18</v>
      </c>
      <c r="I43" s="13" t="str">
        <f>VLOOKUP($G43,'Visu totale'!$D$3:$DT$129,I$1,0)</f>
        <v>NANCY_D</v>
      </c>
      <c r="J43" s="13" t="str">
        <f>VLOOKUP($G43,'Visu totale'!$D$3:$DT$129,J$1,0)</f>
        <v>NANCY_D</v>
      </c>
      <c r="K43" s="13" t="str">
        <f>VLOOKUP($G43,'Visu totale'!$D$3:$DT$129,K$1,0)</f>
        <v>NANCY_D</v>
      </c>
      <c r="L43" s="13" t="str">
        <f>VLOOKUP($G43,'Visu totale'!$D$3:$DT$129,L$1,0)</f>
        <v>NANCY_D</v>
      </c>
      <c r="M43" s="13">
        <f>VLOOKUP($G43,'Visu totale'!$D$3:$DT$129,M$1,0)</f>
        <v>18</v>
      </c>
      <c r="N43" s="13">
        <f>VLOOKUP($G43,'Visu totale'!$D$3:$DT$129,N$1,0)</f>
        <v>18</v>
      </c>
      <c r="O43" s="13" t="str">
        <f>VLOOKUP($G43,'Visu totale'!$D$3:$DT$129,O$1,0)</f>
        <v>NANCY_D</v>
      </c>
      <c r="P43" s="13" t="str">
        <f>VLOOKUP($G43,'Visu totale'!$D$3:$DT$129,P$1,0)</f>
        <v>NANCY_D</v>
      </c>
      <c r="Q43" s="13" t="str">
        <f>VLOOKUP($G43,'Visu totale'!$D$3:$DT$129,Q$1,0)</f>
        <v>NANCY_D</v>
      </c>
      <c r="R43" s="15" t="str">
        <f>VLOOKUP($G43,'Visu totale'!$D$3:$DT$129,R$1,0)</f>
        <v>NANCY_D</v>
      </c>
      <c r="S43" s="14">
        <f>VLOOKUP($G43,'Visu totale'!$D$3:$DT$129,S$1,0)</f>
        <v>18</v>
      </c>
      <c r="T43" s="13">
        <f>VLOOKUP($G43,'Visu totale'!$D$3:$DT$129,T$1,0)</f>
        <v>18</v>
      </c>
      <c r="U43" s="13" t="str">
        <f>VLOOKUP($G43,'Visu totale'!$D$3:$DT$129,U$1,0)</f>
        <v>NANCY_D</v>
      </c>
      <c r="V43" s="13" t="str">
        <f>VLOOKUP($G43,'Visu totale'!$D$3:$DT$129,V$1,0)</f>
        <v>NANCY_D</v>
      </c>
      <c r="W43" s="13" t="str">
        <f>VLOOKUP($G43,'Visu totale'!$D$3:$DT$129,W$1,0)</f>
        <v>NANCY_D</v>
      </c>
      <c r="X43" s="13" t="str">
        <f>VLOOKUP($G43,'Visu totale'!$D$3:$DT$129,X$1,0)</f>
        <v>NANCY_D</v>
      </c>
      <c r="Y43" s="13">
        <f>VLOOKUP($G43,'Visu totale'!$D$3:$DT$129,Y$1,0)</f>
        <v>18</v>
      </c>
      <c r="Z43" s="13">
        <f>VLOOKUP($G43,'Visu totale'!$D$3:$DT$129,Z$1,0)</f>
        <v>18</v>
      </c>
      <c r="AA43" s="13" t="str">
        <f>VLOOKUP($G43,'Visu totale'!$D$3:$DT$129,AA$1,0)</f>
        <v>NDJAMENA_D</v>
      </c>
      <c r="AB43" s="13" t="str">
        <f>VLOOKUP($G43,'Visu totale'!$D$3:$DT$129,AB$1,0)</f>
        <v>NDJAMENA_D</v>
      </c>
      <c r="AC43" s="13" t="str">
        <f>VLOOKUP($G43,'Visu totale'!$D$3:$DT$129,AC$1,0)</f>
        <v>NDJAMENA_D</v>
      </c>
      <c r="AD43" s="15" t="str">
        <f>VLOOKUP($G43,'Visu totale'!$D$3:$DT$129,AD$1,0)</f>
        <v>NDJAMENA_D</v>
      </c>
      <c r="AE43" s="14">
        <f>VLOOKUP($G43,'Visu totale'!$D$3:$DT$129,AE$1,0)</f>
        <v>18</v>
      </c>
      <c r="AF43" s="13">
        <f>VLOOKUP($G43,'Visu totale'!$D$3:$DT$129,AF$1,0)</f>
        <v>18</v>
      </c>
      <c r="AG43" s="13">
        <f>VLOOKUP($G43,'Visu totale'!$D$3:$DT$129,AG$1,0)</f>
        <v>18</v>
      </c>
      <c r="AH43" s="13">
        <f>VLOOKUP($G43,'Visu totale'!$D$3:$DT$129,AH$1,0)</f>
        <v>18</v>
      </c>
      <c r="AI43" s="13">
        <f>VLOOKUP($G43,'Visu totale'!$D$3:$DT$129,AI$1,0)</f>
        <v>18</v>
      </c>
      <c r="AJ43" s="13">
        <f>VLOOKUP($G43,'Visu totale'!$D$3:$DT$129,AJ$1,0)</f>
        <v>18</v>
      </c>
      <c r="AK43" s="13">
        <f>VLOOKUP($G43,'Visu totale'!$D$3:$DT$129,AK$1,0)</f>
        <v>0</v>
      </c>
      <c r="AL43" s="13">
        <f>VLOOKUP($G43,'Visu totale'!$D$3:$DT$129,AL$1,0)</f>
        <v>0</v>
      </c>
      <c r="AM43" s="13">
        <f>VLOOKUP($G43,'Visu totale'!$D$3:$DT$129,AM$1,0)</f>
        <v>0</v>
      </c>
      <c r="AN43" s="13">
        <f>VLOOKUP($G43,'Visu totale'!$D$3:$DT$129,AN$1,0)</f>
        <v>0</v>
      </c>
      <c r="AO43" s="13">
        <f>VLOOKUP($G43,'Visu totale'!$D$3:$DT$129,AO$1,0)</f>
        <v>0</v>
      </c>
      <c r="AP43" s="15">
        <f>VLOOKUP($G43,'Visu totale'!$D$3:$DT$129,AP$1,0)</f>
        <v>0</v>
      </c>
      <c r="AQ43" s="14">
        <f>VLOOKUP($G43,'Visu totale'!$D$3:$DT$129,AQ$1,0)</f>
        <v>0</v>
      </c>
      <c r="AR43" s="13" t="str">
        <f>VLOOKUP($G43,'Visu totale'!$D$3:$DT$129,AR$1,0)</f>
        <v>V10</v>
      </c>
      <c r="AS43" s="13" t="str">
        <f>VLOOKUP($G43,'Visu totale'!$D$3:$DT$129,AS$1,0)</f>
        <v>V10</v>
      </c>
      <c r="AT43" s="13" t="str">
        <f>VLOOKUP($G43,'Visu totale'!$D$3:$DT$129,AT$1,0)</f>
        <v>V10</v>
      </c>
      <c r="AU43" s="13" t="str">
        <f>VLOOKUP($G43,'Visu totale'!$D$3:$DT$129,AU$1,0)</f>
        <v>V10</v>
      </c>
      <c r="AV43" s="13" t="str">
        <f>VLOOKUP($G43,'Visu totale'!$D$3:$DT$129,AV$1,0)</f>
        <v>V10</v>
      </c>
      <c r="AW43" s="13" t="str">
        <f>VLOOKUP($G43,'Visu totale'!$D$3:$DT$129,AW$1,0)</f>
        <v>V10</v>
      </c>
      <c r="AX43" s="13">
        <f>VLOOKUP($G43,'Visu totale'!$D$3:$DT$129,AX$1,0)</f>
        <v>18</v>
      </c>
      <c r="AY43" s="13">
        <f>VLOOKUP($G43,'Visu totale'!$D$3:$DT$129,AY$1,0)</f>
        <v>18</v>
      </c>
      <c r="AZ43" s="13" t="str">
        <f>VLOOKUP($G43,'Visu totale'!$D$3:$DT$129,AZ$1,0)</f>
        <v>CHAMMAL_D</v>
      </c>
      <c r="BA43" s="13" t="str">
        <f>VLOOKUP($G43,'Visu totale'!$D$3:$DT$129,BA$1,0)</f>
        <v>CHAMMAL_D</v>
      </c>
      <c r="BB43" s="15" t="str">
        <f>VLOOKUP($G43,'Visu totale'!$D$3:$DT$129,BB$1,0)</f>
        <v>CHAMMAL_D</v>
      </c>
      <c r="BC43" s="14" t="str">
        <f>VLOOKUP($G43,'Visu totale'!$D$3:$DT$129,BC$1,0)</f>
        <v>CHAMMAL_D</v>
      </c>
      <c r="BD43" s="13">
        <f>VLOOKUP($G43,'Visu totale'!$D$3:$DT$129,BD$1,0)</f>
        <v>18</v>
      </c>
      <c r="BE43" s="13">
        <f>VLOOKUP($G43,'Visu totale'!$D$3:$DT$129,BE$1,0)</f>
        <v>18</v>
      </c>
      <c r="BF43" s="13" t="str">
        <f>VLOOKUP($G43,'Visu totale'!$D$3:$DT$129,BF$1,0)</f>
        <v>CHAMMAL_D</v>
      </c>
      <c r="BG43" s="13" t="str">
        <f>VLOOKUP($G43,'Visu totale'!$D$3:$DT$129,BG$1,0)</f>
        <v>CHAMMAL_D</v>
      </c>
      <c r="BH43" s="13" t="str">
        <f>VLOOKUP($G43,'Visu totale'!$D$3:$DT$129,BH$1,0)</f>
        <v>CHAMMAL_D</v>
      </c>
      <c r="BI43" s="13" t="str">
        <f>VLOOKUP($G43,'Visu totale'!$D$3:$DT$129,BI$1,0)</f>
        <v>CHAMMAL_D</v>
      </c>
      <c r="BJ43" s="13">
        <f>VLOOKUP($G43,'Visu totale'!$D$3:$DT$129,BJ$1,0)</f>
        <v>18</v>
      </c>
      <c r="BK43" s="13">
        <f>VLOOKUP($G43,'Visu totale'!$D$3:$DT$129,BK$1,0)</f>
        <v>18</v>
      </c>
      <c r="BL43" s="13" t="str">
        <f>VLOOKUP($G43,'Visu totale'!$D$3:$DT$129,BL$1,0)</f>
        <v>NANCY_D</v>
      </c>
      <c r="BM43" s="13" t="str">
        <f>VLOOKUP($G43,'Visu totale'!$D$3:$DT$129,BM$1,0)</f>
        <v>NANCY_D</v>
      </c>
      <c r="BN43" s="15" t="str">
        <f>VLOOKUP($G43,'Visu totale'!$D$3:$DT$129,BN$1,0)</f>
        <v>NANCY_D</v>
      </c>
      <c r="BO43" s="14">
        <f>VLOOKUP($G43,'Visu totale'!$D$3:$DT$129,BO$1,0)</f>
        <v>0</v>
      </c>
      <c r="BP43" s="13">
        <f>VLOOKUP($G43,'Visu totale'!$D$3:$DT$129,BP$1,0)</f>
        <v>0</v>
      </c>
      <c r="BQ43" s="13">
        <f>VLOOKUP($G43,'Visu totale'!$D$3:$DT$129,BQ$1,0)</f>
        <v>0</v>
      </c>
      <c r="BR43" s="13">
        <f>VLOOKUP($G43,'Visu totale'!$D$3:$DT$129,BR$1,0)</f>
        <v>0</v>
      </c>
      <c r="BS43" s="13" t="str">
        <f>VLOOKUP($G43,'Visu totale'!$D$3:$DT$129,BS$1,0)</f>
        <v>V20</v>
      </c>
      <c r="BT43" s="13" t="str">
        <f>VLOOKUP($G43,'Visu totale'!$D$3:$DT$129,BT$1,0)</f>
        <v>V20</v>
      </c>
      <c r="BU43" s="13" t="str">
        <f>VLOOKUP($G43,'Visu totale'!$D$3:$DT$129,BU$1,0)</f>
        <v>V20</v>
      </c>
      <c r="BV43" s="13" t="str">
        <f>VLOOKUP($G43,'Visu totale'!$D$3:$DT$129,BV$1,0)</f>
        <v>V20</v>
      </c>
      <c r="BW43" s="13" t="str">
        <f>VLOOKUP($G43,'Visu totale'!$D$3:$DT$129,BW$1,0)</f>
        <v>V20</v>
      </c>
      <c r="BX43" s="13" t="str">
        <f>VLOOKUP($G43,'Visu totale'!$D$3:$DT$129,BX$1,0)</f>
        <v>V20</v>
      </c>
      <c r="BY43" s="13">
        <f>VLOOKUP($G43,'Visu totale'!$D$3:$DT$129,BY$1,0)</f>
        <v>18</v>
      </c>
      <c r="BZ43" s="15">
        <f>VLOOKUP($G43,'Visu totale'!$D$3:$DT$129,BZ$1,0)</f>
        <v>18</v>
      </c>
      <c r="CA43" s="14" t="str">
        <f>VLOOKUP($G43,'Visu totale'!$D$3:$DT$129,CA$1,0)</f>
        <v>NANCY_D</v>
      </c>
      <c r="CB43" s="13" t="str">
        <f>VLOOKUP($G43,'Visu totale'!$D$3:$DT$129,CB$1,0)</f>
        <v>NANCY_D</v>
      </c>
      <c r="CC43" s="13" t="str">
        <f>VLOOKUP($G43,'Visu totale'!$D$3:$DT$129,CC$1,0)</f>
        <v>NANCY_D</v>
      </c>
      <c r="CD43" s="13" t="str">
        <f>VLOOKUP($G43,'Visu totale'!$D$3:$DT$129,CD$1,0)</f>
        <v>NANCY_D</v>
      </c>
      <c r="CE43" s="13">
        <f>VLOOKUP($G43,'Visu totale'!$D$3:$DT$129,CE$1,0)</f>
        <v>18</v>
      </c>
      <c r="CF43" s="13">
        <f>VLOOKUP($G43,'Visu totale'!$D$3:$DT$129,CF$1,0)</f>
        <v>18</v>
      </c>
      <c r="CG43" s="13" t="str">
        <f>VLOOKUP($G43,'Visu totale'!$D$3:$DT$129,CG$1,0)</f>
        <v>NANCY_D</v>
      </c>
      <c r="CH43" s="13" t="str">
        <f>VLOOKUP($G43,'Visu totale'!$D$3:$DT$129,CH$1,0)</f>
        <v>NANCY_D</v>
      </c>
      <c r="CI43" s="13" t="str">
        <f>VLOOKUP($G43,'Visu totale'!$D$3:$DT$129,CI$1,0)</f>
        <v>NANCY_D</v>
      </c>
      <c r="CJ43" s="13" t="str">
        <f>VLOOKUP($G43,'Visu totale'!$D$3:$DT$129,CJ$1,0)</f>
        <v>NANCY_D</v>
      </c>
      <c r="CK43" s="13">
        <f>VLOOKUP($G43,'Visu totale'!$D$3:$DT$129,CK$1,0)</f>
        <v>18</v>
      </c>
      <c r="CL43" s="15">
        <f>VLOOKUP($G43,'Visu totale'!$D$3:$DT$129,CL$1,0)</f>
        <v>18</v>
      </c>
      <c r="CM43" s="14" t="str">
        <f>VLOOKUP($G43,'Visu totale'!$D$3:$DT$129,CM$1,0)</f>
        <v>NANCY_D</v>
      </c>
      <c r="CN43" s="13" t="str">
        <f>VLOOKUP($G43,'Visu totale'!$D$3:$DT$129,CN$1,0)</f>
        <v>NANCY_D</v>
      </c>
      <c r="CO43" s="13" t="str">
        <f>VLOOKUP($G43,'Visu totale'!$D$3:$DT$129,CO$1,0)</f>
        <v>NANCY_D</v>
      </c>
      <c r="CP43" s="13" t="str">
        <f>VLOOKUP($G43,'Visu totale'!$D$3:$DT$129,CP$1,0)</f>
        <v>NANCY_D</v>
      </c>
      <c r="CQ43" s="13">
        <f>VLOOKUP($G43,'Visu totale'!$D$3:$DT$129,CQ$1,0)</f>
        <v>18</v>
      </c>
      <c r="CR43" s="13">
        <f>VLOOKUP($G43,'Visu totale'!$D$3:$DT$129,CR$1,0)</f>
        <v>18</v>
      </c>
      <c r="CS43" s="13" t="str">
        <f>VLOOKUP($G43,'Visu totale'!$D$3:$DT$129,CS$1,0)</f>
        <v>NANCY_D</v>
      </c>
      <c r="CT43" s="13" t="str">
        <f>VLOOKUP($G43,'Visu totale'!$D$3:$DT$129,CT$1,0)</f>
        <v>NANCY_D</v>
      </c>
      <c r="CU43" s="13" t="str">
        <f>VLOOKUP($G43,'Visu totale'!$D$3:$DT$129,CU$1,0)</f>
        <v>NANCY_D</v>
      </c>
      <c r="CV43" s="13" t="str">
        <f>VLOOKUP($G43,'Visu totale'!$D$3:$DT$129,CV$1,0)</f>
        <v>NANCY_D</v>
      </c>
      <c r="CW43" s="13">
        <f>VLOOKUP($G43,'Visu totale'!$D$3:$DT$129,CW$1,0)</f>
        <v>18</v>
      </c>
      <c r="CX43" s="15">
        <f>VLOOKUP($G43,'Visu totale'!$D$3:$DT$129,CX$1,0)</f>
        <v>18</v>
      </c>
      <c r="CY43" s="14">
        <f>VLOOKUP($G43,'Visu totale'!$D$3:$DT$129,CY$1,0)</f>
        <v>0</v>
      </c>
      <c r="CZ43" s="13">
        <f>VLOOKUP($G43,'Visu totale'!$D$3:$DT$129,CZ$1,0)</f>
        <v>0</v>
      </c>
      <c r="DA43" s="13">
        <f>VLOOKUP($G43,'Visu totale'!$D$3:$DT$129,DA$1,0)</f>
        <v>0</v>
      </c>
      <c r="DB43" s="13">
        <f>VLOOKUP($G43,'Visu totale'!$D$3:$DT$129,DB$1,0)</f>
        <v>0</v>
      </c>
      <c r="DC43" s="13">
        <f>VLOOKUP($G43,'Visu totale'!$D$3:$DT$129,DC$1,0)</f>
        <v>0</v>
      </c>
      <c r="DD43" s="13">
        <f>VLOOKUP($G43,'Visu totale'!$D$3:$DT$129,DD$1,0)</f>
        <v>0</v>
      </c>
      <c r="DE43" s="13">
        <f>VLOOKUP($G43,'Visu totale'!$D$3:$DT$129,DE$1,0)</f>
        <v>0</v>
      </c>
      <c r="DF43" s="13">
        <f>VLOOKUP($G43,'Visu totale'!$D$3:$DT$129,DF$1,0)</f>
        <v>0</v>
      </c>
      <c r="DG43" s="13">
        <f>VLOOKUP($G43,'Visu totale'!$D$3:$DT$129,DG$1,0)</f>
        <v>0</v>
      </c>
      <c r="DH43" s="13">
        <f>VLOOKUP($G43,'Visu totale'!$D$3:$DT$129,DH$1,0)</f>
        <v>0</v>
      </c>
      <c r="DI43" s="13">
        <f>VLOOKUP($G43,'Visu totale'!$D$3:$DT$129,DI$1,0)</f>
        <v>0</v>
      </c>
      <c r="DJ43" s="15">
        <f>VLOOKUP($G43,'Visu totale'!$D$3:$DT$129,DJ$1,0)</f>
        <v>0</v>
      </c>
      <c r="DK43" s="14">
        <f>VLOOKUP($G43,'Visu totale'!$D$3:$DT$129,DK$1,0)</f>
        <v>0</v>
      </c>
      <c r="DL43" s="13">
        <f>VLOOKUP($G43,'Visu totale'!$D$3:$DT$129,DL$1,0)</f>
        <v>0</v>
      </c>
      <c r="DM43" s="13">
        <f>VLOOKUP($G43,'Visu totale'!$D$3:$DT$129,DM$1,0)</f>
        <v>0</v>
      </c>
      <c r="DN43" s="13">
        <f>VLOOKUP($G43,'Visu totale'!$D$3:$DT$129,DN$1,0)</f>
        <v>0</v>
      </c>
      <c r="DO43" s="13">
        <f>VLOOKUP($G43,'Visu totale'!$D$3:$DT$129,DO$1,0)</f>
        <v>0</v>
      </c>
      <c r="DP43" s="13">
        <f>VLOOKUP($G43,'Visu totale'!$D$3:$DT$129,DP$1,0)</f>
        <v>0</v>
      </c>
      <c r="DQ43" s="13">
        <f>VLOOKUP($G43,'Visu totale'!$D$3:$DT$129,DQ$1,0)</f>
        <v>0</v>
      </c>
      <c r="DR43" s="13">
        <f>VLOOKUP($G43,'Visu totale'!$D$3:$DT$129,DR$1,0)</f>
        <v>0</v>
      </c>
      <c r="DS43" s="13">
        <f>VLOOKUP($G43,'Visu totale'!$D$3:$DT$129,DS$1,0)</f>
        <v>0</v>
      </c>
      <c r="DT43" s="13">
        <f>VLOOKUP($G43,'Visu totale'!$D$3:$DT$129,DT$1,0)</f>
        <v>0</v>
      </c>
      <c r="DU43" s="13">
        <f>VLOOKUP($G43,'Visu totale'!$D$3:$DT$129,DU$1,0)</f>
        <v>0</v>
      </c>
      <c r="DV43" s="15">
        <f>VLOOKUP($G43,'Visu totale'!$D$3:$DT$129,DV$1,0)</f>
        <v>0</v>
      </c>
    </row>
    <row r="44" spans="1:126" x14ac:dyDescent="0.25">
      <c r="A44" s="13"/>
      <c r="B44" s="13"/>
      <c r="C44" s="13"/>
      <c r="D44" s="16"/>
      <c r="E44" s="14"/>
      <c r="F44" s="13"/>
      <c r="G44" s="17" t="s">
        <v>46</v>
      </c>
      <c r="H44" s="13">
        <f>VLOOKUP($G44,'Visu totale'!$D$3:$DT$129,H$1,0)</f>
        <v>18</v>
      </c>
      <c r="I44" s="13" t="str">
        <f>VLOOKUP($G44,'Visu totale'!$D$3:$DT$129,I$1,0)</f>
        <v>NANCY_D</v>
      </c>
      <c r="J44" s="13" t="str">
        <f>VLOOKUP($G44,'Visu totale'!$D$3:$DT$129,J$1,0)</f>
        <v>NANCY_D</v>
      </c>
      <c r="K44" s="13" t="str">
        <f>VLOOKUP($G44,'Visu totale'!$D$3:$DT$129,K$1,0)</f>
        <v>NANCY_D</v>
      </c>
      <c r="L44" s="13" t="str">
        <f>VLOOKUP($G44,'Visu totale'!$D$3:$DT$129,L$1,0)</f>
        <v>NANCY_D</v>
      </c>
      <c r="M44" s="13">
        <f>VLOOKUP($G44,'Visu totale'!$D$3:$DT$129,M$1,0)</f>
        <v>18</v>
      </c>
      <c r="N44" s="13">
        <f>VLOOKUP($G44,'Visu totale'!$D$3:$DT$129,N$1,0)</f>
        <v>18</v>
      </c>
      <c r="O44" s="13" t="str">
        <f>VLOOKUP($G44,'Visu totale'!$D$3:$DT$129,O$1,0)</f>
        <v>NANCY_D</v>
      </c>
      <c r="P44" s="13" t="str">
        <f>VLOOKUP($G44,'Visu totale'!$D$3:$DT$129,P$1,0)</f>
        <v>NANCY_D</v>
      </c>
      <c r="Q44" s="13" t="str">
        <f>VLOOKUP($G44,'Visu totale'!$D$3:$DT$129,Q$1,0)</f>
        <v>NANCY_D</v>
      </c>
      <c r="R44" s="15" t="str">
        <f>VLOOKUP($G44,'Visu totale'!$D$3:$DT$129,R$1,0)</f>
        <v>NANCY_D</v>
      </c>
      <c r="S44" s="14">
        <f>VLOOKUP($G44,'Visu totale'!$D$3:$DT$129,S$1,0)</f>
        <v>18</v>
      </c>
      <c r="T44" s="13">
        <f>VLOOKUP($G44,'Visu totale'!$D$3:$DT$129,T$1,0)</f>
        <v>18</v>
      </c>
      <c r="U44" s="13" t="str">
        <f>VLOOKUP($G44,'Visu totale'!$D$3:$DT$129,U$1,0)</f>
        <v>NANCY_D</v>
      </c>
      <c r="V44" s="13" t="str">
        <f>VLOOKUP($G44,'Visu totale'!$D$3:$DT$129,V$1,0)</f>
        <v>NANCY_D</v>
      </c>
      <c r="W44" s="13" t="str">
        <f>VLOOKUP($G44,'Visu totale'!$D$3:$DT$129,W$1,0)</f>
        <v>NANCY_D</v>
      </c>
      <c r="X44" s="13" t="str">
        <f>VLOOKUP($G44,'Visu totale'!$D$3:$DT$129,X$1,0)</f>
        <v>NANCY_D</v>
      </c>
      <c r="Y44" s="13">
        <f>VLOOKUP($G44,'Visu totale'!$D$3:$DT$129,Y$1,0)</f>
        <v>18</v>
      </c>
      <c r="Z44" s="13">
        <f>VLOOKUP($G44,'Visu totale'!$D$3:$DT$129,Z$1,0)</f>
        <v>18</v>
      </c>
      <c r="AA44" s="13" t="str">
        <f>VLOOKUP($G44,'Visu totale'!$D$3:$DT$129,AA$1,0)</f>
        <v>CHAMMAL_D</v>
      </c>
      <c r="AB44" s="13" t="str">
        <f>VLOOKUP($G44,'Visu totale'!$D$3:$DT$129,AB$1,0)</f>
        <v>CHAMMAL_D</v>
      </c>
      <c r="AC44" s="13" t="str">
        <f>VLOOKUP($G44,'Visu totale'!$D$3:$DT$129,AC$1,0)</f>
        <v>CHAMMAL_D</v>
      </c>
      <c r="AD44" s="15" t="str">
        <f>VLOOKUP($G44,'Visu totale'!$D$3:$DT$129,AD$1,0)</f>
        <v>CHAMMAL_D</v>
      </c>
      <c r="AE44" s="14">
        <f>VLOOKUP($G44,'Visu totale'!$D$3:$DT$129,AE$1,0)</f>
        <v>18</v>
      </c>
      <c r="AF44" s="13">
        <f>VLOOKUP($G44,'Visu totale'!$D$3:$DT$129,AF$1,0)</f>
        <v>18</v>
      </c>
      <c r="AG44" s="13" t="str">
        <f>VLOOKUP($G44,'Visu totale'!$D$3:$DT$129,AG$1,0)</f>
        <v>NANCY_D</v>
      </c>
      <c r="AH44" s="13" t="str">
        <f>VLOOKUP($G44,'Visu totale'!$D$3:$DT$129,AH$1,0)</f>
        <v>NANCY_D</v>
      </c>
      <c r="AI44" s="13" t="str">
        <f>VLOOKUP($G44,'Visu totale'!$D$3:$DT$129,AI$1,0)</f>
        <v>NANCY_D</v>
      </c>
      <c r="AJ44" s="13" t="str">
        <f>VLOOKUP($G44,'Visu totale'!$D$3:$DT$129,AJ$1,0)</f>
        <v>NANCY_D</v>
      </c>
      <c r="AK44" s="13">
        <f>VLOOKUP($G44,'Visu totale'!$D$3:$DT$129,AK$1,0)</f>
        <v>18</v>
      </c>
      <c r="AL44" s="13">
        <f>VLOOKUP($G44,'Visu totale'!$D$3:$DT$129,AL$1,0)</f>
        <v>18</v>
      </c>
      <c r="AM44" s="13" t="str">
        <f>VLOOKUP($G44,'Visu totale'!$D$3:$DT$129,AM$1,0)</f>
        <v>NANCY_D</v>
      </c>
      <c r="AN44" s="13" t="str">
        <f>VLOOKUP($G44,'Visu totale'!$D$3:$DT$129,AN$1,0)</f>
        <v>NANCY_D</v>
      </c>
      <c r="AO44" s="13" t="str">
        <f>VLOOKUP($G44,'Visu totale'!$D$3:$DT$129,AO$1,0)</f>
        <v>NANCY_D</v>
      </c>
      <c r="AP44" s="15" t="str">
        <f>VLOOKUP($G44,'Visu totale'!$D$3:$DT$129,AP$1,0)</f>
        <v>NANCY_D</v>
      </c>
      <c r="AQ44" s="14">
        <f>VLOOKUP($G44,'Visu totale'!$D$3:$DT$129,AQ$1,0)</f>
        <v>18</v>
      </c>
      <c r="AR44" s="13">
        <f>VLOOKUP($G44,'Visu totale'!$D$3:$DT$129,AR$1,0)</f>
        <v>18</v>
      </c>
      <c r="AS44" s="13">
        <f>VLOOKUP($G44,'Visu totale'!$D$3:$DT$129,AS$1,0)</f>
        <v>18</v>
      </c>
      <c r="AT44" s="13">
        <f>VLOOKUP($G44,'Visu totale'!$D$3:$DT$129,AT$1,0)</f>
        <v>18</v>
      </c>
      <c r="AU44" s="13">
        <f>VLOOKUP($G44,'Visu totale'!$D$3:$DT$129,AU$1,0)</f>
        <v>18</v>
      </c>
      <c r="AV44" s="13">
        <f>VLOOKUP($G44,'Visu totale'!$D$3:$DT$129,AV$1,0)</f>
        <v>18</v>
      </c>
      <c r="AW44" s="13">
        <f>VLOOKUP($G44,'Visu totale'!$D$3:$DT$129,AW$1,0)</f>
        <v>0</v>
      </c>
      <c r="AX44" s="13">
        <f>VLOOKUP($G44,'Visu totale'!$D$3:$DT$129,AX$1,0)</f>
        <v>0</v>
      </c>
      <c r="AY44" s="13">
        <f>VLOOKUP($G44,'Visu totale'!$D$3:$DT$129,AY$1,0)</f>
        <v>0</v>
      </c>
      <c r="AZ44" s="13" t="str">
        <f>VLOOKUP($G44,'Visu totale'!$D$3:$DT$129,AZ$1,0)</f>
        <v>V20</v>
      </c>
      <c r="BA44" s="13" t="str">
        <f>VLOOKUP($G44,'Visu totale'!$D$3:$DT$129,BA$1,0)</f>
        <v>V20</v>
      </c>
      <c r="BB44" s="15" t="str">
        <f>VLOOKUP($G44,'Visu totale'!$D$3:$DT$129,BB$1,0)</f>
        <v>V20</v>
      </c>
      <c r="BC44" s="14" t="str">
        <f>VLOOKUP($G44,'Visu totale'!$D$3:$DT$129,BC$1,0)</f>
        <v>V20</v>
      </c>
      <c r="BD44" s="13" t="str">
        <f>VLOOKUP($G44,'Visu totale'!$D$3:$DT$129,BD$1,0)</f>
        <v>V20</v>
      </c>
      <c r="BE44" s="13" t="str">
        <f>VLOOKUP($G44,'Visu totale'!$D$3:$DT$129,BE$1,0)</f>
        <v>V20</v>
      </c>
      <c r="BF44" s="13">
        <f>VLOOKUP($G44,'Visu totale'!$D$3:$DT$129,BF$1,0)</f>
        <v>18</v>
      </c>
      <c r="BG44" s="13">
        <f>VLOOKUP($G44,'Visu totale'!$D$3:$DT$129,BG$1,0)</f>
        <v>18</v>
      </c>
      <c r="BH44" s="13" t="str">
        <f>VLOOKUP($G44,'Visu totale'!$D$3:$DT$129,BH$1,0)</f>
        <v>NIAMEY_D</v>
      </c>
      <c r="BI44" s="13" t="str">
        <f>VLOOKUP($G44,'Visu totale'!$D$3:$DT$129,BI$1,0)</f>
        <v>NIAMEY_D</v>
      </c>
      <c r="BJ44" s="13" t="str">
        <f>VLOOKUP($G44,'Visu totale'!$D$3:$DT$129,BJ$1,0)</f>
        <v>NIAMEY_D</v>
      </c>
      <c r="BK44" s="13" t="str">
        <f>VLOOKUP($G44,'Visu totale'!$D$3:$DT$129,BK$1,0)</f>
        <v>NIAMEY_D</v>
      </c>
      <c r="BL44" s="13">
        <f>VLOOKUP($G44,'Visu totale'!$D$3:$DT$129,BL$1,0)</f>
        <v>18</v>
      </c>
      <c r="BM44" s="13">
        <f>VLOOKUP($G44,'Visu totale'!$D$3:$DT$129,BM$1,0)</f>
        <v>18</v>
      </c>
      <c r="BN44" s="15" t="str">
        <f>VLOOKUP($G44,'Visu totale'!$D$3:$DT$129,BN$1,0)</f>
        <v>CHAMMAL_D</v>
      </c>
      <c r="BO44" s="14" t="str">
        <f>VLOOKUP($G44,'Visu totale'!$D$3:$DT$129,BO$1,0)</f>
        <v>V20</v>
      </c>
      <c r="BP44" s="13" t="str">
        <f>VLOOKUP($G44,'Visu totale'!$D$3:$DT$129,BP$1,0)</f>
        <v>V20</v>
      </c>
      <c r="BQ44" s="13">
        <f>VLOOKUP($G44,'Visu totale'!$D$3:$DT$129,BQ$1,0)</f>
        <v>18</v>
      </c>
      <c r="BR44" s="13">
        <f>VLOOKUP($G44,'Visu totale'!$D$3:$DT$129,BR$1,0)</f>
        <v>18</v>
      </c>
      <c r="BS44" s="13" t="str">
        <f>VLOOKUP($G44,'Visu totale'!$D$3:$DT$129,BS$1,0)</f>
        <v>NANCY_D</v>
      </c>
      <c r="BT44" s="13" t="str">
        <f>VLOOKUP($G44,'Visu totale'!$D$3:$DT$129,BT$1,0)</f>
        <v>NANCY_D</v>
      </c>
      <c r="BU44" s="13" t="str">
        <f>VLOOKUP($G44,'Visu totale'!$D$3:$DT$129,BU$1,0)</f>
        <v>NANCY_D</v>
      </c>
      <c r="BV44" s="13" t="str">
        <f>VLOOKUP($G44,'Visu totale'!$D$3:$DT$129,BV$1,0)</f>
        <v>NANCY_D</v>
      </c>
      <c r="BW44" s="13">
        <f>VLOOKUP($G44,'Visu totale'!$D$3:$DT$129,BW$1,0)</f>
        <v>18</v>
      </c>
      <c r="BX44" s="13">
        <f>VLOOKUP($G44,'Visu totale'!$D$3:$DT$129,BX$1,0)</f>
        <v>18</v>
      </c>
      <c r="BY44" s="13" t="str">
        <f>VLOOKUP($G44,'Visu totale'!$D$3:$DT$129,BY$1,0)</f>
        <v>NANCY_D</v>
      </c>
      <c r="BZ44" s="15" t="str">
        <f>VLOOKUP($G44,'Visu totale'!$D$3:$DT$129,BZ$1,0)</f>
        <v>NANCY_D</v>
      </c>
      <c r="CA44" s="14" t="str">
        <f>VLOOKUP($G44,'Visu totale'!$D$3:$DT$129,CA$1,0)</f>
        <v>NANCY_D</v>
      </c>
      <c r="CB44" s="13" t="str">
        <f>VLOOKUP($G44,'Visu totale'!$D$3:$DT$129,CB$1,0)</f>
        <v>NANCY_D</v>
      </c>
      <c r="CC44" s="13">
        <f>VLOOKUP($G44,'Visu totale'!$D$3:$DT$129,CC$1,0)</f>
        <v>18</v>
      </c>
      <c r="CD44" s="13">
        <f>VLOOKUP($G44,'Visu totale'!$D$3:$DT$129,CD$1,0)</f>
        <v>18</v>
      </c>
      <c r="CE44" s="13" t="str">
        <f>VLOOKUP($G44,'Visu totale'!$D$3:$DT$129,CE$1,0)</f>
        <v>NANCY_D</v>
      </c>
      <c r="CF44" s="13" t="str">
        <f>VLOOKUP($G44,'Visu totale'!$D$3:$DT$129,CF$1,0)</f>
        <v>NANCY_D</v>
      </c>
      <c r="CG44" s="13" t="str">
        <f>VLOOKUP($G44,'Visu totale'!$D$3:$DT$129,CG$1,0)</f>
        <v>NANCY_D</v>
      </c>
      <c r="CH44" s="13" t="str">
        <f>VLOOKUP($G44,'Visu totale'!$D$3:$DT$129,CH$1,0)</f>
        <v>NANCY_D</v>
      </c>
      <c r="CI44" s="13">
        <f>VLOOKUP($G44,'Visu totale'!$D$3:$DT$129,CI$1,0)</f>
        <v>18</v>
      </c>
      <c r="CJ44" s="13">
        <f>VLOOKUP($G44,'Visu totale'!$D$3:$DT$129,CJ$1,0)</f>
        <v>18</v>
      </c>
      <c r="CK44" s="13" t="str">
        <f>VLOOKUP($G44,'Visu totale'!$D$3:$DT$129,CK$1,0)</f>
        <v>NANCY_D</v>
      </c>
      <c r="CL44" s="15" t="str">
        <f>VLOOKUP($G44,'Visu totale'!$D$3:$DT$129,CL$1,0)</f>
        <v>NANCY_D</v>
      </c>
      <c r="CM44" s="14" t="str">
        <f>VLOOKUP($G44,'Visu totale'!$D$3:$DT$129,CM$1,0)</f>
        <v>NANCY_D</v>
      </c>
      <c r="CN44" s="13" t="str">
        <f>VLOOKUP($G44,'Visu totale'!$D$3:$DT$129,CN$1,0)</f>
        <v>NANCY_D</v>
      </c>
      <c r="CO44" s="13">
        <f>VLOOKUP($G44,'Visu totale'!$D$3:$DT$129,CO$1,0)</f>
        <v>18</v>
      </c>
      <c r="CP44" s="13">
        <f>VLOOKUP($G44,'Visu totale'!$D$3:$DT$129,CP$1,0)</f>
        <v>18</v>
      </c>
      <c r="CQ44" s="13" t="str">
        <f>VLOOKUP($G44,'Visu totale'!$D$3:$DT$129,CQ$1,0)</f>
        <v>NANCY_D</v>
      </c>
      <c r="CR44" s="13" t="str">
        <f>VLOOKUP($G44,'Visu totale'!$D$3:$DT$129,CR$1,0)</f>
        <v>NANCY_D</v>
      </c>
      <c r="CS44" s="13" t="str">
        <f>VLOOKUP($G44,'Visu totale'!$D$3:$DT$129,CS$1,0)</f>
        <v>NANCY_D</v>
      </c>
      <c r="CT44" s="13" t="str">
        <f>VLOOKUP($G44,'Visu totale'!$D$3:$DT$129,CT$1,0)</f>
        <v>NANCY_D</v>
      </c>
      <c r="CU44" s="13">
        <f>VLOOKUP($G44,'Visu totale'!$D$3:$DT$129,CU$1,0)</f>
        <v>18</v>
      </c>
      <c r="CV44" s="13">
        <f>VLOOKUP($G44,'Visu totale'!$D$3:$DT$129,CV$1,0)</f>
        <v>18</v>
      </c>
      <c r="CW44" s="13">
        <f>VLOOKUP($G44,'Visu totale'!$D$3:$DT$129,CW$1,0)</f>
        <v>18</v>
      </c>
      <c r="CX44" s="15">
        <f>VLOOKUP($G44,'Visu totale'!$D$3:$DT$129,CX$1,0)</f>
        <v>18</v>
      </c>
      <c r="CY44" s="14">
        <f>VLOOKUP($G44,'Visu totale'!$D$3:$DT$129,CY$1,0)</f>
        <v>0</v>
      </c>
      <c r="CZ44" s="13">
        <f>VLOOKUP($G44,'Visu totale'!$D$3:$DT$129,CZ$1,0)</f>
        <v>0</v>
      </c>
      <c r="DA44" s="13">
        <f>VLOOKUP($G44,'Visu totale'!$D$3:$DT$129,DA$1,0)</f>
        <v>0</v>
      </c>
      <c r="DB44" s="13">
        <f>VLOOKUP($G44,'Visu totale'!$D$3:$DT$129,DB$1,0)</f>
        <v>0</v>
      </c>
      <c r="DC44" s="13">
        <f>VLOOKUP($G44,'Visu totale'!$D$3:$DT$129,DC$1,0)</f>
        <v>0</v>
      </c>
      <c r="DD44" s="13">
        <f>VLOOKUP($G44,'Visu totale'!$D$3:$DT$129,DD$1,0)</f>
        <v>0</v>
      </c>
      <c r="DE44" s="13">
        <f>VLOOKUP($G44,'Visu totale'!$D$3:$DT$129,DE$1,0)</f>
        <v>0</v>
      </c>
      <c r="DF44" s="13">
        <f>VLOOKUP($G44,'Visu totale'!$D$3:$DT$129,DF$1,0)</f>
        <v>0</v>
      </c>
      <c r="DG44" s="13">
        <f>VLOOKUP($G44,'Visu totale'!$D$3:$DT$129,DG$1,0)</f>
        <v>0</v>
      </c>
      <c r="DH44" s="13">
        <f>VLOOKUP($G44,'Visu totale'!$D$3:$DT$129,DH$1,0)</f>
        <v>0</v>
      </c>
      <c r="DI44" s="13">
        <f>VLOOKUP($G44,'Visu totale'!$D$3:$DT$129,DI$1,0)</f>
        <v>0</v>
      </c>
      <c r="DJ44" s="15">
        <f>VLOOKUP($G44,'Visu totale'!$D$3:$DT$129,DJ$1,0)</f>
        <v>0</v>
      </c>
      <c r="DK44" s="14">
        <f>VLOOKUP($G44,'Visu totale'!$D$3:$DT$129,DK$1,0)</f>
        <v>0</v>
      </c>
      <c r="DL44" s="13">
        <f>VLOOKUP($G44,'Visu totale'!$D$3:$DT$129,DL$1,0)</f>
        <v>0</v>
      </c>
      <c r="DM44" s="13">
        <f>VLOOKUP($G44,'Visu totale'!$D$3:$DT$129,DM$1,0)</f>
        <v>0</v>
      </c>
      <c r="DN44" s="13">
        <f>VLOOKUP($G44,'Visu totale'!$D$3:$DT$129,DN$1,0)</f>
        <v>0</v>
      </c>
      <c r="DO44" s="13">
        <f>VLOOKUP($G44,'Visu totale'!$D$3:$DT$129,DO$1,0)</f>
        <v>0</v>
      </c>
      <c r="DP44" s="13">
        <f>VLOOKUP($G44,'Visu totale'!$D$3:$DT$129,DP$1,0)</f>
        <v>0</v>
      </c>
      <c r="DQ44" s="13">
        <f>VLOOKUP($G44,'Visu totale'!$D$3:$DT$129,DQ$1,0)</f>
        <v>0</v>
      </c>
      <c r="DR44" s="13">
        <f>VLOOKUP($G44,'Visu totale'!$D$3:$DT$129,DR$1,0)</f>
        <v>0</v>
      </c>
      <c r="DS44" s="13">
        <f>VLOOKUP($G44,'Visu totale'!$D$3:$DT$129,DS$1,0)</f>
        <v>0</v>
      </c>
      <c r="DT44" s="13">
        <f>VLOOKUP($G44,'Visu totale'!$D$3:$DT$129,DT$1,0)</f>
        <v>0</v>
      </c>
      <c r="DU44" s="13">
        <f>VLOOKUP($G44,'Visu totale'!$D$3:$DT$129,DU$1,0)</f>
        <v>0</v>
      </c>
      <c r="DV44" s="15">
        <f>VLOOKUP($G44,'Visu totale'!$D$3:$DT$129,DV$1,0)</f>
        <v>0</v>
      </c>
    </row>
    <row r="45" spans="1:126" x14ac:dyDescent="0.25">
      <c r="A45" s="13"/>
      <c r="B45" s="13"/>
      <c r="C45" s="13"/>
      <c r="D45" s="16"/>
      <c r="E45" s="14"/>
      <c r="F45" s="13"/>
      <c r="G45" s="17" t="s">
        <v>47</v>
      </c>
      <c r="H45" s="13">
        <f>VLOOKUP($G45,'Visu totale'!$D$3:$DT$129,H$1,0)</f>
        <v>18</v>
      </c>
      <c r="I45" s="13" t="str">
        <f>VLOOKUP($G45,'Visu totale'!$D$3:$DT$129,I$1,0)</f>
        <v>NANCY_D</v>
      </c>
      <c r="J45" s="13" t="str">
        <f>VLOOKUP($G45,'Visu totale'!$D$3:$DT$129,J$1,0)</f>
        <v>NANCY_D</v>
      </c>
      <c r="K45" s="13" t="str">
        <f>VLOOKUP($G45,'Visu totale'!$D$3:$DT$129,K$1,0)</f>
        <v>NANCY_D</v>
      </c>
      <c r="L45" s="13" t="str">
        <f>VLOOKUP($G45,'Visu totale'!$D$3:$DT$129,L$1,0)</f>
        <v>NANCY_D</v>
      </c>
      <c r="M45" s="13">
        <f>VLOOKUP($G45,'Visu totale'!$D$3:$DT$129,M$1,0)</f>
        <v>18</v>
      </c>
      <c r="N45" s="13">
        <f>VLOOKUP($G45,'Visu totale'!$D$3:$DT$129,N$1,0)</f>
        <v>18</v>
      </c>
      <c r="O45" s="13" t="str">
        <f>VLOOKUP($G45,'Visu totale'!$D$3:$DT$129,O$1,0)</f>
        <v>NANCY_D</v>
      </c>
      <c r="P45" s="13" t="str">
        <f>VLOOKUP($G45,'Visu totale'!$D$3:$DT$129,P$1,0)</f>
        <v>NANCY_D</v>
      </c>
      <c r="Q45" s="13" t="str">
        <f>VLOOKUP($G45,'Visu totale'!$D$3:$DT$129,Q$1,0)</f>
        <v>NANCY_D</v>
      </c>
      <c r="R45" s="15" t="str">
        <f>VLOOKUP($G45,'Visu totale'!$D$3:$DT$129,R$1,0)</f>
        <v>NANCY_D</v>
      </c>
      <c r="S45" s="14">
        <f>VLOOKUP($G45,'Visu totale'!$D$3:$DT$129,S$1,0)</f>
        <v>18</v>
      </c>
      <c r="T45" s="13">
        <f>VLOOKUP($G45,'Visu totale'!$D$3:$DT$129,T$1,0)</f>
        <v>18</v>
      </c>
      <c r="U45" s="13" t="str">
        <f>VLOOKUP($G45,'Visu totale'!$D$3:$DT$129,U$1,0)</f>
        <v>CHAMMAL_D</v>
      </c>
      <c r="V45" s="13" t="str">
        <f>VLOOKUP($G45,'Visu totale'!$D$3:$DT$129,V$1,0)</f>
        <v>CHAMMAL_D</v>
      </c>
      <c r="W45" s="13" t="str">
        <f>VLOOKUP($G45,'Visu totale'!$D$3:$DT$129,W$1,0)</f>
        <v>CHAMMAL_D</v>
      </c>
      <c r="X45" s="13" t="str">
        <f>VLOOKUP($G45,'Visu totale'!$D$3:$DT$129,X$1,0)</f>
        <v>CHAMMAL_D</v>
      </c>
      <c r="Y45" s="13">
        <f>VLOOKUP($G45,'Visu totale'!$D$3:$DT$129,Y$1,0)</f>
        <v>18</v>
      </c>
      <c r="Z45" s="13">
        <f>VLOOKUP($G45,'Visu totale'!$D$3:$DT$129,Z$1,0)</f>
        <v>18</v>
      </c>
      <c r="AA45" s="13">
        <f>VLOOKUP($G45,'Visu totale'!$D$3:$DT$129,AA$1,0)</f>
        <v>18</v>
      </c>
      <c r="AB45" s="13">
        <f>VLOOKUP($G45,'Visu totale'!$D$3:$DT$129,AB$1,0)</f>
        <v>18</v>
      </c>
      <c r="AC45" s="13">
        <f>VLOOKUP($G45,'Visu totale'!$D$3:$DT$129,AC$1,0)</f>
        <v>18</v>
      </c>
      <c r="AD45" s="15">
        <f>VLOOKUP($G45,'Visu totale'!$D$3:$DT$129,AD$1,0)</f>
        <v>18</v>
      </c>
      <c r="AE45" s="14">
        <f>VLOOKUP($G45,'Visu totale'!$D$3:$DT$129,AE$1,0)</f>
        <v>18</v>
      </c>
      <c r="AF45" s="13">
        <f>VLOOKUP($G45,'Visu totale'!$D$3:$DT$129,AF$1,0)</f>
        <v>18</v>
      </c>
      <c r="AG45" s="13">
        <f>VLOOKUP($G45,'Visu totale'!$D$3:$DT$129,AG$1,0)</f>
        <v>18</v>
      </c>
      <c r="AH45" s="13">
        <f>VLOOKUP($G45,'Visu totale'!$D$3:$DT$129,AH$1,0)</f>
        <v>0</v>
      </c>
      <c r="AI45" s="13">
        <f>VLOOKUP($G45,'Visu totale'!$D$3:$DT$129,AI$1,0)</f>
        <v>0</v>
      </c>
      <c r="AJ45" s="13" t="str">
        <f>VLOOKUP($G45,'Visu totale'!$D$3:$DT$129,AJ$1,0)</f>
        <v>V10</v>
      </c>
      <c r="AK45" s="13">
        <f>VLOOKUP($G45,'Visu totale'!$D$3:$DT$129,AK$1,0)</f>
        <v>18</v>
      </c>
      <c r="AL45" s="13">
        <f>VLOOKUP($G45,'Visu totale'!$D$3:$DT$129,AL$1,0)</f>
        <v>18</v>
      </c>
      <c r="AM45" s="13" t="str">
        <f>VLOOKUP($G45,'Visu totale'!$D$3:$DT$129,AM$1,0)</f>
        <v>NDJAMENA_D</v>
      </c>
      <c r="AN45" s="13" t="str">
        <f>VLOOKUP($G45,'Visu totale'!$D$3:$DT$129,AN$1,0)</f>
        <v>NDJAMENA_D</v>
      </c>
      <c r="AO45" s="13" t="str">
        <f>VLOOKUP($G45,'Visu totale'!$D$3:$DT$129,AO$1,0)</f>
        <v>NDJAMENA_D</v>
      </c>
      <c r="AP45" s="15" t="str">
        <f>VLOOKUP($G45,'Visu totale'!$D$3:$DT$129,AP$1,0)</f>
        <v>NDJAMENA_D</v>
      </c>
      <c r="AQ45" s="14">
        <f>VLOOKUP($G45,'Visu totale'!$D$3:$DT$129,AQ$1,0)</f>
        <v>18</v>
      </c>
      <c r="AR45" s="13">
        <f>VLOOKUP($G45,'Visu totale'!$D$3:$DT$129,AR$1,0)</f>
        <v>18</v>
      </c>
      <c r="AS45" s="13" t="str">
        <f>VLOOKUP($G45,'Visu totale'!$D$3:$DT$129,AS$1,0)</f>
        <v>CHAMMAL_D</v>
      </c>
      <c r="AT45" s="13" t="str">
        <f>VLOOKUP($G45,'Visu totale'!$D$3:$DT$129,AT$1,0)</f>
        <v>CHAMMAL_D</v>
      </c>
      <c r="AU45" s="13" t="str">
        <f>VLOOKUP($G45,'Visu totale'!$D$3:$DT$129,AU$1,0)</f>
        <v>CHAMMAL_D</v>
      </c>
      <c r="AV45" s="13" t="str">
        <f>VLOOKUP($G45,'Visu totale'!$D$3:$DT$129,AV$1,0)</f>
        <v>CHAMMAL_D</v>
      </c>
      <c r="AW45" s="13">
        <f>VLOOKUP($G45,'Visu totale'!$D$3:$DT$129,AW$1,0)</f>
        <v>18</v>
      </c>
      <c r="AX45" s="13">
        <f>VLOOKUP($G45,'Visu totale'!$D$3:$DT$129,AX$1,0)</f>
        <v>18</v>
      </c>
      <c r="AY45" s="13" t="str">
        <f>VLOOKUP($G45,'Visu totale'!$D$3:$DT$129,AY$1,0)</f>
        <v>NANCY_D</v>
      </c>
      <c r="AZ45" s="13" t="str">
        <f>VLOOKUP($G45,'Visu totale'!$D$3:$DT$129,AZ$1,0)</f>
        <v>NANCY_D</v>
      </c>
      <c r="BA45" s="13" t="str">
        <f>VLOOKUP($G45,'Visu totale'!$D$3:$DT$129,BA$1,0)</f>
        <v>NANCY_D</v>
      </c>
      <c r="BB45" s="15" t="str">
        <f>VLOOKUP($G45,'Visu totale'!$D$3:$DT$129,BB$1,0)</f>
        <v>NANCY_D</v>
      </c>
      <c r="BC45" s="14">
        <f>VLOOKUP($G45,'Visu totale'!$D$3:$DT$129,BC$1,0)</f>
        <v>18</v>
      </c>
      <c r="BD45" s="13">
        <f>VLOOKUP($G45,'Visu totale'!$D$3:$DT$129,BD$1,0)</f>
        <v>18</v>
      </c>
      <c r="BE45" s="13">
        <f>VLOOKUP($G45,'Visu totale'!$D$3:$DT$129,BE$1,0)</f>
        <v>18</v>
      </c>
      <c r="BF45" s="13">
        <f>VLOOKUP($G45,'Visu totale'!$D$3:$DT$129,BF$1,0)</f>
        <v>18</v>
      </c>
      <c r="BG45" s="13">
        <f>VLOOKUP($G45,'Visu totale'!$D$3:$DT$129,BG$1,0)</f>
        <v>18</v>
      </c>
      <c r="BH45" s="13">
        <f>VLOOKUP($G45,'Visu totale'!$D$3:$DT$129,BH$1,0)</f>
        <v>18</v>
      </c>
      <c r="BI45" s="13">
        <f>VLOOKUP($G45,'Visu totale'!$D$3:$DT$129,BI$1,0)</f>
        <v>18</v>
      </c>
      <c r="BJ45" s="13">
        <f>VLOOKUP($G45,'Visu totale'!$D$3:$DT$129,BJ$1,0)</f>
        <v>18</v>
      </c>
      <c r="BK45" s="13">
        <f>VLOOKUP($G45,'Visu totale'!$D$3:$DT$129,BK$1,0)</f>
        <v>18</v>
      </c>
      <c r="BL45" s="13">
        <f>VLOOKUP($G45,'Visu totale'!$D$3:$DT$129,BL$1,0)</f>
        <v>18</v>
      </c>
      <c r="BM45" s="13">
        <f>VLOOKUP($G45,'Visu totale'!$D$3:$DT$129,BM$1,0)</f>
        <v>18</v>
      </c>
      <c r="BN45" s="15">
        <f>VLOOKUP($G45,'Visu totale'!$D$3:$DT$129,BN$1,0)</f>
        <v>0</v>
      </c>
      <c r="BO45" s="14">
        <f>VLOOKUP($G45,'Visu totale'!$D$3:$DT$129,BO$1,0)</f>
        <v>18</v>
      </c>
      <c r="BP45" s="13">
        <f>VLOOKUP($G45,'Visu totale'!$D$3:$DT$129,BP$1,0)</f>
        <v>18</v>
      </c>
      <c r="BQ45" s="13" t="str">
        <f>VLOOKUP($G45,'Visu totale'!$D$3:$DT$129,BQ$1,0)</f>
        <v>NANCY_D</v>
      </c>
      <c r="BR45" s="13" t="str">
        <f>VLOOKUP($G45,'Visu totale'!$D$3:$DT$129,BR$1,0)</f>
        <v>NANCY_D</v>
      </c>
      <c r="BS45" s="13" t="str">
        <f>VLOOKUP($G45,'Visu totale'!$D$3:$DT$129,BS$1,0)</f>
        <v>NANCY_D</v>
      </c>
      <c r="BT45" s="13" t="str">
        <f>VLOOKUP($G45,'Visu totale'!$D$3:$DT$129,BT$1,0)</f>
        <v>NANCY_D</v>
      </c>
      <c r="BU45" s="13">
        <f>VLOOKUP($G45,'Visu totale'!$D$3:$DT$129,BU$1,0)</f>
        <v>18</v>
      </c>
      <c r="BV45" s="13">
        <f>VLOOKUP($G45,'Visu totale'!$D$3:$DT$129,BV$1,0)</f>
        <v>18</v>
      </c>
      <c r="BW45" s="13" t="str">
        <f>VLOOKUP($G45,'Visu totale'!$D$3:$DT$129,BW$1,0)</f>
        <v>NANCY_D</v>
      </c>
      <c r="BX45" s="13" t="str">
        <f>VLOOKUP($G45,'Visu totale'!$D$3:$DT$129,BX$1,0)</f>
        <v>NANCY_D</v>
      </c>
      <c r="BY45" s="13" t="str">
        <f>VLOOKUP($G45,'Visu totale'!$D$3:$DT$129,BY$1,0)</f>
        <v>NANCY_D</v>
      </c>
      <c r="BZ45" s="15" t="str">
        <f>VLOOKUP($G45,'Visu totale'!$D$3:$DT$129,BZ$1,0)</f>
        <v>NANCY_D</v>
      </c>
      <c r="CA45" s="14">
        <f>VLOOKUP($G45,'Visu totale'!$D$3:$DT$129,CA$1,0)</f>
        <v>18</v>
      </c>
      <c r="CB45" s="13">
        <f>VLOOKUP($G45,'Visu totale'!$D$3:$DT$129,CB$1,0)</f>
        <v>18</v>
      </c>
      <c r="CC45" s="13" t="str">
        <f>VLOOKUP($G45,'Visu totale'!$D$3:$DT$129,CC$1,0)</f>
        <v>NANCY_D</v>
      </c>
      <c r="CD45" s="13" t="str">
        <f>VLOOKUP($G45,'Visu totale'!$D$3:$DT$129,CD$1,0)</f>
        <v>NANCY_D</v>
      </c>
      <c r="CE45" s="13" t="str">
        <f>VLOOKUP($G45,'Visu totale'!$D$3:$DT$129,CE$1,0)</f>
        <v>NANCY_D</v>
      </c>
      <c r="CF45" s="13" t="str">
        <f>VLOOKUP($G45,'Visu totale'!$D$3:$DT$129,CF$1,0)</f>
        <v>NANCY_D</v>
      </c>
      <c r="CG45" s="13">
        <f>VLOOKUP($G45,'Visu totale'!$D$3:$DT$129,CG$1,0)</f>
        <v>18</v>
      </c>
      <c r="CH45" s="13">
        <f>VLOOKUP($G45,'Visu totale'!$D$3:$DT$129,CH$1,0)</f>
        <v>18</v>
      </c>
      <c r="CI45" s="13" t="str">
        <f>VLOOKUP($G45,'Visu totale'!$D$3:$DT$129,CI$1,0)</f>
        <v>NANCY_D</v>
      </c>
      <c r="CJ45" s="13" t="str">
        <f>VLOOKUP($G45,'Visu totale'!$D$3:$DT$129,CJ$1,0)</f>
        <v>NANCY_D</v>
      </c>
      <c r="CK45" s="13" t="str">
        <f>VLOOKUP($G45,'Visu totale'!$D$3:$DT$129,CK$1,0)</f>
        <v>NANCY_D</v>
      </c>
      <c r="CL45" s="15" t="str">
        <f>VLOOKUP($G45,'Visu totale'!$D$3:$DT$129,CL$1,0)</f>
        <v>NANCY_D</v>
      </c>
      <c r="CM45" s="14">
        <f>VLOOKUP($G45,'Visu totale'!$D$3:$DT$129,CM$1,0)</f>
        <v>18</v>
      </c>
      <c r="CN45" s="13">
        <f>VLOOKUP($G45,'Visu totale'!$D$3:$DT$129,CN$1,0)</f>
        <v>18</v>
      </c>
      <c r="CO45" s="13" t="str">
        <f>VLOOKUP($G45,'Visu totale'!$D$3:$DT$129,CO$1,0)</f>
        <v>NANCY_D</v>
      </c>
      <c r="CP45" s="13" t="str">
        <f>VLOOKUP($G45,'Visu totale'!$D$3:$DT$129,CP$1,0)</f>
        <v>NANCY_D</v>
      </c>
      <c r="CQ45" s="13" t="str">
        <f>VLOOKUP($G45,'Visu totale'!$D$3:$DT$129,CQ$1,0)</f>
        <v>NANCY_D</v>
      </c>
      <c r="CR45" s="13" t="str">
        <f>VLOOKUP($G45,'Visu totale'!$D$3:$DT$129,CR$1,0)</f>
        <v>NANCY_D</v>
      </c>
      <c r="CS45" s="13">
        <f>VLOOKUP($G45,'Visu totale'!$D$3:$DT$129,CS$1,0)</f>
        <v>18</v>
      </c>
      <c r="CT45" s="13">
        <f>VLOOKUP($G45,'Visu totale'!$D$3:$DT$129,CT$1,0)</f>
        <v>18</v>
      </c>
      <c r="CU45" s="13">
        <f>VLOOKUP($G45,'Visu totale'!$D$3:$DT$129,CU$1,0)</f>
        <v>18</v>
      </c>
      <c r="CV45" s="13">
        <f>VLOOKUP($G45,'Visu totale'!$D$3:$DT$129,CV$1,0)</f>
        <v>18</v>
      </c>
      <c r="CW45" s="13">
        <f>VLOOKUP($G45,'Visu totale'!$D$3:$DT$129,CW$1,0)</f>
        <v>18</v>
      </c>
      <c r="CX45" s="15">
        <f>VLOOKUP($G45,'Visu totale'!$D$3:$DT$129,CX$1,0)</f>
        <v>18</v>
      </c>
      <c r="CY45" s="14">
        <f>VLOOKUP($G45,'Visu totale'!$D$3:$DT$129,CY$1,0)</f>
        <v>0</v>
      </c>
      <c r="CZ45" s="13">
        <f>VLOOKUP($G45,'Visu totale'!$D$3:$DT$129,CZ$1,0)</f>
        <v>0</v>
      </c>
      <c r="DA45" s="13">
        <f>VLOOKUP($G45,'Visu totale'!$D$3:$DT$129,DA$1,0)</f>
        <v>0</v>
      </c>
      <c r="DB45" s="13">
        <f>VLOOKUP($G45,'Visu totale'!$D$3:$DT$129,DB$1,0)</f>
        <v>0</v>
      </c>
      <c r="DC45" s="13">
        <f>VLOOKUP($G45,'Visu totale'!$D$3:$DT$129,DC$1,0)</f>
        <v>0</v>
      </c>
      <c r="DD45" s="13">
        <f>VLOOKUP($G45,'Visu totale'!$D$3:$DT$129,DD$1,0)</f>
        <v>0</v>
      </c>
      <c r="DE45" s="13">
        <f>VLOOKUP($G45,'Visu totale'!$D$3:$DT$129,DE$1,0)</f>
        <v>0</v>
      </c>
      <c r="DF45" s="13">
        <f>VLOOKUP($G45,'Visu totale'!$D$3:$DT$129,DF$1,0)</f>
        <v>0</v>
      </c>
      <c r="DG45" s="13">
        <f>VLOOKUP($G45,'Visu totale'!$D$3:$DT$129,DG$1,0)</f>
        <v>0</v>
      </c>
      <c r="DH45" s="13">
        <f>VLOOKUP($G45,'Visu totale'!$D$3:$DT$129,DH$1,0)</f>
        <v>0</v>
      </c>
      <c r="DI45" s="13">
        <f>VLOOKUP($G45,'Visu totale'!$D$3:$DT$129,DI$1,0)</f>
        <v>0</v>
      </c>
      <c r="DJ45" s="15">
        <f>VLOOKUP($G45,'Visu totale'!$D$3:$DT$129,DJ$1,0)</f>
        <v>0</v>
      </c>
      <c r="DK45" s="14">
        <f>VLOOKUP($G45,'Visu totale'!$D$3:$DT$129,DK$1,0)</f>
        <v>0</v>
      </c>
      <c r="DL45" s="13">
        <f>VLOOKUP($G45,'Visu totale'!$D$3:$DT$129,DL$1,0)</f>
        <v>0</v>
      </c>
      <c r="DM45" s="13">
        <f>VLOOKUP($G45,'Visu totale'!$D$3:$DT$129,DM$1,0)</f>
        <v>0</v>
      </c>
      <c r="DN45" s="13">
        <f>VLOOKUP($G45,'Visu totale'!$D$3:$DT$129,DN$1,0)</f>
        <v>0</v>
      </c>
      <c r="DO45" s="13">
        <f>VLOOKUP($G45,'Visu totale'!$D$3:$DT$129,DO$1,0)</f>
        <v>0</v>
      </c>
      <c r="DP45" s="13">
        <f>VLOOKUP($G45,'Visu totale'!$D$3:$DT$129,DP$1,0)</f>
        <v>0</v>
      </c>
      <c r="DQ45" s="13">
        <f>VLOOKUP($G45,'Visu totale'!$D$3:$DT$129,DQ$1,0)</f>
        <v>0</v>
      </c>
      <c r="DR45" s="13">
        <f>VLOOKUP($G45,'Visu totale'!$D$3:$DT$129,DR$1,0)</f>
        <v>0</v>
      </c>
      <c r="DS45" s="13">
        <f>VLOOKUP($G45,'Visu totale'!$D$3:$DT$129,DS$1,0)</f>
        <v>0</v>
      </c>
      <c r="DT45" s="13">
        <f>VLOOKUP($G45,'Visu totale'!$D$3:$DT$129,DT$1,0)</f>
        <v>0</v>
      </c>
      <c r="DU45" s="13">
        <f>VLOOKUP($G45,'Visu totale'!$D$3:$DT$129,DU$1,0)</f>
        <v>0</v>
      </c>
      <c r="DV45" s="15">
        <f>VLOOKUP($G45,'Visu totale'!$D$3:$DT$129,DV$1,0)</f>
        <v>0</v>
      </c>
    </row>
    <row r="46" spans="1:126" x14ac:dyDescent="0.25">
      <c r="A46" s="13"/>
      <c r="B46" s="13"/>
      <c r="C46" s="13"/>
      <c r="D46" s="16"/>
      <c r="E46" s="14"/>
      <c r="F46" s="13"/>
      <c r="G46" s="17" t="s">
        <v>48</v>
      </c>
      <c r="H46" s="13">
        <f>VLOOKUP($G46,'Visu totale'!$D$3:$DT$129,H$1,0)</f>
        <v>18</v>
      </c>
      <c r="I46" s="13" t="str">
        <f>VLOOKUP($G46,'Visu totale'!$D$3:$DT$129,I$1,0)</f>
        <v>NANCY_D</v>
      </c>
      <c r="J46" s="13" t="str">
        <f>VLOOKUP($G46,'Visu totale'!$D$3:$DT$129,J$1,0)</f>
        <v>NANCY_D</v>
      </c>
      <c r="K46" s="13" t="str">
        <f>VLOOKUP($G46,'Visu totale'!$D$3:$DT$129,K$1,0)</f>
        <v>NANCY_D</v>
      </c>
      <c r="L46" s="13" t="str">
        <f>VLOOKUP($G46,'Visu totale'!$D$3:$DT$129,L$1,0)</f>
        <v>NANCY_D</v>
      </c>
      <c r="M46" s="13">
        <f>VLOOKUP($G46,'Visu totale'!$D$3:$DT$129,M$1,0)</f>
        <v>18</v>
      </c>
      <c r="N46" s="13">
        <f>VLOOKUP($G46,'Visu totale'!$D$3:$DT$129,N$1,0)</f>
        <v>18</v>
      </c>
      <c r="O46" s="13" t="str">
        <f>VLOOKUP($G46,'Visu totale'!$D$3:$DT$129,O$1,0)</f>
        <v>CHAMMAL_D</v>
      </c>
      <c r="P46" s="13" t="str">
        <f>VLOOKUP($G46,'Visu totale'!$D$3:$DT$129,P$1,0)</f>
        <v>CHAMMAL_D</v>
      </c>
      <c r="Q46" s="13" t="str">
        <f>VLOOKUP($G46,'Visu totale'!$D$3:$DT$129,Q$1,0)</f>
        <v>CHAMMAL_D</v>
      </c>
      <c r="R46" s="15" t="str">
        <f>VLOOKUP($G46,'Visu totale'!$D$3:$DT$129,R$1,0)</f>
        <v>CHAMMAL_D</v>
      </c>
      <c r="S46" s="14">
        <f>VLOOKUP($G46,'Visu totale'!$D$3:$DT$129,S$1,0)</f>
        <v>18</v>
      </c>
      <c r="T46" s="13">
        <f>VLOOKUP($G46,'Visu totale'!$D$3:$DT$129,T$1,0)</f>
        <v>18</v>
      </c>
      <c r="U46" s="13" t="str">
        <f>VLOOKUP($G46,'Visu totale'!$D$3:$DT$129,U$1,0)</f>
        <v>NDJAMENA_D</v>
      </c>
      <c r="V46" s="13" t="str">
        <f>VLOOKUP($G46,'Visu totale'!$D$3:$DT$129,V$1,0)</f>
        <v>NDJAMENA_D</v>
      </c>
      <c r="W46" s="13" t="str">
        <f>VLOOKUP($G46,'Visu totale'!$D$3:$DT$129,W$1,0)</f>
        <v>NDJAMENA_D</v>
      </c>
      <c r="X46" s="13" t="str">
        <f>VLOOKUP($G46,'Visu totale'!$D$3:$DT$129,X$1,0)</f>
        <v>NDJAMENA_D</v>
      </c>
      <c r="Y46" s="13">
        <f>VLOOKUP($G46,'Visu totale'!$D$3:$DT$129,Y$1,0)</f>
        <v>18</v>
      </c>
      <c r="Z46" s="13">
        <f>VLOOKUP($G46,'Visu totale'!$D$3:$DT$129,Z$1,0)</f>
        <v>18</v>
      </c>
      <c r="AA46" s="13">
        <f>VLOOKUP($G46,'Visu totale'!$D$3:$DT$129,AA$1,0)</f>
        <v>18</v>
      </c>
      <c r="AB46" s="13">
        <f>VLOOKUP($G46,'Visu totale'!$D$3:$DT$129,AB$1,0)</f>
        <v>18</v>
      </c>
      <c r="AC46" s="13">
        <f>VLOOKUP($G46,'Visu totale'!$D$3:$DT$129,AC$1,0)</f>
        <v>18</v>
      </c>
      <c r="AD46" s="15">
        <f>VLOOKUP($G46,'Visu totale'!$D$3:$DT$129,AD$1,0)</f>
        <v>18</v>
      </c>
      <c r="AE46" s="14">
        <f>VLOOKUP($G46,'Visu totale'!$D$3:$DT$129,AE$1,0)</f>
        <v>18</v>
      </c>
      <c r="AF46" s="13">
        <f>VLOOKUP($G46,'Visu totale'!$D$3:$DT$129,AF$1,0)</f>
        <v>18</v>
      </c>
      <c r="AG46" s="13">
        <f>VLOOKUP($G46,'Visu totale'!$D$3:$DT$129,AG$1,0)</f>
        <v>18</v>
      </c>
      <c r="AH46" s="13">
        <f>VLOOKUP($G46,'Visu totale'!$D$3:$DT$129,AH$1,0)</f>
        <v>18</v>
      </c>
      <c r="AI46" s="13">
        <f>VLOOKUP($G46,'Visu totale'!$D$3:$DT$129,AI$1,0)</f>
        <v>18</v>
      </c>
      <c r="AJ46" s="13">
        <f>VLOOKUP($G46,'Visu totale'!$D$3:$DT$129,AJ$1,0)</f>
        <v>0</v>
      </c>
      <c r="AK46" s="13">
        <f>VLOOKUP($G46,'Visu totale'!$D$3:$DT$129,AK$1,0)</f>
        <v>0</v>
      </c>
      <c r="AL46" s="13">
        <f>VLOOKUP($G46,'Visu totale'!$D$3:$DT$129,AL$1,0)</f>
        <v>0</v>
      </c>
      <c r="AM46" s="13">
        <f>VLOOKUP($G46,'Visu totale'!$D$3:$DT$129,AM$1,0)</f>
        <v>0</v>
      </c>
      <c r="AN46" s="13">
        <f>VLOOKUP($G46,'Visu totale'!$D$3:$DT$129,AN$1,0)</f>
        <v>0</v>
      </c>
      <c r="AO46" s="13">
        <f>VLOOKUP($G46,'Visu totale'!$D$3:$DT$129,AO$1,0)</f>
        <v>0</v>
      </c>
      <c r="AP46" s="15">
        <f>VLOOKUP($G46,'Visu totale'!$D$3:$DT$129,AP$1,0)</f>
        <v>0</v>
      </c>
      <c r="AQ46" s="14">
        <f>VLOOKUP($G46,'Visu totale'!$D$3:$DT$129,AQ$1,0)</f>
        <v>0</v>
      </c>
      <c r="AR46" s="13">
        <f>VLOOKUP($G46,'Visu totale'!$D$3:$DT$129,AR$1,0)</f>
        <v>0</v>
      </c>
      <c r="AS46" s="13">
        <f>VLOOKUP($G46,'Visu totale'!$D$3:$DT$129,AS$1,0)</f>
        <v>0</v>
      </c>
      <c r="AT46" s="13">
        <f>VLOOKUP($G46,'Visu totale'!$D$3:$DT$129,AT$1,0)</f>
        <v>0</v>
      </c>
      <c r="AU46" s="13">
        <f>VLOOKUP($G46,'Visu totale'!$D$3:$DT$129,AU$1,0)</f>
        <v>0</v>
      </c>
      <c r="AV46" s="13">
        <f>VLOOKUP($G46,'Visu totale'!$D$3:$DT$129,AV$1,0)</f>
        <v>0</v>
      </c>
      <c r="AW46" s="13">
        <f>VLOOKUP($G46,'Visu totale'!$D$3:$DT$129,AW$1,0)</f>
        <v>0</v>
      </c>
      <c r="AX46" s="13">
        <f>VLOOKUP($G46,'Visu totale'!$D$3:$DT$129,AX$1,0)</f>
        <v>0</v>
      </c>
      <c r="AY46" s="13">
        <f>VLOOKUP($G46,'Visu totale'!$D$3:$DT$129,AY$1,0)</f>
        <v>0</v>
      </c>
      <c r="AZ46" s="13">
        <f>VLOOKUP($G46,'Visu totale'!$D$3:$DT$129,AZ$1,0)</f>
        <v>0</v>
      </c>
      <c r="BA46" s="13" t="str">
        <f>VLOOKUP($G46,'Visu totale'!$D$3:$DT$129,BA$1,0)</f>
        <v>V15</v>
      </c>
      <c r="BB46" s="15" t="str">
        <f>VLOOKUP($G46,'Visu totale'!$D$3:$DT$129,BB$1,0)</f>
        <v>V15</v>
      </c>
      <c r="BC46" s="14" t="str">
        <f>VLOOKUP($G46,'Visu totale'!$D$3:$DT$129,BC$1,0)</f>
        <v>V15</v>
      </c>
      <c r="BD46" s="13" t="str">
        <f>VLOOKUP($G46,'Visu totale'!$D$3:$DT$129,BD$1,0)</f>
        <v>V15</v>
      </c>
      <c r="BE46" s="13" t="str">
        <f>VLOOKUP($G46,'Visu totale'!$D$3:$DT$129,BE$1,0)</f>
        <v>V15</v>
      </c>
      <c r="BF46" s="13" t="str">
        <f>VLOOKUP($G46,'Visu totale'!$D$3:$DT$129,BF$1,0)</f>
        <v>V15</v>
      </c>
      <c r="BG46" s="13">
        <f>VLOOKUP($G46,'Visu totale'!$D$3:$DT$129,BG$1,0)</f>
        <v>18</v>
      </c>
      <c r="BH46" s="13">
        <f>VLOOKUP($G46,'Visu totale'!$D$3:$DT$129,BH$1,0)</f>
        <v>18</v>
      </c>
      <c r="BI46" s="13" t="str">
        <f>VLOOKUP($G46,'Visu totale'!$D$3:$DT$129,BI$1,0)</f>
        <v>CHAMMAL_D</v>
      </c>
      <c r="BJ46" s="13" t="str">
        <f>VLOOKUP($G46,'Visu totale'!$D$3:$DT$129,BJ$1,0)</f>
        <v>CHAMMAL_D</v>
      </c>
      <c r="BK46" s="13" t="str">
        <f>VLOOKUP($G46,'Visu totale'!$D$3:$DT$129,BK$1,0)</f>
        <v>CHAMMAL_D</v>
      </c>
      <c r="BL46" s="13" t="str">
        <f>VLOOKUP($G46,'Visu totale'!$D$3:$DT$129,BL$1,0)</f>
        <v>CHAMMAL_D</v>
      </c>
      <c r="BM46" s="13">
        <f>VLOOKUP($G46,'Visu totale'!$D$3:$DT$129,BM$1,0)</f>
        <v>18</v>
      </c>
      <c r="BN46" s="15">
        <f>VLOOKUP($G46,'Visu totale'!$D$3:$DT$129,BN$1,0)</f>
        <v>18</v>
      </c>
      <c r="BO46" s="14">
        <f>VLOOKUP($G46,'Visu totale'!$D$3:$DT$129,BO$1,0)</f>
        <v>0</v>
      </c>
      <c r="BP46" s="13">
        <f>VLOOKUP($G46,'Visu totale'!$D$3:$DT$129,BP$1,0)</f>
        <v>0</v>
      </c>
      <c r="BQ46" s="13">
        <f>VLOOKUP($G46,'Visu totale'!$D$3:$DT$129,BQ$1,0)</f>
        <v>0</v>
      </c>
      <c r="BR46" s="13">
        <f>VLOOKUP($G46,'Visu totale'!$D$3:$DT$129,BR$1,0)</f>
        <v>0</v>
      </c>
      <c r="BS46" s="13">
        <f>VLOOKUP($G46,'Visu totale'!$D$3:$DT$129,BS$1,0)</f>
        <v>0</v>
      </c>
      <c r="BT46" s="13">
        <f>VLOOKUP($G46,'Visu totale'!$D$3:$DT$129,BT$1,0)</f>
        <v>0</v>
      </c>
      <c r="BU46" s="13">
        <f>VLOOKUP($G46,'Visu totale'!$D$3:$DT$129,BU$1,0)</f>
        <v>0</v>
      </c>
      <c r="BV46" s="13" t="str">
        <f>VLOOKUP($G46,'Visu totale'!$D$3:$DT$129,BV$1,0)</f>
        <v>V20</v>
      </c>
      <c r="BW46" s="13" t="str">
        <f>VLOOKUP($G46,'Visu totale'!$D$3:$DT$129,BW$1,0)</f>
        <v>V20</v>
      </c>
      <c r="BX46" s="13" t="str">
        <f>VLOOKUP($G46,'Visu totale'!$D$3:$DT$129,BX$1,0)</f>
        <v>V20</v>
      </c>
      <c r="BY46" s="13" t="str">
        <f>VLOOKUP($G46,'Visu totale'!$D$3:$DT$129,BY$1,0)</f>
        <v>V20</v>
      </c>
      <c r="BZ46" s="15" t="str">
        <f>VLOOKUP($G46,'Visu totale'!$D$3:$DT$129,BZ$1,0)</f>
        <v>V20</v>
      </c>
      <c r="CA46" s="14" t="str">
        <f>VLOOKUP($G46,'Visu totale'!$D$3:$DT$129,CA$1,0)</f>
        <v>V20</v>
      </c>
      <c r="CB46" s="13">
        <f>VLOOKUP($G46,'Visu totale'!$D$3:$DT$129,CB$1,0)</f>
        <v>18</v>
      </c>
      <c r="CC46" s="13">
        <f>VLOOKUP($G46,'Visu totale'!$D$3:$DT$129,CC$1,0)</f>
        <v>18</v>
      </c>
      <c r="CD46" s="13" t="str">
        <f>VLOOKUP($G46,'Visu totale'!$D$3:$DT$129,CD$1,0)</f>
        <v>NANCY_D</v>
      </c>
      <c r="CE46" s="13" t="str">
        <f>VLOOKUP($G46,'Visu totale'!$D$3:$DT$129,CE$1,0)</f>
        <v>NANCY_D</v>
      </c>
      <c r="CF46" s="13" t="str">
        <f>VLOOKUP($G46,'Visu totale'!$D$3:$DT$129,CF$1,0)</f>
        <v>NANCY_D</v>
      </c>
      <c r="CG46" s="13" t="str">
        <f>VLOOKUP($G46,'Visu totale'!$D$3:$DT$129,CG$1,0)</f>
        <v>NANCY_D</v>
      </c>
      <c r="CH46" s="13">
        <f>VLOOKUP($G46,'Visu totale'!$D$3:$DT$129,CH$1,0)</f>
        <v>18</v>
      </c>
      <c r="CI46" s="13">
        <f>VLOOKUP($G46,'Visu totale'!$D$3:$DT$129,CI$1,0)</f>
        <v>18</v>
      </c>
      <c r="CJ46" s="13" t="str">
        <f>VLOOKUP($G46,'Visu totale'!$D$3:$DT$129,CJ$1,0)</f>
        <v>NANCY_D</v>
      </c>
      <c r="CK46" s="13" t="str">
        <f>VLOOKUP($G46,'Visu totale'!$D$3:$DT$129,CK$1,0)</f>
        <v>NANCY_D</v>
      </c>
      <c r="CL46" s="15" t="str">
        <f>VLOOKUP($G46,'Visu totale'!$D$3:$DT$129,CL$1,0)</f>
        <v>NANCY_D</v>
      </c>
      <c r="CM46" s="14" t="str">
        <f>VLOOKUP($G46,'Visu totale'!$D$3:$DT$129,CM$1,0)</f>
        <v>NANCY_D</v>
      </c>
      <c r="CN46" s="13">
        <f>VLOOKUP($G46,'Visu totale'!$D$3:$DT$129,CN$1,0)</f>
        <v>18</v>
      </c>
      <c r="CO46" s="13">
        <f>VLOOKUP($G46,'Visu totale'!$D$3:$DT$129,CO$1,0)</f>
        <v>18</v>
      </c>
      <c r="CP46" s="13" t="str">
        <f>VLOOKUP($G46,'Visu totale'!$D$3:$DT$129,CP$1,0)</f>
        <v>NANCY_D</v>
      </c>
      <c r="CQ46" s="13" t="str">
        <f>VLOOKUP($G46,'Visu totale'!$D$3:$DT$129,CQ$1,0)</f>
        <v>NANCY_D</v>
      </c>
      <c r="CR46" s="13" t="str">
        <f>VLOOKUP($G46,'Visu totale'!$D$3:$DT$129,CR$1,0)</f>
        <v>NANCY_D</v>
      </c>
      <c r="CS46" s="13" t="str">
        <f>VLOOKUP($G46,'Visu totale'!$D$3:$DT$129,CS$1,0)</f>
        <v>NANCY_D</v>
      </c>
      <c r="CT46" s="13">
        <f>VLOOKUP($G46,'Visu totale'!$D$3:$DT$129,CT$1,0)</f>
        <v>18</v>
      </c>
      <c r="CU46" s="13">
        <f>VLOOKUP($G46,'Visu totale'!$D$3:$DT$129,CU$1,0)</f>
        <v>18</v>
      </c>
      <c r="CV46" s="13">
        <f>VLOOKUP($G46,'Visu totale'!$D$3:$DT$129,CV$1,0)</f>
        <v>18</v>
      </c>
      <c r="CW46" s="13">
        <f>VLOOKUP($G46,'Visu totale'!$D$3:$DT$129,CW$1,0)</f>
        <v>18</v>
      </c>
      <c r="CX46" s="15">
        <f>VLOOKUP($G46,'Visu totale'!$D$3:$DT$129,CX$1,0)</f>
        <v>18</v>
      </c>
      <c r="CY46" s="14">
        <f>VLOOKUP($G46,'Visu totale'!$D$3:$DT$129,CY$1,0)</f>
        <v>0</v>
      </c>
      <c r="CZ46" s="13">
        <f>VLOOKUP($G46,'Visu totale'!$D$3:$DT$129,CZ$1,0)</f>
        <v>0</v>
      </c>
      <c r="DA46" s="13">
        <f>VLOOKUP($G46,'Visu totale'!$D$3:$DT$129,DA$1,0)</f>
        <v>0</v>
      </c>
      <c r="DB46" s="13">
        <f>VLOOKUP($G46,'Visu totale'!$D$3:$DT$129,DB$1,0)</f>
        <v>0</v>
      </c>
      <c r="DC46" s="13">
        <f>VLOOKUP($G46,'Visu totale'!$D$3:$DT$129,DC$1,0)</f>
        <v>0</v>
      </c>
      <c r="DD46" s="13">
        <f>VLOOKUP($G46,'Visu totale'!$D$3:$DT$129,DD$1,0)</f>
        <v>0</v>
      </c>
      <c r="DE46" s="13">
        <f>VLOOKUP($G46,'Visu totale'!$D$3:$DT$129,DE$1,0)</f>
        <v>0</v>
      </c>
      <c r="DF46" s="13">
        <f>VLOOKUP($G46,'Visu totale'!$D$3:$DT$129,DF$1,0)</f>
        <v>0</v>
      </c>
      <c r="DG46" s="13">
        <f>VLOOKUP($G46,'Visu totale'!$D$3:$DT$129,DG$1,0)</f>
        <v>0</v>
      </c>
      <c r="DH46" s="13">
        <f>VLOOKUP($G46,'Visu totale'!$D$3:$DT$129,DH$1,0)</f>
        <v>0</v>
      </c>
      <c r="DI46" s="13">
        <f>VLOOKUP($G46,'Visu totale'!$D$3:$DT$129,DI$1,0)</f>
        <v>0</v>
      </c>
      <c r="DJ46" s="15">
        <f>VLOOKUP($G46,'Visu totale'!$D$3:$DT$129,DJ$1,0)</f>
        <v>0</v>
      </c>
      <c r="DK46" s="14">
        <f>VLOOKUP($G46,'Visu totale'!$D$3:$DT$129,DK$1,0)</f>
        <v>0</v>
      </c>
      <c r="DL46" s="13">
        <f>VLOOKUP($G46,'Visu totale'!$D$3:$DT$129,DL$1,0)</f>
        <v>0</v>
      </c>
      <c r="DM46" s="13">
        <f>VLOOKUP($G46,'Visu totale'!$D$3:$DT$129,DM$1,0)</f>
        <v>0</v>
      </c>
      <c r="DN46" s="13">
        <f>VLOOKUP($G46,'Visu totale'!$D$3:$DT$129,DN$1,0)</f>
        <v>0</v>
      </c>
      <c r="DO46" s="13">
        <f>VLOOKUP($G46,'Visu totale'!$D$3:$DT$129,DO$1,0)</f>
        <v>0</v>
      </c>
      <c r="DP46" s="13">
        <f>VLOOKUP($G46,'Visu totale'!$D$3:$DT$129,DP$1,0)</f>
        <v>0</v>
      </c>
      <c r="DQ46" s="13">
        <f>VLOOKUP($G46,'Visu totale'!$D$3:$DT$129,DQ$1,0)</f>
        <v>0</v>
      </c>
      <c r="DR46" s="13">
        <f>VLOOKUP($G46,'Visu totale'!$D$3:$DT$129,DR$1,0)</f>
        <v>0</v>
      </c>
      <c r="DS46" s="13">
        <f>VLOOKUP($G46,'Visu totale'!$D$3:$DT$129,DS$1,0)</f>
        <v>0</v>
      </c>
      <c r="DT46" s="13">
        <f>VLOOKUP($G46,'Visu totale'!$D$3:$DT$129,DT$1,0)</f>
        <v>0</v>
      </c>
      <c r="DU46" s="13">
        <f>VLOOKUP($G46,'Visu totale'!$D$3:$DT$129,DU$1,0)</f>
        <v>0</v>
      </c>
      <c r="DV46" s="15">
        <f>VLOOKUP($G46,'Visu totale'!$D$3:$DT$129,DV$1,0)</f>
        <v>0</v>
      </c>
    </row>
    <row r="47" spans="1:126" x14ac:dyDescent="0.25">
      <c r="A47" s="13"/>
      <c r="B47" s="13"/>
      <c r="C47" s="13"/>
      <c r="D47" s="16"/>
      <c r="E47" s="14"/>
      <c r="F47" s="13"/>
      <c r="G47" s="17" t="s">
        <v>49</v>
      </c>
      <c r="H47" s="13">
        <f>VLOOKUP($G47,'Visu totale'!$D$3:$DT$129,H$1,0)</f>
        <v>18</v>
      </c>
      <c r="I47" s="13" t="str">
        <f>VLOOKUP($G47,'Visu totale'!$D$3:$DT$129,I$1,0)</f>
        <v>CHAMMAL_D</v>
      </c>
      <c r="J47" s="13" t="str">
        <f>VLOOKUP($G47,'Visu totale'!$D$3:$DT$129,J$1,0)</f>
        <v>CHAMMAL_D</v>
      </c>
      <c r="K47" s="13" t="str">
        <f>VLOOKUP($G47,'Visu totale'!$D$3:$DT$129,K$1,0)</f>
        <v>CHAMMAL_D</v>
      </c>
      <c r="L47" s="13" t="str">
        <f>VLOOKUP($G47,'Visu totale'!$D$3:$DT$129,L$1,0)</f>
        <v>CHAMMAL_D</v>
      </c>
      <c r="M47" s="13">
        <f>VLOOKUP($G47,'Visu totale'!$D$3:$DT$129,M$1,0)</f>
        <v>18</v>
      </c>
      <c r="N47" s="13">
        <f>VLOOKUP($G47,'Visu totale'!$D$3:$DT$129,N$1,0)</f>
        <v>18</v>
      </c>
      <c r="O47" s="13" t="str">
        <f>VLOOKUP($G47,'Visu totale'!$D$3:$DT$129,O$1,0)</f>
        <v>NANCY_D</v>
      </c>
      <c r="P47" s="13" t="str">
        <f>VLOOKUP($G47,'Visu totale'!$D$3:$DT$129,P$1,0)</f>
        <v>NANCY_D</v>
      </c>
      <c r="Q47" s="13" t="str">
        <f>VLOOKUP($G47,'Visu totale'!$D$3:$DT$129,Q$1,0)</f>
        <v>NANCY_D</v>
      </c>
      <c r="R47" s="15" t="str">
        <f>VLOOKUP($G47,'Visu totale'!$D$3:$DT$129,R$1,0)</f>
        <v>NANCY_D</v>
      </c>
      <c r="S47" s="14">
        <f>VLOOKUP($G47,'Visu totale'!$D$3:$DT$129,S$1,0)</f>
        <v>18</v>
      </c>
      <c r="T47" s="13">
        <f>VLOOKUP($G47,'Visu totale'!$D$3:$DT$129,T$1,0)</f>
        <v>18</v>
      </c>
      <c r="U47" s="13" t="str">
        <f>VLOOKUP($G47,'Visu totale'!$D$3:$DT$129,U$1,0)</f>
        <v>NANCY_D</v>
      </c>
      <c r="V47" s="13" t="str">
        <f>VLOOKUP($G47,'Visu totale'!$D$3:$DT$129,V$1,0)</f>
        <v>NANCY_D</v>
      </c>
      <c r="W47" s="13" t="str">
        <f>VLOOKUP($G47,'Visu totale'!$D$3:$DT$129,W$1,0)</f>
        <v>NANCY_D</v>
      </c>
      <c r="X47" s="13" t="str">
        <f>VLOOKUP($G47,'Visu totale'!$D$3:$DT$129,X$1,0)</f>
        <v>NANCY_D</v>
      </c>
      <c r="Y47" s="13">
        <f>VLOOKUP($G47,'Visu totale'!$D$3:$DT$129,Y$1,0)</f>
        <v>18</v>
      </c>
      <c r="Z47" s="13">
        <f>VLOOKUP($G47,'Visu totale'!$D$3:$DT$129,Z$1,0)</f>
        <v>18</v>
      </c>
      <c r="AA47" s="13" t="str">
        <f>VLOOKUP($G47,'Visu totale'!$D$3:$DT$129,AA$1,0)</f>
        <v>NANCY_D</v>
      </c>
      <c r="AB47" s="13" t="str">
        <f>VLOOKUP($G47,'Visu totale'!$D$3:$DT$129,AB$1,0)</f>
        <v>NANCY_D</v>
      </c>
      <c r="AC47" s="13" t="str">
        <f>VLOOKUP($G47,'Visu totale'!$D$3:$DT$129,AC$1,0)</f>
        <v>NANCY_D</v>
      </c>
      <c r="AD47" s="15" t="str">
        <f>VLOOKUP($G47,'Visu totale'!$D$3:$DT$129,AD$1,0)</f>
        <v>NANCY_D</v>
      </c>
      <c r="AE47" s="14">
        <f>VLOOKUP($G47,'Visu totale'!$D$3:$DT$129,AE$1,0)</f>
        <v>18</v>
      </c>
      <c r="AF47" s="13">
        <f>VLOOKUP($G47,'Visu totale'!$D$3:$DT$129,AF$1,0)</f>
        <v>18</v>
      </c>
      <c r="AG47" s="13">
        <f>VLOOKUP($G47,'Visu totale'!$D$3:$DT$129,AG$1,0)</f>
        <v>18</v>
      </c>
      <c r="AH47" s="13">
        <f>VLOOKUP($G47,'Visu totale'!$D$3:$DT$129,AH$1,0)</f>
        <v>18</v>
      </c>
      <c r="AI47" s="13">
        <f>VLOOKUP($G47,'Visu totale'!$D$3:$DT$129,AI$1,0)</f>
        <v>18</v>
      </c>
      <c r="AJ47" s="13">
        <f>VLOOKUP($G47,'Visu totale'!$D$3:$DT$129,AJ$1,0)</f>
        <v>18</v>
      </c>
      <c r="AK47" s="13">
        <f>VLOOKUP($G47,'Visu totale'!$D$3:$DT$129,AK$1,0)</f>
        <v>18</v>
      </c>
      <c r="AL47" s="13">
        <f>VLOOKUP($G47,'Visu totale'!$D$3:$DT$129,AL$1,0)</f>
        <v>18</v>
      </c>
      <c r="AM47" s="13">
        <f>VLOOKUP($G47,'Visu totale'!$D$3:$DT$129,AM$1,0)</f>
        <v>18</v>
      </c>
      <c r="AN47" s="13">
        <f>VLOOKUP($G47,'Visu totale'!$D$3:$DT$129,AN$1,0)</f>
        <v>18</v>
      </c>
      <c r="AO47" s="13">
        <f>VLOOKUP($G47,'Visu totale'!$D$3:$DT$129,AO$1,0)</f>
        <v>18</v>
      </c>
      <c r="AP47" s="15">
        <f>VLOOKUP($G47,'Visu totale'!$D$3:$DT$129,AP$1,0)</f>
        <v>18</v>
      </c>
      <c r="AQ47" s="14">
        <f>VLOOKUP($G47,'Visu totale'!$D$3:$DT$129,AQ$1,0)</f>
        <v>0</v>
      </c>
      <c r="AR47" s="13" t="str">
        <f>VLOOKUP($G47,'Visu totale'!$D$3:$DT$129,AR$1,0)</f>
        <v>V10</v>
      </c>
      <c r="AS47" s="13" t="str">
        <f>VLOOKUP($G47,'Visu totale'!$D$3:$DT$129,AS$1,0)</f>
        <v>V10</v>
      </c>
      <c r="AT47" s="13" t="str">
        <f>VLOOKUP($G47,'Visu totale'!$D$3:$DT$129,AT$1,0)</f>
        <v>V10</v>
      </c>
      <c r="AU47" s="13" t="str">
        <f>VLOOKUP($G47,'Visu totale'!$D$3:$DT$129,AU$1,0)</f>
        <v>V10</v>
      </c>
      <c r="AV47" s="13" t="str">
        <f>VLOOKUP($G47,'Visu totale'!$D$3:$DT$129,AV$1,0)</f>
        <v>V10</v>
      </c>
      <c r="AW47" s="13" t="str">
        <f>VLOOKUP($G47,'Visu totale'!$D$3:$DT$129,AW$1,0)</f>
        <v>V10</v>
      </c>
      <c r="AX47" s="13">
        <f>VLOOKUP($G47,'Visu totale'!$D$3:$DT$129,AX$1,0)</f>
        <v>18</v>
      </c>
      <c r="AY47" s="13">
        <f>VLOOKUP($G47,'Visu totale'!$D$3:$DT$129,AY$1,0)</f>
        <v>18</v>
      </c>
      <c r="AZ47" s="13" t="str">
        <f>VLOOKUP($G47,'Visu totale'!$D$3:$DT$129,AZ$1,0)</f>
        <v>CHAMMAL_D</v>
      </c>
      <c r="BA47" s="13" t="str">
        <f>VLOOKUP($G47,'Visu totale'!$D$3:$DT$129,BA$1,0)</f>
        <v>CHAMMAL_D</v>
      </c>
      <c r="BB47" s="15" t="str">
        <f>VLOOKUP($G47,'Visu totale'!$D$3:$DT$129,BB$1,0)</f>
        <v>CHAMMAL_D</v>
      </c>
      <c r="BC47" s="14" t="str">
        <f>VLOOKUP($G47,'Visu totale'!$D$3:$DT$129,BC$1,0)</f>
        <v>CHAMMAL_D</v>
      </c>
      <c r="BD47" s="13">
        <f>VLOOKUP($G47,'Visu totale'!$D$3:$DT$129,BD$1,0)</f>
        <v>18</v>
      </c>
      <c r="BE47" s="13">
        <f>VLOOKUP($G47,'Visu totale'!$D$3:$DT$129,BE$1,0)</f>
        <v>18</v>
      </c>
      <c r="BF47" s="13" t="str">
        <f>VLOOKUP($G47,'Visu totale'!$D$3:$DT$129,BF$1,0)</f>
        <v>NDJAMENA_D</v>
      </c>
      <c r="BG47" s="13" t="str">
        <f>VLOOKUP($G47,'Visu totale'!$D$3:$DT$129,BG$1,0)</f>
        <v>NDJAMENA_D</v>
      </c>
      <c r="BH47" s="13" t="str">
        <f>VLOOKUP($G47,'Visu totale'!$D$3:$DT$129,BH$1,0)</f>
        <v>NDJAMENA_D</v>
      </c>
      <c r="BI47" s="13" t="str">
        <f>VLOOKUP($G47,'Visu totale'!$D$3:$DT$129,BI$1,0)</f>
        <v>NDJAMENA_D</v>
      </c>
      <c r="BJ47" s="13">
        <f>VLOOKUP($G47,'Visu totale'!$D$3:$DT$129,BJ$1,0)</f>
        <v>18</v>
      </c>
      <c r="BK47" s="13">
        <f>VLOOKUP($G47,'Visu totale'!$D$3:$DT$129,BK$1,0)</f>
        <v>18</v>
      </c>
      <c r="BL47" s="13" t="str">
        <f>VLOOKUP($G47,'Visu totale'!$D$3:$DT$129,BL$1,0)</f>
        <v>NIAMEY_D</v>
      </c>
      <c r="BM47" s="13" t="str">
        <f>VLOOKUP($G47,'Visu totale'!$D$3:$DT$129,BM$1,0)</f>
        <v>NIAMEY_D</v>
      </c>
      <c r="BN47" s="15" t="str">
        <f>VLOOKUP($G47,'Visu totale'!$D$3:$DT$129,BN$1,0)</f>
        <v>NIAMEY_D</v>
      </c>
      <c r="BO47" s="14">
        <f>VLOOKUP($G47,'Visu totale'!$D$3:$DT$129,BO$1,0)</f>
        <v>0</v>
      </c>
      <c r="BP47" s="13">
        <f>VLOOKUP($G47,'Visu totale'!$D$3:$DT$129,BP$1,0)</f>
        <v>0</v>
      </c>
      <c r="BQ47" s="13">
        <f>VLOOKUP($G47,'Visu totale'!$D$3:$DT$129,BQ$1,0)</f>
        <v>0</v>
      </c>
      <c r="BR47" s="13">
        <f>VLOOKUP($G47,'Visu totale'!$D$3:$DT$129,BR$1,0)</f>
        <v>0</v>
      </c>
      <c r="BS47" s="13" t="str">
        <f>VLOOKUP($G47,'Visu totale'!$D$3:$DT$129,BS$1,0)</f>
        <v>V20</v>
      </c>
      <c r="BT47" s="13" t="str">
        <f>VLOOKUP($G47,'Visu totale'!$D$3:$DT$129,BT$1,0)</f>
        <v>V20</v>
      </c>
      <c r="BU47" s="13" t="str">
        <f>VLOOKUP($G47,'Visu totale'!$D$3:$DT$129,BU$1,0)</f>
        <v>V20</v>
      </c>
      <c r="BV47" s="13" t="str">
        <f>VLOOKUP($G47,'Visu totale'!$D$3:$DT$129,BV$1,0)</f>
        <v>V20</v>
      </c>
      <c r="BW47" s="13" t="str">
        <f>VLOOKUP($G47,'Visu totale'!$D$3:$DT$129,BW$1,0)</f>
        <v>V20</v>
      </c>
      <c r="BX47" s="13" t="str">
        <f>VLOOKUP($G47,'Visu totale'!$D$3:$DT$129,BX$1,0)</f>
        <v>V20</v>
      </c>
      <c r="BY47" s="13">
        <f>VLOOKUP($G47,'Visu totale'!$D$3:$DT$129,BY$1,0)</f>
        <v>18</v>
      </c>
      <c r="BZ47" s="15">
        <f>VLOOKUP($G47,'Visu totale'!$D$3:$DT$129,BZ$1,0)</f>
        <v>18</v>
      </c>
      <c r="CA47" s="14" t="str">
        <f>VLOOKUP($G47,'Visu totale'!$D$3:$DT$129,CA$1,0)</f>
        <v>NANCY_D</v>
      </c>
      <c r="CB47" s="13" t="str">
        <f>VLOOKUP($G47,'Visu totale'!$D$3:$DT$129,CB$1,0)</f>
        <v>NANCY_D</v>
      </c>
      <c r="CC47" s="13" t="str">
        <f>VLOOKUP($G47,'Visu totale'!$D$3:$DT$129,CC$1,0)</f>
        <v>NANCY_D</v>
      </c>
      <c r="CD47" s="13" t="str">
        <f>VLOOKUP($G47,'Visu totale'!$D$3:$DT$129,CD$1,0)</f>
        <v>NANCY_D</v>
      </c>
      <c r="CE47" s="13">
        <f>VLOOKUP($G47,'Visu totale'!$D$3:$DT$129,CE$1,0)</f>
        <v>18</v>
      </c>
      <c r="CF47" s="13">
        <f>VLOOKUP($G47,'Visu totale'!$D$3:$DT$129,CF$1,0)</f>
        <v>18</v>
      </c>
      <c r="CG47" s="13" t="str">
        <f>VLOOKUP($G47,'Visu totale'!$D$3:$DT$129,CG$1,0)</f>
        <v>NANCY_D</v>
      </c>
      <c r="CH47" s="13" t="str">
        <f>VLOOKUP($G47,'Visu totale'!$D$3:$DT$129,CH$1,0)</f>
        <v>NANCY_D</v>
      </c>
      <c r="CI47" s="13" t="str">
        <f>VLOOKUP($G47,'Visu totale'!$D$3:$DT$129,CI$1,0)</f>
        <v>NANCY_D</v>
      </c>
      <c r="CJ47" s="13" t="str">
        <f>VLOOKUP($G47,'Visu totale'!$D$3:$DT$129,CJ$1,0)</f>
        <v>NANCY_D</v>
      </c>
      <c r="CK47" s="13">
        <f>VLOOKUP($G47,'Visu totale'!$D$3:$DT$129,CK$1,0)</f>
        <v>18</v>
      </c>
      <c r="CL47" s="15">
        <f>VLOOKUP($G47,'Visu totale'!$D$3:$DT$129,CL$1,0)</f>
        <v>18</v>
      </c>
      <c r="CM47" s="14" t="str">
        <f>VLOOKUP($G47,'Visu totale'!$D$3:$DT$129,CM$1,0)</f>
        <v>NANCY_D</v>
      </c>
      <c r="CN47" s="13" t="str">
        <f>VLOOKUP($G47,'Visu totale'!$D$3:$DT$129,CN$1,0)</f>
        <v>NANCY_D</v>
      </c>
      <c r="CO47" s="13" t="str">
        <f>VLOOKUP($G47,'Visu totale'!$D$3:$DT$129,CO$1,0)</f>
        <v>NANCY_D</v>
      </c>
      <c r="CP47" s="13" t="str">
        <f>VLOOKUP($G47,'Visu totale'!$D$3:$DT$129,CP$1,0)</f>
        <v>NANCY_D</v>
      </c>
      <c r="CQ47" s="13">
        <f>VLOOKUP($G47,'Visu totale'!$D$3:$DT$129,CQ$1,0)</f>
        <v>18</v>
      </c>
      <c r="CR47" s="13">
        <f>VLOOKUP($G47,'Visu totale'!$D$3:$DT$129,CR$1,0)</f>
        <v>18</v>
      </c>
      <c r="CS47" s="13" t="str">
        <f>VLOOKUP($G47,'Visu totale'!$D$3:$DT$129,CS$1,0)</f>
        <v>NANCY_D</v>
      </c>
      <c r="CT47" s="13" t="str">
        <f>VLOOKUP($G47,'Visu totale'!$D$3:$DT$129,CT$1,0)</f>
        <v>NANCY_D</v>
      </c>
      <c r="CU47" s="13" t="str">
        <f>VLOOKUP($G47,'Visu totale'!$D$3:$DT$129,CU$1,0)</f>
        <v>NANCY_D</v>
      </c>
      <c r="CV47" s="13" t="str">
        <f>VLOOKUP($G47,'Visu totale'!$D$3:$DT$129,CV$1,0)</f>
        <v>NANCY_D</v>
      </c>
      <c r="CW47" s="13">
        <f>VLOOKUP($G47,'Visu totale'!$D$3:$DT$129,CW$1,0)</f>
        <v>18</v>
      </c>
      <c r="CX47" s="15">
        <f>VLOOKUP($G47,'Visu totale'!$D$3:$DT$129,CX$1,0)</f>
        <v>18</v>
      </c>
      <c r="CY47" s="14">
        <f>VLOOKUP($G47,'Visu totale'!$D$3:$DT$129,CY$1,0)</f>
        <v>0</v>
      </c>
      <c r="CZ47" s="13">
        <f>VLOOKUP($G47,'Visu totale'!$D$3:$DT$129,CZ$1,0)</f>
        <v>0</v>
      </c>
      <c r="DA47" s="13">
        <f>VLOOKUP($G47,'Visu totale'!$D$3:$DT$129,DA$1,0)</f>
        <v>0</v>
      </c>
      <c r="DB47" s="13">
        <f>VLOOKUP($G47,'Visu totale'!$D$3:$DT$129,DB$1,0)</f>
        <v>0</v>
      </c>
      <c r="DC47" s="13">
        <f>VLOOKUP($G47,'Visu totale'!$D$3:$DT$129,DC$1,0)</f>
        <v>0</v>
      </c>
      <c r="DD47" s="13">
        <f>VLOOKUP($G47,'Visu totale'!$D$3:$DT$129,DD$1,0)</f>
        <v>0</v>
      </c>
      <c r="DE47" s="13">
        <f>VLOOKUP($G47,'Visu totale'!$D$3:$DT$129,DE$1,0)</f>
        <v>0</v>
      </c>
      <c r="DF47" s="13">
        <f>VLOOKUP($G47,'Visu totale'!$D$3:$DT$129,DF$1,0)</f>
        <v>0</v>
      </c>
      <c r="DG47" s="13">
        <f>VLOOKUP($G47,'Visu totale'!$D$3:$DT$129,DG$1,0)</f>
        <v>0</v>
      </c>
      <c r="DH47" s="13">
        <f>VLOOKUP($G47,'Visu totale'!$D$3:$DT$129,DH$1,0)</f>
        <v>0</v>
      </c>
      <c r="DI47" s="13">
        <f>VLOOKUP($G47,'Visu totale'!$D$3:$DT$129,DI$1,0)</f>
        <v>0</v>
      </c>
      <c r="DJ47" s="15">
        <f>VLOOKUP($G47,'Visu totale'!$D$3:$DT$129,DJ$1,0)</f>
        <v>0</v>
      </c>
      <c r="DK47" s="14">
        <f>VLOOKUP($G47,'Visu totale'!$D$3:$DT$129,DK$1,0)</f>
        <v>0</v>
      </c>
      <c r="DL47" s="13">
        <f>VLOOKUP($G47,'Visu totale'!$D$3:$DT$129,DL$1,0)</f>
        <v>0</v>
      </c>
      <c r="DM47" s="13">
        <f>VLOOKUP($G47,'Visu totale'!$D$3:$DT$129,DM$1,0)</f>
        <v>0</v>
      </c>
      <c r="DN47" s="13">
        <f>VLOOKUP($G47,'Visu totale'!$D$3:$DT$129,DN$1,0)</f>
        <v>0</v>
      </c>
      <c r="DO47" s="13">
        <f>VLOOKUP($G47,'Visu totale'!$D$3:$DT$129,DO$1,0)</f>
        <v>0</v>
      </c>
      <c r="DP47" s="13">
        <f>VLOOKUP($G47,'Visu totale'!$D$3:$DT$129,DP$1,0)</f>
        <v>0</v>
      </c>
      <c r="DQ47" s="13">
        <f>VLOOKUP($G47,'Visu totale'!$D$3:$DT$129,DQ$1,0)</f>
        <v>0</v>
      </c>
      <c r="DR47" s="13">
        <f>VLOOKUP($G47,'Visu totale'!$D$3:$DT$129,DR$1,0)</f>
        <v>0</v>
      </c>
      <c r="DS47" s="13">
        <f>VLOOKUP($G47,'Visu totale'!$D$3:$DT$129,DS$1,0)</f>
        <v>0</v>
      </c>
      <c r="DT47" s="13">
        <f>VLOOKUP($G47,'Visu totale'!$D$3:$DT$129,DT$1,0)</f>
        <v>0</v>
      </c>
      <c r="DU47" s="13">
        <f>VLOOKUP($G47,'Visu totale'!$D$3:$DT$129,DU$1,0)</f>
        <v>0</v>
      </c>
      <c r="DV47" s="15">
        <f>VLOOKUP($G47,'Visu totale'!$D$3:$DT$129,DV$1,0)</f>
        <v>0</v>
      </c>
    </row>
    <row r="48" spans="1:126" x14ac:dyDescent="0.25">
      <c r="A48" s="13"/>
      <c r="B48" s="13"/>
      <c r="C48" s="13"/>
      <c r="D48" s="16"/>
      <c r="E48" s="14"/>
      <c r="F48" s="13"/>
      <c r="G48" s="17" t="s">
        <v>50</v>
      </c>
      <c r="H48" s="13">
        <f>VLOOKUP($G48,'Visu totale'!$D$3:$DT$129,H$1,0)</f>
        <v>18</v>
      </c>
      <c r="I48" s="13" t="str">
        <f>VLOOKUP($G48,'Visu totale'!$D$3:$DT$129,I$1,0)</f>
        <v>NANCY_D</v>
      </c>
      <c r="J48" s="13" t="str">
        <f>VLOOKUP($G48,'Visu totale'!$D$3:$DT$129,J$1,0)</f>
        <v>NANCY_D</v>
      </c>
      <c r="K48" s="13" t="str">
        <f>VLOOKUP($G48,'Visu totale'!$D$3:$DT$129,K$1,0)</f>
        <v>NANCY_D</v>
      </c>
      <c r="L48" s="13" t="str">
        <f>VLOOKUP($G48,'Visu totale'!$D$3:$DT$129,L$1,0)</f>
        <v>NANCY_D</v>
      </c>
      <c r="M48" s="13">
        <f>VLOOKUP($G48,'Visu totale'!$D$3:$DT$129,M$1,0)</f>
        <v>18</v>
      </c>
      <c r="N48" s="13">
        <f>VLOOKUP($G48,'Visu totale'!$D$3:$DT$129,N$1,0)</f>
        <v>18</v>
      </c>
      <c r="O48" s="13" t="str">
        <f>VLOOKUP($G48,'Visu totale'!$D$3:$DT$129,O$1,0)</f>
        <v>NANCY_D</v>
      </c>
      <c r="P48" s="13" t="str">
        <f>VLOOKUP($G48,'Visu totale'!$D$3:$DT$129,P$1,0)</f>
        <v>NANCY_D</v>
      </c>
      <c r="Q48" s="13" t="str">
        <f>VLOOKUP($G48,'Visu totale'!$D$3:$DT$129,Q$1,0)</f>
        <v>NANCY_D</v>
      </c>
      <c r="R48" s="15" t="str">
        <f>VLOOKUP($G48,'Visu totale'!$D$3:$DT$129,R$1,0)</f>
        <v>NANCY_D</v>
      </c>
      <c r="S48" s="14">
        <f>VLOOKUP($G48,'Visu totale'!$D$3:$DT$129,S$1,0)</f>
        <v>18</v>
      </c>
      <c r="T48" s="13">
        <f>VLOOKUP($G48,'Visu totale'!$D$3:$DT$129,T$1,0)</f>
        <v>18</v>
      </c>
      <c r="U48" s="13" t="str">
        <f>VLOOKUP($G48,'Visu totale'!$D$3:$DT$129,U$1,0)</f>
        <v>NANCY_D</v>
      </c>
      <c r="V48" s="13" t="str">
        <f>VLOOKUP($G48,'Visu totale'!$D$3:$DT$129,V$1,0)</f>
        <v>NANCY_D</v>
      </c>
      <c r="W48" s="13" t="str">
        <f>VLOOKUP($G48,'Visu totale'!$D$3:$DT$129,W$1,0)</f>
        <v>NANCY_D</v>
      </c>
      <c r="X48" s="13" t="str">
        <f>VLOOKUP($G48,'Visu totale'!$D$3:$DT$129,X$1,0)</f>
        <v>NANCY_D</v>
      </c>
      <c r="Y48" s="13">
        <f>VLOOKUP($G48,'Visu totale'!$D$3:$DT$129,Y$1,0)</f>
        <v>18</v>
      </c>
      <c r="Z48" s="13">
        <f>VLOOKUP($G48,'Visu totale'!$D$3:$DT$129,Z$1,0)</f>
        <v>18</v>
      </c>
      <c r="AA48" s="13" t="str">
        <f>VLOOKUP($G48,'Visu totale'!$D$3:$DT$129,AA$1,0)</f>
        <v>NANCY_D</v>
      </c>
      <c r="AB48" s="13" t="str">
        <f>VLOOKUP($G48,'Visu totale'!$D$3:$DT$129,AB$1,0)</f>
        <v>NANCY_D</v>
      </c>
      <c r="AC48" s="13" t="str">
        <f>VLOOKUP($G48,'Visu totale'!$D$3:$DT$129,AC$1,0)</f>
        <v>NANCY_D</v>
      </c>
      <c r="AD48" s="15" t="str">
        <f>VLOOKUP($G48,'Visu totale'!$D$3:$DT$129,AD$1,0)</f>
        <v>NANCY_D</v>
      </c>
      <c r="AE48" s="14">
        <f>VLOOKUP($G48,'Visu totale'!$D$3:$DT$129,AE$1,0)</f>
        <v>18</v>
      </c>
      <c r="AF48" s="13">
        <f>VLOOKUP($G48,'Visu totale'!$D$3:$DT$129,AF$1,0)</f>
        <v>18</v>
      </c>
      <c r="AG48" s="13" t="str">
        <f>VLOOKUP($G48,'Visu totale'!$D$3:$DT$129,AG$1,0)</f>
        <v>NANCY_D</v>
      </c>
      <c r="AH48" s="13" t="str">
        <f>VLOOKUP($G48,'Visu totale'!$D$3:$DT$129,AH$1,0)</f>
        <v>NANCY_D</v>
      </c>
      <c r="AI48" s="13" t="str">
        <f>VLOOKUP($G48,'Visu totale'!$D$3:$DT$129,AI$1,0)</f>
        <v>NANCY_D</v>
      </c>
      <c r="AJ48" s="13" t="str">
        <f>VLOOKUP($G48,'Visu totale'!$D$3:$DT$129,AJ$1,0)</f>
        <v>NANCY_D</v>
      </c>
      <c r="AK48" s="13">
        <f>VLOOKUP($G48,'Visu totale'!$D$3:$DT$129,AK$1,0)</f>
        <v>18</v>
      </c>
      <c r="AL48" s="13">
        <f>VLOOKUP($G48,'Visu totale'!$D$3:$DT$129,AL$1,0)</f>
        <v>18</v>
      </c>
      <c r="AM48" s="13" t="str">
        <f>VLOOKUP($G48,'Visu totale'!$D$3:$DT$129,AM$1,0)</f>
        <v>NANCY_D</v>
      </c>
      <c r="AN48" s="13" t="str">
        <f>VLOOKUP($G48,'Visu totale'!$D$3:$DT$129,AN$1,0)</f>
        <v>NANCY_D</v>
      </c>
      <c r="AO48" s="13" t="str">
        <f>VLOOKUP($G48,'Visu totale'!$D$3:$DT$129,AO$1,0)</f>
        <v>NANCY_D</v>
      </c>
      <c r="AP48" s="15" t="str">
        <f>VLOOKUP($G48,'Visu totale'!$D$3:$DT$129,AP$1,0)</f>
        <v>NANCY_D</v>
      </c>
      <c r="AQ48" s="14">
        <f>VLOOKUP($G48,'Visu totale'!$D$3:$DT$129,AQ$1,0)</f>
        <v>18</v>
      </c>
      <c r="AR48" s="13" t="str">
        <f>VLOOKUP($G48,'Visu totale'!$D$3:$DT$129,AR$1,0)</f>
        <v>V10</v>
      </c>
      <c r="AS48" s="13" t="str">
        <f>VLOOKUP($G48,'Visu totale'!$D$3:$DT$129,AS$1,0)</f>
        <v>V10</v>
      </c>
      <c r="AT48" s="13" t="str">
        <f>VLOOKUP($G48,'Visu totale'!$D$3:$DT$129,AT$1,0)</f>
        <v>V10</v>
      </c>
      <c r="AU48" s="13" t="str">
        <f>VLOOKUP($G48,'Visu totale'!$D$3:$DT$129,AU$1,0)</f>
        <v>V10</v>
      </c>
      <c r="AV48" s="13" t="str">
        <f>VLOOKUP($G48,'Visu totale'!$D$3:$DT$129,AV$1,0)</f>
        <v>V10</v>
      </c>
      <c r="AW48" s="13" t="str">
        <f>VLOOKUP($G48,'Visu totale'!$D$3:$DT$129,AW$1,0)</f>
        <v>V10</v>
      </c>
      <c r="AX48" s="13">
        <f>VLOOKUP($G48,'Visu totale'!$D$3:$DT$129,AX$1,0)</f>
        <v>18</v>
      </c>
      <c r="AY48" s="13">
        <f>VLOOKUP($G48,'Visu totale'!$D$3:$DT$129,AY$1,0)</f>
        <v>18</v>
      </c>
      <c r="AZ48" s="13" t="str">
        <f>VLOOKUP($G48,'Visu totale'!$D$3:$DT$129,AZ$1,0)</f>
        <v>NANCY_D</v>
      </c>
      <c r="BA48" s="13" t="str">
        <f>VLOOKUP($G48,'Visu totale'!$D$3:$DT$129,BA$1,0)</f>
        <v>NANCY_D</v>
      </c>
      <c r="BB48" s="15" t="str">
        <f>VLOOKUP($G48,'Visu totale'!$D$3:$DT$129,BB$1,0)</f>
        <v>NANCY_D</v>
      </c>
      <c r="BC48" s="14" t="str">
        <f>VLOOKUP($G48,'Visu totale'!$D$3:$DT$129,BC$1,0)</f>
        <v>NANCY_D</v>
      </c>
      <c r="BD48" s="13">
        <f>VLOOKUP($G48,'Visu totale'!$D$3:$DT$129,BD$1,0)</f>
        <v>18</v>
      </c>
      <c r="BE48" s="13">
        <f>VLOOKUP($G48,'Visu totale'!$D$3:$DT$129,BE$1,0)</f>
        <v>18</v>
      </c>
      <c r="BF48" s="13" t="str">
        <f>VLOOKUP($G48,'Visu totale'!$D$3:$DT$129,BF$1,0)</f>
        <v>NANCY_D</v>
      </c>
      <c r="BG48" s="13" t="str">
        <f>VLOOKUP($G48,'Visu totale'!$D$3:$DT$129,BG$1,0)</f>
        <v>NANCY_D</v>
      </c>
      <c r="BH48" s="13" t="str">
        <f>VLOOKUP($G48,'Visu totale'!$D$3:$DT$129,BH$1,0)</f>
        <v>NANCY_D</v>
      </c>
      <c r="BI48" s="13" t="str">
        <f>VLOOKUP($G48,'Visu totale'!$D$3:$DT$129,BI$1,0)</f>
        <v>NANCY_D</v>
      </c>
      <c r="BJ48" s="13">
        <f>VLOOKUP($G48,'Visu totale'!$D$3:$DT$129,BJ$1,0)</f>
        <v>18</v>
      </c>
      <c r="BK48" s="13">
        <f>VLOOKUP($G48,'Visu totale'!$D$3:$DT$129,BK$1,0)</f>
        <v>18</v>
      </c>
      <c r="BL48" s="13" t="str">
        <f>VLOOKUP($G48,'Visu totale'!$D$3:$DT$129,BL$1,0)</f>
        <v>NANCY_D</v>
      </c>
      <c r="BM48" s="13" t="str">
        <f>VLOOKUP($G48,'Visu totale'!$D$3:$DT$129,BM$1,0)</f>
        <v>NANCY_D</v>
      </c>
      <c r="BN48" s="15" t="str">
        <f>VLOOKUP($G48,'Visu totale'!$D$3:$DT$129,BN$1,0)</f>
        <v>NANCY_D</v>
      </c>
      <c r="BO48" s="14">
        <f>VLOOKUP($G48,'Visu totale'!$D$3:$DT$129,BO$1,0)</f>
        <v>18</v>
      </c>
      <c r="BP48" s="13">
        <f>VLOOKUP($G48,'Visu totale'!$D$3:$DT$129,BP$1,0)</f>
        <v>18</v>
      </c>
      <c r="BQ48" s="13" t="str">
        <f>VLOOKUP($G48,'Visu totale'!$D$3:$DT$129,BQ$1,0)</f>
        <v>NANCY_D</v>
      </c>
      <c r="BR48" s="13" t="str">
        <f>VLOOKUP($G48,'Visu totale'!$D$3:$DT$129,BR$1,0)</f>
        <v>NANCY_D</v>
      </c>
      <c r="BS48" s="13" t="str">
        <f>VLOOKUP($G48,'Visu totale'!$D$3:$DT$129,BS$1,0)</f>
        <v>NANCY_D</v>
      </c>
      <c r="BT48" s="13" t="str">
        <f>VLOOKUP($G48,'Visu totale'!$D$3:$DT$129,BT$1,0)</f>
        <v>NANCY_D</v>
      </c>
      <c r="BU48" s="13">
        <f>VLOOKUP($G48,'Visu totale'!$D$3:$DT$129,BU$1,0)</f>
        <v>18</v>
      </c>
      <c r="BV48" s="13">
        <f>VLOOKUP($G48,'Visu totale'!$D$3:$DT$129,BV$1,0)</f>
        <v>18</v>
      </c>
      <c r="BW48" s="13" t="str">
        <f>VLOOKUP($G48,'Visu totale'!$D$3:$DT$129,BW$1,0)</f>
        <v>NANCY_D</v>
      </c>
      <c r="BX48" s="13" t="str">
        <f>VLOOKUP($G48,'Visu totale'!$D$3:$DT$129,BX$1,0)</f>
        <v>NANCY_D</v>
      </c>
      <c r="BY48" s="13" t="str">
        <f>VLOOKUP($G48,'Visu totale'!$D$3:$DT$129,BY$1,0)</f>
        <v>NANCY_D</v>
      </c>
      <c r="BZ48" s="15" t="str">
        <f>VLOOKUP($G48,'Visu totale'!$D$3:$DT$129,BZ$1,0)</f>
        <v>NANCY_D</v>
      </c>
      <c r="CA48" s="14">
        <f>VLOOKUP($G48,'Visu totale'!$D$3:$DT$129,CA$1,0)</f>
        <v>18</v>
      </c>
      <c r="CB48" s="13">
        <f>VLOOKUP($G48,'Visu totale'!$D$3:$DT$129,CB$1,0)</f>
        <v>18</v>
      </c>
      <c r="CC48" s="13" t="str">
        <f>VLOOKUP($G48,'Visu totale'!$D$3:$DT$129,CC$1,0)</f>
        <v>NANCY_D</v>
      </c>
      <c r="CD48" s="13" t="str">
        <f>VLOOKUP($G48,'Visu totale'!$D$3:$DT$129,CD$1,0)</f>
        <v>NANCY_D</v>
      </c>
      <c r="CE48" s="13" t="str">
        <f>VLOOKUP($G48,'Visu totale'!$D$3:$DT$129,CE$1,0)</f>
        <v>NANCY_D</v>
      </c>
      <c r="CF48" s="13" t="str">
        <f>VLOOKUP($G48,'Visu totale'!$D$3:$DT$129,CF$1,0)</f>
        <v>NANCY_D</v>
      </c>
      <c r="CG48" s="13">
        <f>VLOOKUP($G48,'Visu totale'!$D$3:$DT$129,CG$1,0)</f>
        <v>18</v>
      </c>
      <c r="CH48" s="13">
        <f>VLOOKUP($G48,'Visu totale'!$D$3:$DT$129,CH$1,0)</f>
        <v>18</v>
      </c>
      <c r="CI48" s="13" t="str">
        <f>VLOOKUP($G48,'Visu totale'!$D$3:$DT$129,CI$1,0)</f>
        <v>NANCY_D</v>
      </c>
      <c r="CJ48" s="13" t="str">
        <f>VLOOKUP($G48,'Visu totale'!$D$3:$DT$129,CJ$1,0)</f>
        <v>NANCY_D</v>
      </c>
      <c r="CK48" s="13" t="str">
        <f>VLOOKUP($G48,'Visu totale'!$D$3:$DT$129,CK$1,0)</f>
        <v>NANCY_D</v>
      </c>
      <c r="CL48" s="15" t="str">
        <f>VLOOKUP($G48,'Visu totale'!$D$3:$DT$129,CL$1,0)</f>
        <v>NANCY_D</v>
      </c>
      <c r="CM48" s="14">
        <f>VLOOKUP($G48,'Visu totale'!$D$3:$DT$129,CM$1,0)</f>
        <v>18</v>
      </c>
      <c r="CN48" s="13">
        <f>VLOOKUP($G48,'Visu totale'!$D$3:$DT$129,CN$1,0)</f>
        <v>18</v>
      </c>
      <c r="CO48" s="13" t="str">
        <f>VLOOKUP($G48,'Visu totale'!$D$3:$DT$129,CO$1,0)</f>
        <v>NANCY_D</v>
      </c>
      <c r="CP48" s="13" t="str">
        <f>VLOOKUP($G48,'Visu totale'!$D$3:$DT$129,CP$1,0)</f>
        <v>NANCY_D</v>
      </c>
      <c r="CQ48" s="13" t="str">
        <f>VLOOKUP($G48,'Visu totale'!$D$3:$DT$129,CQ$1,0)</f>
        <v>NANCY_D</v>
      </c>
      <c r="CR48" s="13" t="str">
        <f>VLOOKUP($G48,'Visu totale'!$D$3:$DT$129,CR$1,0)</f>
        <v>NANCY_D</v>
      </c>
      <c r="CS48" s="13">
        <f>VLOOKUP($G48,'Visu totale'!$D$3:$DT$129,CS$1,0)</f>
        <v>18</v>
      </c>
      <c r="CT48" s="13">
        <f>VLOOKUP($G48,'Visu totale'!$D$3:$DT$129,CT$1,0)</f>
        <v>18</v>
      </c>
      <c r="CU48" s="13">
        <f>VLOOKUP($G48,'Visu totale'!$D$3:$DT$129,CU$1,0)</f>
        <v>18</v>
      </c>
      <c r="CV48" s="13">
        <f>VLOOKUP($G48,'Visu totale'!$D$3:$DT$129,CV$1,0)</f>
        <v>18</v>
      </c>
      <c r="CW48" s="13">
        <f>VLOOKUP($G48,'Visu totale'!$D$3:$DT$129,CW$1,0)</f>
        <v>18</v>
      </c>
      <c r="CX48" s="15">
        <f>VLOOKUP($G48,'Visu totale'!$D$3:$DT$129,CX$1,0)</f>
        <v>18</v>
      </c>
      <c r="CY48" s="14">
        <f>VLOOKUP($G48,'Visu totale'!$D$3:$DT$129,CY$1,0)</f>
        <v>0</v>
      </c>
      <c r="CZ48" s="13">
        <f>VLOOKUP($G48,'Visu totale'!$D$3:$DT$129,CZ$1,0)</f>
        <v>0</v>
      </c>
      <c r="DA48" s="13">
        <f>VLOOKUP($G48,'Visu totale'!$D$3:$DT$129,DA$1,0)</f>
        <v>0</v>
      </c>
      <c r="DB48" s="13">
        <f>VLOOKUP($G48,'Visu totale'!$D$3:$DT$129,DB$1,0)</f>
        <v>0</v>
      </c>
      <c r="DC48" s="13">
        <f>VLOOKUP($G48,'Visu totale'!$D$3:$DT$129,DC$1,0)</f>
        <v>0</v>
      </c>
      <c r="DD48" s="13">
        <f>VLOOKUP($G48,'Visu totale'!$D$3:$DT$129,DD$1,0)</f>
        <v>0</v>
      </c>
      <c r="DE48" s="13">
        <f>VLOOKUP($G48,'Visu totale'!$D$3:$DT$129,DE$1,0)</f>
        <v>0</v>
      </c>
      <c r="DF48" s="13">
        <f>VLOOKUP($G48,'Visu totale'!$D$3:$DT$129,DF$1,0)</f>
        <v>0</v>
      </c>
      <c r="DG48" s="13">
        <f>VLOOKUP($G48,'Visu totale'!$D$3:$DT$129,DG$1,0)</f>
        <v>0</v>
      </c>
      <c r="DH48" s="13">
        <f>VLOOKUP($G48,'Visu totale'!$D$3:$DT$129,DH$1,0)</f>
        <v>0</v>
      </c>
      <c r="DI48" s="13">
        <f>VLOOKUP($G48,'Visu totale'!$D$3:$DT$129,DI$1,0)</f>
        <v>0</v>
      </c>
      <c r="DJ48" s="15">
        <f>VLOOKUP($G48,'Visu totale'!$D$3:$DT$129,DJ$1,0)</f>
        <v>0</v>
      </c>
      <c r="DK48" s="14">
        <f>VLOOKUP($G48,'Visu totale'!$D$3:$DT$129,DK$1,0)</f>
        <v>0</v>
      </c>
      <c r="DL48" s="13">
        <f>VLOOKUP($G48,'Visu totale'!$D$3:$DT$129,DL$1,0)</f>
        <v>0</v>
      </c>
      <c r="DM48" s="13">
        <f>VLOOKUP($G48,'Visu totale'!$D$3:$DT$129,DM$1,0)</f>
        <v>0</v>
      </c>
      <c r="DN48" s="13">
        <f>VLOOKUP($G48,'Visu totale'!$D$3:$DT$129,DN$1,0)</f>
        <v>0</v>
      </c>
      <c r="DO48" s="13">
        <f>VLOOKUP($G48,'Visu totale'!$D$3:$DT$129,DO$1,0)</f>
        <v>0</v>
      </c>
      <c r="DP48" s="13">
        <f>VLOOKUP($G48,'Visu totale'!$D$3:$DT$129,DP$1,0)</f>
        <v>0</v>
      </c>
      <c r="DQ48" s="13">
        <f>VLOOKUP($G48,'Visu totale'!$D$3:$DT$129,DQ$1,0)</f>
        <v>0</v>
      </c>
      <c r="DR48" s="13">
        <f>VLOOKUP($G48,'Visu totale'!$D$3:$DT$129,DR$1,0)</f>
        <v>0</v>
      </c>
      <c r="DS48" s="13">
        <f>VLOOKUP($G48,'Visu totale'!$D$3:$DT$129,DS$1,0)</f>
        <v>0</v>
      </c>
      <c r="DT48" s="13">
        <f>VLOOKUP($G48,'Visu totale'!$D$3:$DT$129,DT$1,0)</f>
        <v>0</v>
      </c>
      <c r="DU48" s="13">
        <f>VLOOKUP($G48,'Visu totale'!$D$3:$DT$129,DU$1,0)</f>
        <v>0</v>
      </c>
      <c r="DV48" s="15">
        <f>VLOOKUP($G48,'Visu totale'!$D$3:$DT$129,DV$1,0)</f>
        <v>0</v>
      </c>
    </row>
    <row r="49" spans="1:126" x14ac:dyDescent="0.25">
      <c r="A49" s="13"/>
      <c r="B49" s="13"/>
      <c r="C49" s="13"/>
      <c r="D49" s="16"/>
      <c r="E49" s="14"/>
      <c r="F49" s="13"/>
      <c r="G49" s="17" t="s">
        <v>51</v>
      </c>
      <c r="H49" s="13">
        <f>VLOOKUP($G49,'Visu totale'!$D$3:$DT$129,H$1,0)</f>
        <v>18</v>
      </c>
      <c r="I49" s="13" t="str">
        <f>VLOOKUP($G49,'Visu totale'!$D$3:$DT$129,I$1,0)</f>
        <v>NANCY_D</v>
      </c>
      <c r="J49" s="13" t="str">
        <f>VLOOKUP($G49,'Visu totale'!$D$3:$DT$129,J$1,0)</f>
        <v>NANCY_D</v>
      </c>
      <c r="K49" s="13" t="str">
        <f>VLOOKUP($G49,'Visu totale'!$D$3:$DT$129,K$1,0)</f>
        <v>NANCY_D</v>
      </c>
      <c r="L49" s="13" t="str">
        <f>VLOOKUP($G49,'Visu totale'!$D$3:$DT$129,L$1,0)</f>
        <v>NANCY_D</v>
      </c>
      <c r="M49" s="13">
        <f>VLOOKUP($G49,'Visu totale'!$D$3:$DT$129,M$1,0)</f>
        <v>18</v>
      </c>
      <c r="N49" s="13" t="str">
        <f>VLOOKUP($G49,'Visu totale'!$D$3:$DT$129,N$1,0)</f>
        <v>V15</v>
      </c>
      <c r="O49" s="13" t="str">
        <f>VLOOKUP($G49,'Visu totale'!$D$3:$DT$129,O$1,0)</f>
        <v>V15</v>
      </c>
      <c r="P49" s="13" t="str">
        <f>VLOOKUP($G49,'Visu totale'!$D$3:$DT$129,P$1,0)</f>
        <v>V15</v>
      </c>
      <c r="Q49" s="13" t="str">
        <f>VLOOKUP($G49,'Visu totale'!$D$3:$DT$129,Q$1,0)</f>
        <v>V15</v>
      </c>
      <c r="R49" s="15" t="str">
        <f>VLOOKUP($G49,'Visu totale'!$D$3:$DT$129,R$1,0)</f>
        <v>V15</v>
      </c>
      <c r="S49" s="14" t="str">
        <f>VLOOKUP($G49,'Visu totale'!$D$3:$DT$129,S$1,0)</f>
        <v>V15</v>
      </c>
      <c r="T49" s="13" t="str">
        <f>VLOOKUP($G49,'Visu totale'!$D$3:$DT$129,T$1,0)</f>
        <v>V15</v>
      </c>
      <c r="U49" s="13">
        <f>VLOOKUP($G49,'Visu totale'!$D$3:$DT$129,U$1,0)</f>
        <v>18</v>
      </c>
      <c r="V49" s="13">
        <f>VLOOKUP($G49,'Visu totale'!$D$3:$DT$129,V$1,0)</f>
        <v>18</v>
      </c>
      <c r="W49" s="13" t="str">
        <f>VLOOKUP($G49,'Visu totale'!$D$3:$DT$129,W$1,0)</f>
        <v>NIAMEY_D</v>
      </c>
      <c r="X49" s="13" t="str">
        <f>VLOOKUP($G49,'Visu totale'!$D$3:$DT$129,X$1,0)</f>
        <v>NIAMEY_D</v>
      </c>
      <c r="Y49" s="13" t="str">
        <f>VLOOKUP($G49,'Visu totale'!$D$3:$DT$129,Y$1,0)</f>
        <v>NIAMEY_D</v>
      </c>
      <c r="Z49" s="13" t="str">
        <f>VLOOKUP($G49,'Visu totale'!$D$3:$DT$129,Z$1,0)</f>
        <v>NIAMEY_D</v>
      </c>
      <c r="AA49" s="13">
        <f>VLOOKUP($G49,'Visu totale'!$D$3:$DT$129,AA$1,0)</f>
        <v>18</v>
      </c>
      <c r="AB49" s="13">
        <f>VLOOKUP($G49,'Visu totale'!$D$3:$DT$129,AB$1,0)</f>
        <v>18</v>
      </c>
      <c r="AC49" s="13" t="str">
        <f>VLOOKUP($G49,'Visu totale'!$D$3:$DT$129,AC$1,0)</f>
        <v>CHAMMAL_D</v>
      </c>
      <c r="AD49" s="15" t="str">
        <f>VLOOKUP($G49,'Visu totale'!$D$3:$DT$129,AD$1,0)</f>
        <v>CHAMMAL_D</v>
      </c>
      <c r="AE49" s="14" t="str">
        <f>VLOOKUP($G49,'Visu totale'!$D$3:$DT$129,AE$1,0)</f>
        <v>CHAMMAL_D</v>
      </c>
      <c r="AF49" s="13" t="str">
        <f>VLOOKUP($G49,'Visu totale'!$D$3:$DT$129,AF$1,0)</f>
        <v>CHAMMAL_D</v>
      </c>
      <c r="AG49" s="13">
        <f>VLOOKUP($G49,'Visu totale'!$D$3:$DT$129,AG$1,0)</f>
        <v>18</v>
      </c>
      <c r="AH49" s="13">
        <f>VLOOKUP($G49,'Visu totale'!$D$3:$DT$129,AH$1,0)</f>
        <v>18</v>
      </c>
      <c r="AI49" s="13" t="str">
        <f>VLOOKUP($G49,'Visu totale'!$D$3:$DT$129,AI$1,0)</f>
        <v>NANCY_D</v>
      </c>
      <c r="AJ49" s="13" t="str">
        <f>VLOOKUP($G49,'Visu totale'!$D$3:$DT$129,AJ$1,0)</f>
        <v>NANCY_D</v>
      </c>
      <c r="AK49" s="13">
        <f>VLOOKUP($G49,'Visu totale'!$D$3:$DT$129,AK$1,0)</f>
        <v>18</v>
      </c>
      <c r="AL49" s="13">
        <f>VLOOKUP($G49,'Visu totale'!$D$3:$DT$129,AL$1,0)</f>
        <v>18</v>
      </c>
      <c r="AM49" s="13" t="str">
        <f>VLOOKUP($G49,'Visu totale'!$D$3:$DT$129,AM$1,0)</f>
        <v>NANCY_D</v>
      </c>
      <c r="AN49" s="13" t="str">
        <f>VLOOKUP($G49,'Visu totale'!$D$3:$DT$129,AN$1,0)</f>
        <v>NANCY_D</v>
      </c>
      <c r="AO49" s="13" t="str">
        <f>VLOOKUP($G49,'Visu totale'!$D$3:$DT$129,AO$1,0)</f>
        <v>NANCY_D</v>
      </c>
      <c r="AP49" s="15" t="str">
        <f>VLOOKUP($G49,'Visu totale'!$D$3:$DT$129,AP$1,0)</f>
        <v>NANCY_D</v>
      </c>
      <c r="AQ49" s="14">
        <f>VLOOKUP($G49,'Visu totale'!$D$3:$DT$129,AQ$1,0)</f>
        <v>18</v>
      </c>
      <c r="AR49" s="13">
        <f>VLOOKUP($G49,'Visu totale'!$D$3:$DT$129,AR$1,0)</f>
        <v>18</v>
      </c>
      <c r="AS49" s="13" t="str">
        <f>VLOOKUP($G49,'Visu totale'!$D$3:$DT$129,AS$1,0)</f>
        <v>NANCY_D</v>
      </c>
      <c r="AT49" s="13" t="str">
        <f>VLOOKUP($G49,'Visu totale'!$D$3:$DT$129,AT$1,0)</f>
        <v>NANCY_D</v>
      </c>
      <c r="AU49" s="13" t="str">
        <f>VLOOKUP($G49,'Visu totale'!$D$3:$DT$129,AU$1,0)</f>
        <v>NANCY_D</v>
      </c>
      <c r="AV49" s="13" t="str">
        <f>VLOOKUP($G49,'Visu totale'!$D$3:$DT$129,AV$1,0)</f>
        <v>NANCY_D</v>
      </c>
      <c r="AW49" s="13">
        <f>VLOOKUP($G49,'Visu totale'!$D$3:$DT$129,AW$1,0)</f>
        <v>18</v>
      </c>
      <c r="AX49" s="13">
        <f>VLOOKUP($G49,'Visu totale'!$D$3:$DT$129,AX$1,0)</f>
        <v>18</v>
      </c>
      <c r="AY49" s="13">
        <f>VLOOKUP($G49,'Visu totale'!$D$3:$DT$129,AY$1,0)</f>
        <v>18</v>
      </c>
      <c r="AZ49" s="13">
        <f>VLOOKUP($G49,'Visu totale'!$D$3:$DT$129,AZ$1,0)</f>
        <v>18</v>
      </c>
      <c r="BA49" s="13">
        <f>VLOOKUP($G49,'Visu totale'!$D$3:$DT$129,BA$1,0)</f>
        <v>18</v>
      </c>
      <c r="BB49" s="15">
        <f>VLOOKUP($G49,'Visu totale'!$D$3:$DT$129,BB$1,0)</f>
        <v>18</v>
      </c>
      <c r="BC49" s="14">
        <f>VLOOKUP($G49,'Visu totale'!$D$3:$DT$129,BC$1,0)</f>
        <v>18</v>
      </c>
      <c r="BD49" s="13">
        <f>VLOOKUP($G49,'Visu totale'!$D$3:$DT$129,BD$1,0)</f>
        <v>18</v>
      </c>
      <c r="BE49" s="13">
        <f>VLOOKUP($G49,'Visu totale'!$D$3:$DT$129,BE$1,0)</f>
        <v>18</v>
      </c>
      <c r="BF49" s="13">
        <f>VLOOKUP($G49,'Visu totale'!$D$3:$DT$129,BF$1,0)</f>
        <v>18</v>
      </c>
      <c r="BG49" s="13">
        <f>VLOOKUP($G49,'Visu totale'!$D$3:$DT$129,BG$1,0)</f>
        <v>0</v>
      </c>
      <c r="BH49" s="13">
        <f>VLOOKUP($G49,'Visu totale'!$D$3:$DT$129,BH$1,0)</f>
        <v>0</v>
      </c>
      <c r="BI49" s="13">
        <f>VLOOKUP($G49,'Visu totale'!$D$3:$DT$129,BI$1,0)</f>
        <v>0</v>
      </c>
      <c r="BJ49" s="13">
        <f>VLOOKUP($G49,'Visu totale'!$D$3:$DT$129,BJ$1,0)</f>
        <v>0</v>
      </c>
      <c r="BK49" s="13">
        <f>VLOOKUP($G49,'Visu totale'!$D$3:$DT$129,BK$1,0)</f>
        <v>0</v>
      </c>
      <c r="BL49" s="13">
        <f>VLOOKUP($G49,'Visu totale'!$D$3:$DT$129,BL$1,0)</f>
        <v>0</v>
      </c>
      <c r="BM49" s="13">
        <f>VLOOKUP($G49,'Visu totale'!$D$3:$DT$129,BM$1,0)</f>
        <v>0</v>
      </c>
      <c r="BN49" s="15">
        <f>VLOOKUP($G49,'Visu totale'!$D$3:$DT$129,BN$1,0)</f>
        <v>0</v>
      </c>
      <c r="BO49" s="14">
        <f>VLOOKUP($G49,'Visu totale'!$D$3:$DT$129,BO$1,0)</f>
        <v>18</v>
      </c>
      <c r="BP49" s="13">
        <f>VLOOKUP($G49,'Visu totale'!$D$3:$DT$129,BP$1,0)</f>
        <v>18</v>
      </c>
      <c r="BQ49" s="13" t="str">
        <f>VLOOKUP($G49,'Visu totale'!$D$3:$DT$129,BQ$1,0)</f>
        <v>NANCY_D</v>
      </c>
      <c r="BR49" s="13" t="str">
        <f>VLOOKUP($G49,'Visu totale'!$D$3:$DT$129,BR$1,0)</f>
        <v>NANCY_D</v>
      </c>
      <c r="BS49" s="13" t="str">
        <f>VLOOKUP($G49,'Visu totale'!$D$3:$DT$129,BS$1,0)</f>
        <v>NANCY_D</v>
      </c>
      <c r="BT49" s="13" t="str">
        <f>VLOOKUP($G49,'Visu totale'!$D$3:$DT$129,BT$1,0)</f>
        <v>NANCY_D</v>
      </c>
      <c r="BU49" s="13">
        <f>VLOOKUP($G49,'Visu totale'!$D$3:$DT$129,BU$1,0)</f>
        <v>18</v>
      </c>
      <c r="BV49" s="13">
        <f>VLOOKUP($G49,'Visu totale'!$D$3:$DT$129,BV$1,0)</f>
        <v>18</v>
      </c>
      <c r="BW49" s="13" t="str">
        <f>VLOOKUP($G49,'Visu totale'!$D$3:$DT$129,BW$1,0)</f>
        <v>NANCY_D</v>
      </c>
      <c r="BX49" s="13" t="str">
        <f>VLOOKUP($G49,'Visu totale'!$D$3:$DT$129,BX$1,0)</f>
        <v>NANCY_D</v>
      </c>
      <c r="BY49" s="13" t="str">
        <f>VLOOKUP($G49,'Visu totale'!$D$3:$DT$129,BY$1,0)</f>
        <v>NANCY_D</v>
      </c>
      <c r="BZ49" s="15" t="str">
        <f>VLOOKUP($G49,'Visu totale'!$D$3:$DT$129,BZ$1,0)</f>
        <v>NANCY_D</v>
      </c>
      <c r="CA49" s="14">
        <f>VLOOKUP($G49,'Visu totale'!$D$3:$DT$129,CA$1,0)</f>
        <v>18</v>
      </c>
      <c r="CB49" s="13">
        <f>VLOOKUP($G49,'Visu totale'!$D$3:$DT$129,CB$1,0)</f>
        <v>18</v>
      </c>
      <c r="CC49" s="13">
        <f>VLOOKUP($G49,'Visu totale'!$D$3:$DT$129,CC$1,0)</f>
        <v>18</v>
      </c>
      <c r="CD49" s="13">
        <f>VLOOKUP($G49,'Visu totale'!$D$3:$DT$129,CD$1,0)</f>
        <v>18</v>
      </c>
      <c r="CE49" s="13">
        <f>VLOOKUP($G49,'Visu totale'!$D$3:$DT$129,CE$1,0)</f>
        <v>18</v>
      </c>
      <c r="CF49" s="13">
        <f>VLOOKUP($G49,'Visu totale'!$D$3:$DT$129,CF$1,0)</f>
        <v>18</v>
      </c>
      <c r="CG49" s="13">
        <f>VLOOKUP($G49,'Visu totale'!$D$3:$DT$129,CG$1,0)</f>
        <v>18</v>
      </c>
      <c r="CH49" s="13">
        <f>VLOOKUP($G49,'Visu totale'!$D$3:$DT$129,CH$1,0)</f>
        <v>18</v>
      </c>
      <c r="CI49" s="13">
        <f>VLOOKUP($G49,'Visu totale'!$D$3:$DT$129,CI$1,0)</f>
        <v>18</v>
      </c>
      <c r="CJ49" s="13">
        <f>VLOOKUP($G49,'Visu totale'!$D$3:$DT$129,CJ$1,0)</f>
        <v>0</v>
      </c>
      <c r="CK49" s="13">
        <f>VLOOKUP($G49,'Visu totale'!$D$3:$DT$129,CK$1,0)</f>
        <v>0</v>
      </c>
      <c r="CL49" s="15">
        <f>VLOOKUP($G49,'Visu totale'!$D$3:$DT$129,CL$1,0)</f>
        <v>0</v>
      </c>
      <c r="CM49" s="14">
        <f>VLOOKUP($G49,'Visu totale'!$D$3:$DT$129,CM$1,0)</f>
        <v>0</v>
      </c>
      <c r="CN49" s="13">
        <f>VLOOKUP($G49,'Visu totale'!$D$3:$DT$129,CN$1,0)</f>
        <v>0</v>
      </c>
      <c r="CO49" s="13">
        <f>VLOOKUP($G49,'Visu totale'!$D$3:$DT$129,CO$1,0)</f>
        <v>0</v>
      </c>
      <c r="CP49" s="13">
        <f>VLOOKUP($G49,'Visu totale'!$D$3:$DT$129,CP$1,0)</f>
        <v>0</v>
      </c>
      <c r="CQ49" s="13">
        <f>VLOOKUP($G49,'Visu totale'!$D$3:$DT$129,CQ$1,0)</f>
        <v>0</v>
      </c>
      <c r="CR49" s="13">
        <f>VLOOKUP($G49,'Visu totale'!$D$3:$DT$129,CR$1,0)</f>
        <v>0</v>
      </c>
      <c r="CS49" s="13">
        <f>VLOOKUP($G49,'Visu totale'!$D$3:$DT$129,CS$1,0)</f>
        <v>0</v>
      </c>
      <c r="CT49" s="13">
        <f>VLOOKUP($G49,'Visu totale'!$D$3:$DT$129,CT$1,0)</f>
        <v>18</v>
      </c>
      <c r="CU49" s="13">
        <f>VLOOKUP($G49,'Visu totale'!$D$3:$DT$129,CU$1,0)</f>
        <v>18</v>
      </c>
      <c r="CV49" s="13">
        <f>VLOOKUP($G49,'Visu totale'!$D$3:$DT$129,CV$1,0)</f>
        <v>18</v>
      </c>
      <c r="CW49" s="13">
        <f>VLOOKUP($G49,'Visu totale'!$D$3:$DT$129,CW$1,0)</f>
        <v>18</v>
      </c>
      <c r="CX49" s="15">
        <f>VLOOKUP($G49,'Visu totale'!$D$3:$DT$129,CX$1,0)</f>
        <v>18</v>
      </c>
      <c r="CY49" s="14">
        <f>VLOOKUP($G49,'Visu totale'!$D$3:$DT$129,CY$1,0)</f>
        <v>0</v>
      </c>
      <c r="CZ49" s="13">
        <f>VLOOKUP($G49,'Visu totale'!$D$3:$DT$129,CZ$1,0)</f>
        <v>0</v>
      </c>
      <c r="DA49" s="13">
        <f>VLOOKUP($G49,'Visu totale'!$D$3:$DT$129,DA$1,0)</f>
        <v>0</v>
      </c>
      <c r="DB49" s="13">
        <f>VLOOKUP($G49,'Visu totale'!$D$3:$DT$129,DB$1,0)</f>
        <v>0</v>
      </c>
      <c r="DC49" s="13">
        <f>VLOOKUP($G49,'Visu totale'!$D$3:$DT$129,DC$1,0)</f>
        <v>0</v>
      </c>
      <c r="DD49" s="13">
        <f>VLOOKUP($G49,'Visu totale'!$D$3:$DT$129,DD$1,0)</f>
        <v>0</v>
      </c>
      <c r="DE49" s="13">
        <f>VLOOKUP($G49,'Visu totale'!$D$3:$DT$129,DE$1,0)</f>
        <v>0</v>
      </c>
      <c r="DF49" s="13">
        <f>VLOOKUP($G49,'Visu totale'!$D$3:$DT$129,DF$1,0)</f>
        <v>0</v>
      </c>
      <c r="DG49" s="13">
        <f>VLOOKUP($G49,'Visu totale'!$D$3:$DT$129,DG$1,0)</f>
        <v>0</v>
      </c>
      <c r="DH49" s="13">
        <f>VLOOKUP($G49,'Visu totale'!$D$3:$DT$129,DH$1,0)</f>
        <v>0</v>
      </c>
      <c r="DI49" s="13">
        <f>VLOOKUP($G49,'Visu totale'!$D$3:$DT$129,DI$1,0)</f>
        <v>0</v>
      </c>
      <c r="DJ49" s="15">
        <f>VLOOKUP($G49,'Visu totale'!$D$3:$DT$129,DJ$1,0)</f>
        <v>0</v>
      </c>
      <c r="DK49" s="14">
        <f>VLOOKUP($G49,'Visu totale'!$D$3:$DT$129,DK$1,0)</f>
        <v>0</v>
      </c>
      <c r="DL49" s="13">
        <f>VLOOKUP($G49,'Visu totale'!$D$3:$DT$129,DL$1,0)</f>
        <v>0</v>
      </c>
      <c r="DM49" s="13">
        <f>VLOOKUP($G49,'Visu totale'!$D$3:$DT$129,DM$1,0)</f>
        <v>0</v>
      </c>
      <c r="DN49" s="13">
        <f>VLOOKUP($G49,'Visu totale'!$D$3:$DT$129,DN$1,0)</f>
        <v>0</v>
      </c>
      <c r="DO49" s="13">
        <f>VLOOKUP($G49,'Visu totale'!$D$3:$DT$129,DO$1,0)</f>
        <v>0</v>
      </c>
      <c r="DP49" s="13">
        <f>VLOOKUP($G49,'Visu totale'!$D$3:$DT$129,DP$1,0)</f>
        <v>0</v>
      </c>
      <c r="DQ49" s="13">
        <f>VLOOKUP($G49,'Visu totale'!$D$3:$DT$129,DQ$1,0)</f>
        <v>0</v>
      </c>
      <c r="DR49" s="13">
        <f>VLOOKUP($G49,'Visu totale'!$D$3:$DT$129,DR$1,0)</f>
        <v>0</v>
      </c>
      <c r="DS49" s="13">
        <f>VLOOKUP($G49,'Visu totale'!$D$3:$DT$129,DS$1,0)</f>
        <v>0</v>
      </c>
      <c r="DT49" s="13">
        <f>VLOOKUP($G49,'Visu totale'!$D$3:$DT$129,DT$1,0)</f>
        <v>0</v>
      </c>
      <c r="DU49" s="13">
        <f>VLOOKUP($G49,'Visu totale'!$D$3:$DT$129,DU$1,0)</f>
        <v>0</v>
      </c>
      <c r="DV49" s="15">
        <f>VLOOKUP($G49,'Visu totale'!$D$3:$DT$129,DV$1,0)</f>
        <v>0</v>
      </c>
    </row>
    <row r="50" spans="1:126" x14ac:dyDescent="0.25">
      <c r="A50" s="13"/>
      <c r="B50" s="13"/>
      <c r="C50" s="13"/>
      <c r="D50" s="16"/>
      <c r="E50" s="14"/>
      <c r="F50" s="13"/>
      <c r="G50" s="17" t="s">
        <v>52</v>
      </c>
      <c r="H50" s="13">
        <f>VLOOKUP($G50,'Visu totale'!$D$3:$DT$129,H$1,0)</f>
        <v>18</v>
      </c>
      <c r="I50" s="13" t="str">
        <f>VLOOKUP($G50,'Visu totale'!$D$3:$DT$129,I$1,0)</f>
        <v>NANCY_D</v>
      </c>
      <c r="J50" s="13" t="str">
        <f>VLOOKUP($G50,'Visu totale'!$D$3:$DT$129,J$1,0)</f>
        <v>NANCY_D</v>
      </c>
      <c r="K50" s="13" t="str">
        <f>VLOOKUP($G50,'Visu totale'!$D$3:$DT$129,K$1,0)</f>
        <v>NANCY_D</v>
      </c>
      <c r="L50" s="13" t="str">
        <f>VLOOKUP($G50,'Visu totale'!$D$3:$DT$129,L$1,0)</f>
        <v>NANCY_D</v>
      </c>
      <c r="M50" s="13" t="str">
        <f>VLOOKUP($G50,'Visu totale'!$D$3:$DT$129,M$1,0)</f>
        <v>V10</v>
      </c>
      <c r="N50" s="13" t="str">
        <f>VLOOKUP($G50,'Visu totale'!$D$3:$DT$129,N$1,0)</f>
        <v>V10</v>
      </c>
      <c r="O50" s="13" t="str">
        <f>VLOOKUP($G50,'Visu totale'!$D$3:$DT$129,O$1,0)</f>
        <v>V10</v>
      </c>
      <c r="P50" s="13" t="str">
        <f>VLOOKUP($G50,'Visu totale'!$D$3:$DT$129,P$1,0)</f>
        <v>V10</v>
      </c>
      <c r="Q50" s="13" t="str">
        <f>VLOOKUP($G50,'Visu totale'!$D$3:$DT$129,Q$1,0)</f>
        <v>V10</v>
      </c>
      <c r="R50" s="15" t="str">
        <f>VLOOKUP($G50,'Visu totale'!$D$3:$DT$129,R$1,0)</f>
        <v>V10</v>
      </c>
      <c r="S50" s="14">
        <f>VLOOKUP($G50,'Visu totale'!$D$3:$DT$129,S$1,0)</f>
        <v>18</v>
      </c>
      <c r="T50" s="13">
        <f>VLOOKUP($G50,'Visu totale'!$D$3:$DT$129,T$1,0)</f>
        <v>18</v>
      </c>
      <c r="U50" s="13" t="str">
        <f>VLOOKUP($G50,'Visu totale'!$D$3:$DT$129,U$1,0)</f>
        <v>NANCY_D</v>
      </c>
      <c r="V50" s="13" t="str">
        <f>VLOOKUP($G50,'Visu totale'!$D$3:$DT$129,V$1,0)</f>
        <v>NANCY_D</v>
      </c>
      <c r="W50" s="13" t="str">
        <f>VLOOKUP($G50,'Visu totale'!$D$3:$DT$129,W$1,0)</f>
        <v>NANCY_D</v>
      </c>
      <c r="X50" s="13" t="str">
        <f>VLOOKUP($G50,'Visu totale'!$D$3:$DT$129,X$1,0)</f>
        <v>NANCY_D</v>
      </c>
      <c r="Y50" s="13">
        <f>VLOOKUP($G50,'Visu totale'!$D$3:$DT$129,Y$1,0)</f>
        <v>18</v>
      </c>
      <c r="Z50" s="13">
        <f>VLOOKUP($G50,'Visu totale'!$D$3:$DT$129,Z$1,0)</f>
        <v>18</v>
      </c>
      <c r="AA50" s="13" t="str">
        <f>VLOOKUP($G50,'Visu totale'!$D$3:$DT$129,AA$1,0)</f>
        <v>NANCY_D</v>
      </c>
      <c r="AB50" s="13" t="str">
        <f>VLOOKUP($G50,'Visu totale'!$D$3:$DT$129,AB$1,0)</f>
        <v>NANCY_D</v>
      </c>
      <c r="AC50" s="13" t="str">
        <f>VLOOKUP($G50,'Visu totale'!$D$3:$DT$129,AC$1,0)</f>
        <v>NANCY_D</v>
      </c>
      <c r="AD50" s="15" t="str">
        <f>VLOOKUP($G50,'Visu totale'!$D$3:$DT$129,AD$1,0)</f>
        <v>NANCY_D</v>
      </c>
      <c r="AE50" s="14">
        <f>VLOOKUP($G50,'Visu totale'!$D$3:$DT$129,AE$1,0)</f>
        <v>18</v>
      </c>
      <c r="AF50" s="13">
        <f>VLOOKUP($G50,'Visu totale'!$D$3:$DT$129,AF$1,0)</f>
        <v>18</v>
      </c>
      <c r="AG50" s="13" t="str">
        <f>VLOOKUP($G50,'Visu totale'!$D$3:$DT$129,AG$1,0)</f>
        <v>NANCY_D</v>
      </c>
      <c r="AH50" s="13" t="str">
        <f>VLOOKUP($G50,'Visu totale'!$D$3:$DT$129,AH$1,0)</f>
        <v>NANCY_D</v>
      </c>
      <c r="AI50" s="13" t="str">
        <f>VLOOKUP($G50,'Visu totale'!$D$3:$DT$129,AI$1,0)</f>
        <v>NANCY_D</v>
      </c>
      <c r="AJ50" s="13" t="str">
        <f>VLOOKUP($G50,'Visu totale'!$D$3:$DT$129,AJ$1,0)</f>
        <v>NANCY_D</v>
      </c>
      <c r="AK50" s="13">
        <f>VLOOKUP($G50,'Visu totale'!$D$3:$DT$129,AK$1,0)</f>
        <v>18</v>
      </c>
      <c r="AL50" s="13">
        <f>VLOOKUP($G50,'Visu totale'!$D$3:$DT$129,AL$1,0)</f>
        <v>18</v>
      </c>
      <c r="AM50" s="13" t="str">
        <f>VLOOKUP($G50,'Visu totale'!$D$3:$DT$129,AM$1,0)</f>
        <v>NANCY_D</v>
      </c>
      <c r="AN50" s="13" t="str">
        <f>VLOOKUP($G50,'Visu totale'!$D$3:$DT$129,AN$1,0)</f>
        <v>NANCY_D</v>
      </c>
      <c r="AO50" s="13" t="str">
        <f>VLOOKUP($G50,'Visu totale'!$D$3:$DT$129,AO$1,0)</f>
        <v>NANCY_D</v>
      </c>
      <c r="AP50" s="15" t="str">
        <f>VLOOKUP($G50,'Visu totale'!$D$3:$DT$129,AP$1,0)</f>
        <v>NANCY_D</v>
      </c>
      <c r="AQ50" s="14">
        <f>VLOOKUP($G50,'Visu totale'!$D$3:$DT$129,AQ$1,0)</f>
        <v>18</v>
      </c>
      <c r="AR50" s="13">
        <f>VLOOKUP($G50,'Visu totale'!$D$3:$DT$129,AR$1,0)</f>
        <v>18</v>
      </c>
      <c r="AS50" s="13" t="str">
        <f>VLOOKUP($G50,'Visu totale'!$D$3:$DT$129,AS$1,0)</f>
        <v>NANCY_D</v>
      </c>
      <c r="AT50" s="13" t="str">
        <f>VLOOKUP($G50,'Visu totale'!$D$3:$DT$129,AT$1,0)</f>
        <v>NANCY_D</v>
      </c>
      <c r="AU50" s="13" t="str">
        <f>VLOOKUP($G50,'Visu totale'!$D$3:$DT$129,AU$1,0)</f>
        <v>NANCY_D</v>
      </c>
      <c r="AV50" s="13" t="str">
        <f>VLOOKUP($G50,'Visu totale'!$D$3:$DT$129,AV$1,0)</f>
        <v>NANCY_D</v>
      </c>
      <c r="AW50" s="13">
        <f>VLOOKUP($G50,'Visu totale'!$D$3:$DT$129,AW$1,0)</f>
        <v>18</v>
      </c>
      <c r="AX50" s="13">
        <f>VLOOKUP($G50,'Visu totale'!$D$3:$DT$129,AX$1,0)</f>
        <v>18</v>
      </c>
      <c r="AY50" s="13" t="str">
        <f>VLOOKUP($G50,'Visu totale'!$D$3:$DT$129,AY$1,0)</f>
        <v>NANCY_D</v>
      </c>
      <c r="AZ50" s="13" t="str">
        <f>VLOOKUP($G50,'Visu totale'!$D$3:$DT$129,AZ$1,0)</f>
        <v>NANCY_D</v>
      </c>
      <c r="BA50" s="13" t="str">
        <f>VLOOKUP($G50,'Visu totale'!$D$3:$DT$129,BA$1,0)</f>
        <v>NANCY_D</v>
      </c>
      <c r="BB50" s="15" t="str">
        <f>VLOOKUP($G50,'Visu totale'!$D$3:$DT$129,BB$1,0)</f>
        <v>NANCY_D</v>
      </c>
      <c r="BC50" s="14">
        <f>VLOOKUP($G50,'Visu totale'!$D$3:$DT$129,BC$1,0)</f>
        <v>18</v>
      </c>
      <c r="BD50" s="13">
        <f>VLOOKUP($G50,'Visu totale'!$D$3:$DT$129,BD$1,0)</f>
        <v>18</v>
      </c>
      <c r="BE50" s="13" t="str">
        <f>VLOOKUP($G50,'Visu totale'!$D$3:$DT$129,BE$1,0)</f>
        <v>NANCY_D</v>
      </c>
      <c r="BF50" s="13" t="str">
        <f>VLOOKUP($G50,'Visu totale'!$D$3:$DT$129,BF$1,0)</f>
        <v>NANCY_D</v>
      </c>
      <c r="BG50" s="13" t="str">
        <f>VLOOKUP($G50,'Visu totale'!$D$3:$DT$129,BG$1,0)</f>
        <v>NANCY_D</v>
      </c>
      <c r="BH50" s="13" t="str">
        <f>VLOOKUP($G50,'Visu totale'!$D$3:$DT$129,BH$1,0)</f>
        <v>NANCY_D</v>
      </c>
      <c r="BI50" s="13">
        <f>VLOOKUP($G50,'Visu totale'!$D$3:$DT$129,BI$1,0)</f>
        <v>18</v>
      </c>
      <c r="BJ50" s="13">
        <f>VLOOKUP($G50,'Visu totale'!$D$3:$DT$129,BJ$1,0)</f>
        <v>18</v>
      </c>
      <c r="BK50" s="13" t="str">
        <f>VLOOKUP($G50,'Visu totale'!$D$3:$DT$129,BK$1,0)</f>
        <v>NANCY_D</v>
      </c>
      <c r="BL50" s="13" t="str">
        <f>VLOOKUP($G50,'Visu totale'!$D$3:$DT$129,BL$1,0)</f>
        <v>NANCY_D</v>
      </c>
      <c r="BM50" s="13" t="str">
        <f>VLOOKUP($G50,'Visu totale'!$D$3:$DT$129,BM$1,0)</f>
        <v>NANCY_D</v>
      </c>
      <c r="BN50" s="15" t="str">
        <f>VLOOKUP($G50,'Visu totale'!$D$3:$DT$129,BN$1,0)</f>
        <v>NANCY_D</v>
      </c>
      <c r="BO50" s="14" t="str">
        <f>VLOOKUP($G50,'Visu totale'!$D$3:$DT$129,BO$1,0)</f>
        <v>V15</v>
      </c>
      <c r="BP50" s="13">
        <f>VLOOKUP($G50,'Visu totale'!$D$3:$DT$129,BP$1,0)</f>
        <v>18</v>
      </c>
      <c r="BQ50" s="13">
        <f>VLOOKUP($G50,'Visu totale'!$D$3:$DT$129,BQ$1,0)</f>
        <v>18</v>
      </c>
      <c r="BR50" s="13" t="str">
        <f>VLOOKUP($G50,'Visu totale'!$D$3:$DT$129,BR$1,0)</f>
        <v>NANCY_D</v>
      </c>
      <c r="BS50" s="13" t="str">
        <f>VLOOKUP($G50,'Visu totale'!$D$3:$DT$129,BS$1,0)</f>
        <v>NANCY_D</v>
      </c>
      <c r="BT50" s="13" t="str">
        <f>VLOOKUP($G50,'Visu totale'!$D$3:$DT$129,BT$1,0)</f>
        <v>NANCY_D</v>
      </c>
      <c r="BU50" s="13" t="str">
        <f>VLOOKUP($G50,'Visu totale'!$D$3:$DT$129,BU$1,0)</f>
        <v>NANCY_D</v>
      </c>
      <c r="BV50" s="13">
        <f>VLOOKUP($G50,'Visu totale'!$D$3:$DT$129,BV$1,0)</f>
        <v>18</v>
      </c>
      <c r="BW50" s="13">
        <f>VLOOKUP($G50,'Visu totale'!$D$3:$DT$129,BW$1,0)</f>
        <v>18</v>
      </c>
      <c r="BX50" s="13" t="str">
        <f>VLOOKUP($G50,'Visu totale'!$D$3:$DT$129,BX$1,0)</f>
        <v>NANCY_D</v>
      </c>
      <c r="BY50" s="13" t="str">
        <f>VLOOKUP($G50,'Visu totale'!$D$3:$DT$129,BY$1,0)</f>
        <v>NANCY_D</v>
      </c>
      <c r="BZ50" s="15" t="str">
        <f>VLOOKUP($G50,'Visu totale'!$D$3:$DT$129,BZ$1,0)</f>
        <v>NANCY_D</v>
      </c>
      <c r="CA50" s="14" t="str">
        <f>VLOOKUP($G50,'Visu totale'!$D$3:$DT$129,CA$1,0)</f>
        <v>NANCY_D</v>
      </c>
      <c r="CB50" s="13">
        <f>VLOOKUP($G50,'Visu totale'!$D$3:$DT$129,CB$1,0)</f>
        <v>18</v>
      </c>
      <c r="CC50" s="13">
        <f>VLOOKUP($G50,'Visu totale'!$D$3:$DT$129,CC$1,0)</f>
        <v>18</v>
      </c>
      <c r="CD50" s="13" t="str">
        <f>VLOOKUP($G50,'Visu totale'!$D$3:$DT$129,CD$1,0)</f>
        <v>NANCY_D</v>
      </c>
      <c r="CE50" s="13" t="str">
        <f>VLOOKUP($G50,'Visu totale'!$D$3:$DT$129,CE$1,0)</f>
        <v>NANCY_D</v>
      </c>
      <c r="CF50" s="13" t="str">
        <f>VLOOKUP($G50,'Visu totale'!$D$3:$DT$129,CF$1,0)</f>
        <v>NANCY_D</v>
      </c>
      <c r="CG50" s="13" t="str">
        <f>VLOOKUP($G50,'Visu totale'!$D$3:$DT$129,CG$1,0)</f>
        <v>NANCY_D</v>
      </c>
      <c r="CH50" s="13">
        <f>VLOOKUP($G50,'Visu totale'!$D$3:$DT$129,CH$1,0)</f>
        <v>18</v>
      </c>
      <c r="CI50" s="13">
        <f>VLOOKUP($G50,'Visu totale'!$D$3:$DT$129,CI$1,0)</f>
        <v>18</v>
      </c>
      <c r="CJ50" s="13" t="str">
        <f>VLOOKUP($G50,'Visu totale'!$D$3:$DT$129,CJ$1,0)</f>
        <v>NANCY_D</v>
      </c>
      <c r="CK50" s="13" t="str">
        <f>VLOOKUP($G50,'Visu totale'!$D$3:$DT$129,CK$1,0)</f>
        <v>NANCY_D</v>
      </c>
      <c r="CL50" s="15" t="str">
        <f>VLOOKUP($G50,'Visu totale'!$D$3:$DT$129,CL$1,0)</f>
        <v>NANCY_D</v>
      </c>
      <c r="CM50" s="14" t="str">
        <f>VLOOKUP($G50,'Visu totale'!$D$3:$DT$129,CM$1,0)</f>
        <v>NANCY_D</v>
      </c>
      <c r="CN50" s="13">
        <f>VLOOKUP($G50,'Visu totale'!$D$3:$DT$129,CN$1,0)</f>
        <v>18</v>
      </c>
      <c r="CO50" s="13">
        <f>VLOOKUP($G50,'Visu totale'!$D$3:$DT$129,CO$1,0)</f>
        <v>18</v>
      </c>
      <c r="CP50" s="13" t="str">
        <f>VLOOKUP($G50,'Visu totale'!$D$3:$DT$129,CP$1,0)</f>
        <v>NANCY_D</v>
      </c>
      <c r="CQ50" s="13" t="str">
        <f>VLOOKUP($G50,'Visu totale'!$D$3:$DT$129,CQ$1,0)</f>
        <v>NANCY_D</v>
      </c>
      <c r="CR50" s="13" t="str">
        <f>VLOOKUP($G50,'Visu totale'!$D$3:$DT$129,CR$1,0)</f>
        <v>NANCY_D</v>
      </c>
      <c r="CS50" s="13" t="str">
        <f>VLOOKUP($G50,'Visu totale'!$D$3:$DT$129,CS$1,0)</f>
        <v>NANCY_D</v>
      </c>
      <c r="CT50" s="13">
        <f>VLOOKUP($G50,'Visu totale'!$D$3:$DT$129,CT$1,0)</f>
        <v>18</v>
      </c>
      <c r="CU50" s="13">
        <f>VLOOKUP($G50,'Visu totale'!$D$3:$DT$129,CU$1,0)</f>
        <v>18</v>
      </c>
      <c r="CV50" s="13">
        <f>VLOOKUP($G50,'Visu totale'!$D$3:$DT$129,CV$1,0)</f>
        <v>18</v>
      </c>
      <c r="CW50" s="13">
        <f>VLOOKUP($G50,'Visu totale'!$D$3:$DT$129,CW$1,0)</f>
        <v>18</v>
      </c>
      <c r="CX50" s="15">
        <f>VLOOKUP($G50,'Visu totale'!$D$3:$DT$129,CX$1,0)</f>
        <v>18</v>
      </c>
      <c r="CY50" s="14">
        <f>VLOOKUP($G50,'Visu totale'!$D$3:$DT$129,CY$1,0)</f>
        <v>0</v>
      </c>
      <c r="CZ50" s="13">
        <f>VLOOKUP($G50,'Visu totale'!$D$3:$DT$129,CZ$1,0)</f>
        <v>0</v>
      </c>
      <c r="DA50" s="13">
        <f>VLOOKUP($G50,'Visu totale'!$D$3:$DT$129,DA$1,0)</f>
        <v>0</v>
      </c>
      <c r="DB50" s="13">
        <f>VLOOKUP($G50,'Visu totale'!$D$3:$DT$129,DB$1,0)</f>
        <v>0</v>
      </c>
      <c r="DC50" s="13">
        <f>VLOOKUP($G50,'Visu totale'!$D$3:$DT$129,DC$1,0)</f>
        <v>0</v>
      </c>
      <c r="DD50" s="13">
        <f>VLOOKUP($G50,'Visu totale'!$D$3:$DT$129,DD$1,0)</f>
        <v>0</v>
      </c>
      <c r="DE50" s="13">
        <f>VLOOKUP($G50,'Visu totale'!$D$3:$DT$129,DE$1,0)</f>
        <v>0</v>
      </c>
      <c r="DF50" s="13">
        <f>VLOOKUP($G50,'Visu totale'!$D$3:$DT$129,DF$1,0)</f>
        <v>0</v>
      </c>
      <c r="DG50" s="13">
        <f>VLOOKUP($G50,'Visu totale'!$D$3:$DT$129,DG$1,0)</f>
        <v>0</v>
      </c>
      <c r="DH50" s="13">
        <f>VLOOKUP($G50,'Visu totale'!$D$3:$DT$129,DH$1,0)</f>
        <v>0</v>
      </c>
      <c r="DI50" s="13">
        <f>VLOOKUP($G50,'Visu totale'!$D$3:$DT$129,DI$1,0)</f>
        <v>0</v>
      </c>
      <c r="DJ50" s="15">
        <f>VLOOKUP($G50,'Visu totale'!$D$3:$DT$129,DJ$1,0)</f>
        <v>0</v>
      </c>
      <c r="DK50" s="14">
        <f>VLOOKUP($G50,'Visu totale'!$D$3:$DT$129,DK$1,0)</f>
        <v>0</v>
      </c>
      <c r="DL50" s="13">
        <f>VLOOKUP($G50,'Visu totale'!$D$3:$DT$129,DL$1,0)</f>
        <v>0</v>
      </c>
      <c r="DM50" s="13">
        <f>VLOOKUP($G50,'Visu totale'!$D$3:$DT$129,DM$1,0)</f>
        <v>0</v>
      </c>
      <c r="DN50" s="13">
        <f>VLOOKUP($G50,'Visu totale'!$D$3:$DT$129,DN$1,0)</f>
        <v>0</v>
      </c>
      <c r="DO50" s="13">
        <f>VLOOKUP($G50,'Visu totale'!$D$3:$DT$129,DO$1,0)</f>
        <v>0</v>
      </c>
      <c r="DP50" s="13">
        <f>VLOOKUP($G50,'Visu totale'!$D$3:$DT$129,DP$1,0)</f>
        <v>0</v>
      </c>
      <c r="DQ50" s="13">
        <f>VLOOKUP($G50,'Visu totale'!$D$3:$DT$129,DQ$1,0)</f>
        <v>0</v>
      </c>
      <c r="DR50" s="13">
        <f>VLOOKUP($G50,'Visu totale'!$D$3:$DT$129,DR$1,0)</f>
        <v>0</v>
      </c>
      <c r="DS50" s="13">
        <f>VLOOKUP($G50,'Visu totale'!$D$3:$DT$129,DS$1,0)</f>
        <v>0</v>
      </c>
      <c r="DT50" s="13">
        <f>VLOOKUP($G50,'Visu totale'!$D$3:$DT$129,DT$1,0)</f>
        <v>0</v>
      </c>
      <c r="DU50" s="13">
        <f>VLOOKUP($G50,'Visu totale'!$D$3:$DT$129,DU$1,0)</f>
        <v>0</v>
      </c>
      <c r="DV50" s="15">
        <f>VLOOKUP($G50,'Visu totale'!$D$3:$DT$129,DV$1,0)</f>
        <v>0</v>
      </c>
    </row>
    <row r="51" spans="1:126" x14ac:dyDescent="0.25">
      <c r="A51" s="13"/>
      <c r="B51" s="13"/>
      <c r="C51" s="13"/>
      <c r="D51" s="16"/>
      <c r="E51" s="14"/>
      <c r="F51" s="13"/>
      <c r="G51" s="17" t="s">
        <v>53</v>
      </c>
      <c r="H51" s="13">
        <f>VLOOKUP($G51,'Visu totale'!$D$3:$DT$129,H$1,0)</f>
        <v>18</v>
      </c>
      <c r="I51" s="13" t="str">
        <f>VLOOKUP($G51,'Visu totale'!$D$3:$DT$129,I$1,0)</f>
        <v>NANCY_D</v>
      </c>
      <c r="J51" s="13" t="str">
        <f>VLOOKUP($G51,'Visu totale'!$D$3:$DT$129,J$1,0)</f>
        <v>NANCY_D</v>
      </c>
      <c r="K51" s="13" t="str">
        <f>VLOOKUP($G51,'Visu totale'!$D$3:$DT$129,K$1,0)</f>
        <v>NANCY_D</v>
      </c>
      <c r="L51" s="13" t="str">
        <f>VLOOKUP($G51,'Visu totale'!$D$3:$DT$129,L$1,0)</f>
        <v>NANCY_D</v>
      </c>
      <c r="M51" s="13">
        <f>VLOOKUP($G51,'Visu totale'!$D$3:$DT$129,M$1,0)</f>
        <v>18</v>
      </c>
      <c r="N51" s="13">
        <f>VLOOKUP($G51,'Visu totale'!$D$3:$DT$129,N$1,0)</f>
        <v>18</v>
      </c>
      <c r="O51" s="13" t="str">
        <f>VLOOKUP($G51,'Visu totale'!$D$3:$DT$129,O$1,0)</f>
        <v>NDJAMENA_D</v>
      </c>
      <c r="P51" s="13" t="str">
        <f>VLOOKUP($G51,'Visu totale'!$D$3:$DT$129,P$1,0)</f>
        <v>NDJAMENA_D</v>
      </c>
      <c r="Q51" s="13" t="str">
        <f>VLOOKUP($G51,'Visu totale'!$D$3:$DT$129,Q$1,0)</f>
        <v>NDJAMENA_D</v>
      </c>
      <c r="R51" s="15" t="str">
        <f>VLOOKUP($G51,'Visu totale'!$D$3:$DT$129,R$1,0)</f>
        <v>NDJAMENA_D</v>
      </c>
      <c r="S51" s="14">
        <f>VLOOKUP($G51,'Visu totale'!$D$3:$DT$129,S$1,0)</f>
        <v>18</v>
      </c>
      <c r="T51" s="13">
        <f>VLOOKUP($G51,'Visu totale'!$D$3:$DT$129,T$1,0)</f>
        <v>18</v>
      </c>
      <c r="U51" s="13" t="str">
        <f>VLOOKUP($G51,'Visu totale'!$D$3:$DT$129,U$1,0)</f>
        <v>NANCY_D</v>
      </c>
      <c r="V51" s="13" t="str">
        <f>VLOOKUP($G51,'Visu totale'!$D$3:$DT$129,V$1,0)</f>
        <v>NANCY_D</v>
      </c>
      <c r="W51" s="13" t="str">
        <f>VLOOKUP($G51,'Visu totale'!$D$3:$DT$129,W$1,0)</f>
        <v>NANCY_D</v>
      </c>
      <c r="X51" s="13" t="str">
        <f>VLOOKUP($G51,'Visu totale'!$D$3:$DT$129,X$1,0)</f>
        <v>NANCY_D</v>
      </c>
      <c r="Y51" s="13">
        <f>VLOOKUP($G51,'Visu totale'!$D$3:$DT$129,Y$1,0)</f>
        <v>18</v>
      </c>
      <c r="Z51" s="13">
        <f>VLOOKUP($G51,'Visu totale'!$D$3:$DT$129,Z$1,0)</f>
        <v>18</v>
      </c>
      <c r="AA51" s="13" t="str">
        <f>VLOOKUP($G51,'Visu totale'!$D$3:$DT$129,AA$1,0)</f>
        <v>NANCY_D</v>
      </c>
      <c r="AB51" s="13" t="str">
        <f>VLOOKUP($G51,'Visu totale'!$D$3:$DT$129,AB$1,0)</f>
        <v>NANCY_D</v>
      </c>
      <c r="AC51" s="13" t="str">
        <f>VLOOKUP($G51,'Visu totale'!$D$3:$DT$129,AC$1,0)</f>
        <v>NANCY_D</v>
      </c>
      <c r="AD51" s="15" t="str">
        <f>VLOOKUP($G51,'Visu totale'!$D$3:$DT$129,AD$1,0)</f>
        <v>NANCY_D</v>
      </c>
      <c r="AE51" s="14">
        <f>VLOOKUP($G51,'Visu totale'!$D$3:$DT$129,AE$1,0)</f>
        <v>18</v>
      </c>
      <c r="AF51" s="13">
        <f>VLOOKUP($G51,'Visu totale'!$D$3:$DT$129,AF$1,0)</f>
        <v>18</v>
      </c>
      <c r="AG51" s="13" t="str">
        <f>VLOOKUP($G51,'Visu totale'!$D$3:$DT$129,AG$1,0)</f>
        <v>NANCY_D</v>
      </c>
      <c r="AH51" s="13" t="str">
        <f>VLOOKUP($G51,'Visu totale'!$D$3:$DT$129,AH$1,0)</f>
        <v>NANCY_D</v>
      </c>
      <c r="AI51" s="13" t="str">
        <f>VLOOKUP($G51,'Visu totale'!$D$3:$DT$129,AI$1,0)</f>
        <v>NANCY_D</v>
      </c>
      <c r="AJ51" s="13" t="str">
        <f>VLOOKUP($G51,'Visu totale'!$D$3:$DT$129,AJ$1,0)</f>
        <v>NANCY_D</v>
      </c>
      <c r="AK51" s="13">
        <f>VLOOKUP($G51,'Visu totale'!$D$3:$DT$129,AK$1,0)</f>
        <v>18</v>
      </c>
      <c r="AL51" s="13">
        <f>VLOOKUP($G51,'Visu totale'!$D$3:$DT$129,AL$1,0)</f>
        <v>18</v>
      </c>
      <c r="AM51" s="13" t="str">
        <f>VLOOKUP($G51,'Visu totale'!$D$3:$DT$129,AM$1,0)</f>
        <v>NANCY_D</v>
      </c>
      <c r="AN51" s="13" t="str">
        <f>VLOOKUP($G51,'Visu totale'!$D$3:$DT$129,AN$1,0)</f>
        <v>NANCY_D</v>
      </c>
      <c r="AO51" s="13" t="str">
        <f>VLOOKUP($G51,'Visu totale'!$D$3:$DT$129,AO$1,0)</f>
        <v>NANCY_D</v>
      </c>
      <c r="AP51" s="15" t="str">
        <f>VLOOKUP($G51,'Visu totale'!$D$3:$DT$129,AP$1,0)</f>
        <v>NANCY_D</v>
      </c>
      <c r="AQ51" s="14">
        <f>VLOOKUP($G51,'Visu totale'!$D$3:$DT$129,AQ$1,0)</f>
        <v>18</v>
      </c>
      <c r="AR51" s="13">
        <f>VLOOKUP($G51,'Visu totale'!$D$3:$DT$129,AR$1,0)</f>
        <v>18</v>
      </c>
      <c r="AS51" s="13">
        <f>VLOOKUP($G51,'Visu totale'!$D$3:$DT$129,AS$1,0)</f>
        <v>18</v>
      </c>
      <c r="AT51" s="13">
        <f>VLOOKUP($G51,'Visu totale'!$D$3:$DT$129,AT$1,0)</f>
        <v>18</v>
      </c>
      <c r="AU51" s="13">
        <f>VLOOKUP($G51,'Visu totale'!$D$3:$DT$129,AU$1,0)</f>
        <v>18</v>
      </c>
      <c r="AV51" s="13">
        <f>VLOOKUP($G51,'Visu totale'!$D$3:$DT$129,AV$1,0)</f>
        <v>0</v>
      </c>
      <c r="AW51" s="13" t="str">
        <f>VLOOKUP($G51,'Visu totale'!$D$3:$DT$129,AW$1,0)</f>
        <v>V10</v>
      </c>
      <c r="AX51" s="13" t="str">
        <f>VLOOKUP($G51,'Visu totale'!$D$3:$DT$129,AX$1,0)</f>
        <v>V10</v>
      </c>
      <c r="AY51" s="13" t="str">
        <f>VLOOKUP($G51,'Visu totale'!$D$3:$DT$129,AY$1,0)</f>
        <v>V10</v>
      </c>
      <c r="AZ51" s="13" t="str">
        <f>VLOOKUP($G51,'Visu totale'!$D$3:$DT$129,AZ$1,0)</f>
        <v>V10</v>
      </c>
      <c r="BA51" s="13" t="str">
        <f>VLOOKUP($G51,'Visu totale'!$D$3:$DT$129,BA$1,0)</f>
        <v>V10</v>
      </c>
      <c r="BB51" s="15" t="str">
        <f>VLOOKUP($G51,'Visu totale'!$D$3:$DT$129,BB$1,0)</f>
        <v>V10</v>
      </c>
      <c r="BC51" s="14">
        <f>VLOOKUP($G51,'Visu totale'!$D$3:$DT$129,BC$1,0)</f>
        <v>18</v>
      </c>
      <c r="BD51" s="13">
        <f>VLOOKUP($G51,'Visu totale'!$D$3:$DT$129,BD$1,0)</f>
        <v>18</v>
      </c>
      <c r="BE51" s="13" t="str">
        <f>VLOOKUP($G51,'Visu totale'!$D$3:$DT$129,BE$1,0)</f>
        <v>CHAMMAL_D</v>
      </c>
      <c r="BF51" s="13" t="str">
        <f>VLOOKUP($G51,'Visu totale'!$D$3:$DT$129,BF$1,0)</f>
        <v>CHAMMAL_D</v>
      </c>
      <c r="BG51" s="13" t="str">
        <f>VLOOKUP($G51,'Visu totale'!$D$3:$DT$129,BG$1,0)</f>
        <v>CHAMMAL_D</v>
      </c>
      <c r="BH51" s="13" t="str">
        <f>VLOOKUP($G51,'Visu totale'!$D$3:$DT$129,BH$1,0)</f>
        <v>CHAMMAL_D</v>
      </c>
      <c r="BI51" s="13">
        <f>VLOOKUP($G51,'Visu totale'!$D$3:$DT$129,BI$1,0)</f>
        <v>18</v>
      </c>
      <c r="BJ51" s="13">
        <f>VLOOKUP($G51,'Visu totale'!$D$3:$DT$129,BJ$1,0)</f>
        <v>18</v>
      </c>
      <c r="BK51" s="13" t="str">
        <f>VLOOKUP($G51,'Visu totale'!$D$3:$DT$129,BK$1,0)</f>
        <v>CHAMMAL_D</v>
      </c>
      <c r="BL51" s="13" t="str">
        <f>VLOOKUP($G51,'Visu totale'!$D$3:$DT$129,BL$1,0)</f>
        <v>CHAMMAL_D</v>
      </c>
      <c r="BM51" s="13">
        <f>VLOOKUP($G51,'Visu totale'!$D$3:$DT$129,BM$1,0)</f>
        <v>18</v>
      </c>
      <c r="BN51" s="15">
        <f>VLOOKUP($G51,'Visu totale'!$D$3:$DT$129,BN$1,0)</f>
        <v>18</v>
      </c>
      <c r="BO51" s="14">
        <f>VLOOKUP($G51,'Visu totale'!$D$3:$DT$129,BO$1,0)</f>
        <v>0</v>
      </c>
      <c r="BP51" s="13">
        <f>VLOOKUP($G51,'Visu totale'!$D$3:$DT$129,BP$1,0)</f>
        <v>0</v>
      </c>
      <c r="BQ51" s="13">
        <f>VLOOKUP($G51,'Visu totale'!$D$3:$DT$129,BQ$1,0)</f>
        <v>0</v>
      </c>
      <c r="BR51" s="13">
        <f>VLOOKUP($G51,'Visu totale'!$D$3:$DT$129,BR$1,0)</f>
        <v>0</v>
      </c>
      <c r="BS51" s="13">
        <f>VLOOKUP($G51,'Visu totale'!$D$3:$DT$129,BS$1,0)</f>
        <v>0</v>
      </c>
      <c r="BT51" s="13">
        <f>VLOOKUP($G51,'Visu totale'!$D$3:$DT$129,BT$1,0)</f>
        <v>0</v>
      </c>
      <c r="BU51" s="13">
        <f>VLOOKUP($G51,'Visu totale'!$D$3:$DT$129,BU$1,0)</f>
        <v>0</v>
      </c>
      <c r="BV51" s="13" t="str">
        <f>VLOOKUP($G51,'Visu totale'!$D$3:$DT$129,BV$1,0)</f>
        <v>V15</v>
      </c>
      <c r="BW51" s="13" t="str">
        <f>VLOOKUP($G51,'Visu totale'!$D$3:$DT$129,BW$1,0)</f>
        <v>V15</v>
      </c>
      <c r="BX51" s="13" t="str">
        <f>VLOOKUP($G51,'Visu totale'!$D$3:$DT$129,BX$1,0)</f>
        <v>V15</v>
      </c>
      <c r="BY51" s="13" t="str">
        <f>VLOOKUP($G51,'Visu totale'!$D$3:$DT$129,BY$1,0)</f>
        <v>V15</v>
      </c>
      <c r="BZ51" s="15" t="str">
        <f>VLOOKUP($G51,'Visu totale'!$D$3:$DT$129,BZ$1,0)</f>
        <v>V15</v>
      </c>
      <c r="CA51" s="14" t="str">
        <f>VLOOKUP($G51,'Visu totale'!$D$3:$DT$129,CA$1,0)</f>
        <v>V15</v>
      </c>
      <c r="CB51" s="13">
        <f>VLOOKUP($G51,'Visu totale'!$D$3:$DT$129,CB$1,0)</f>
        <v>18</v>
      </c>
      <c r="CC51" s="13">
        <f>VLOOKUP($G51,'Visu totale'!$D$3:$DT$129,CC$1,0)</f>
        <v>18</v>
      </c>
      <c r="CD51" s="13" t="str">
        <f>VLOOKUP($G51,'Visu totale'!$D$3:$DT$129,CD$1,0)</f>
        <v>NANCY_D</v>
      </c>
      <c r="CE51" s="13" t="str">
        <f>VLOOKUP($G51,'Visu totale'!$D$3:$DT$129,CE$1,0)</f>
        <v>NANCY_D</v>
      </c>
      <c r="CF51" s="13" t="str">
        <f>VLOOKUP($G51,'Visu totale'!$D$3:$DT$129,CF$1,0)</f>
        <v>NANCY_D</v>
      </c>
      <c r="CG51" s="13" t="str">
        <f>VLOOKUP($G51,'Visu totale'!$D$3:$DT$129,CG$1,0)</f>
        <v>NANCY_D</v>
      </c>
      <c r="CH51" s="13">
        <f>VLOOKUP($G51,'Visu totale'!$D$3:$DT$129,CH$1,0)</f>
        <v>18</v>
      </c>
      <c r="CI51" s="13">
        <f>VLOOKUP($G51,'Visu totale'!$D$3:$DT$129,CI$1,0)</f>
        <v>18</v>
      </c>
      <c r="CJ51" s="13" t="str">
        <f>VLOOKUP($G51,'Visu totale'!$D$3:$DT$129,CJ$1,0)</f>
        <v>NANCY_D</v>
      </c>
      <c r="CK51" s="13" t="str">
        <f>VLOOKUP($G51,'Visu totale'!$D$3:$DT$129,CK$1,0)</f>
        <v>NANCY_D</v>
      </c>
      <c r="CL51" s="15" t="str">
        <f>VLOOKUP($G51,'Visu totale'!$D$3:$DT$129,CL$1,0)</f>
        <v>NANCY_D</v>
      </c>
      <c r="CM51" s="14" t="str">
        <f>VLOOKUP($G51,'Visu totale'!$D$3:$DT$129,CM$1,0)</f>
        <v>NANCY_D</v>
      </c>
      <c r="CN51" s="13">
        <f>VLOOKUP($G51,'Visu totale'!$D$3:$DT$129,CN$1,0)</f>
        <v>18</v>
      </c>
      <c r="CO51" s="13">
        <f>VLOOKUP($G51,'Visu totale'!$D$3:$DT$129,CO$1,0)</f>
        <v>18</v>
      </c>
      <c r="CP51" s="13" t="str">
        <f>VLOOKUP($G51,'Visu totale'!$D$3:$DT$129,CP$1,0)</f>
        <v>NANCY_D</v>
      </c>
      <c r="CQ51" s="13" t="str">
        <f>VLOOKUP($G51,'Visu totale'!$D$3:$DT$129,CQ$1,0)</f>
        <v>NANCY_D</v>
      </c>
      <c r="CR51" s="13" t="str">
        <f>VLOOKUP($G51,'Visu totale'!$D$3:$DT$129,CR$1,0)</f>
        <v>NANCY_D</v>
      </c>
      <c r="CS51" s="13" t="str">
        <f>VLOOKUP($G51,'Visu totale'!$D$3:$DT$129,CS$1,0)</f>
        <v>NANCY_D</v>
      </c>
      <c r="CT51" s="13">
        <f>VLOOKUP($G51,'Visu totale'!$D$3:$DT$129,CT$1,0)</f>
        <v>18</v>
      </c>
      <c r="CU51" s="13">
        <f>VLOOKUP($G51,'Visu totale'!$D$3:$DT$129,CU$1,0)</f>
        <v>18</v>
      </c>
      <c r="CV51" s="13">
        <f>VLOOKUP($G51,'Visu totale'!$D$3:$DT$129,CV$1,0)</f>
        <v>18</v>
      </c>
      <c r="CW51" s="13">
        <f>VLOOKUP($G51,'Visu totale'!$D$3:$DT$129,CW$1,0)</f>
        <v>18</v>
      </c>
      <c r="CX51" s="15">
        <f>VLOOKUP($G51,'Visu totale'!$D$3:$DT$129,CX$1,0)</f>
        <v>18</v>
      </c>
      <c r="CY51" s="14">
        <f>VLOOKUP($G51,'Visu totale'!$D$3:$DT$129,CY$1,0)</f>
        <v>0</v>
      </c>
      <c r="CZ51" s="13">
        <f>VLOOKUP($G51,'Visu totale'!$D$3:$DT$129,CZ$1,0)</f>
        <v>0</v>
      </c>
      <c r="DA51" s="13">
        <f>VLOOKUP($G51,'Visu totale'!$D$3:$DT$129,DA$1,0)</f>
        <v>0</v>
      </c>
      <c r="DB51" s="13">
        <f>VLOOKUP($G51,'Visu totale'!$D$3:$DT$129,DB$1,0)</f>
        <v>0</v>
      </c>
      <c r="DC51" s="13">
        <f>VLOOKUP($G51,'Visu totale'!$D$3:$DT$129,DC$1,0)</f>
        <v>0</v>
      </c>
      <c r="DD51" s="13">
        <f>VLOOKUP($G51,'Visu totale'!$D$3:$DT$129,DD$1,0)</f>
        <v>0</v>
      </c>
      <c r="DE51" s="13">
        <f>VLOOKUP($G51,'Visu totale'!$D$3:$DT$129,DE$1,0)</f>
        <v>0</v>
      </c>
      <c r="DF51" s="13">
        <f>VLOOKUP($G51,'Visu totale'!$D$3:$DT$129,DF$1,0)</f>
        <v>0</v>
      </c>
      <c r="DG51" s="13">
        <f>VLOOKUP($G51,'Visu totale'!$D$3:$DT$129,DG$1,0)</f>
        <v>0</v>
      </c>
      <c r="DH51" s="13">
        <f>VLOOKUP($G51,'Visu totale'!$D$3:$DT$129,DH$1,0)</f>
        <v>0</v>
      </c>
      <c r="DI51" s="13">
        <f>VLOOKUP($G51,'Visu totale'!$D$3:$DT$129,DI$1,0)</f>
        <v>0</v>
      </c>
      <c r="DJ51" s="15">
        <f>VLOOKUP($G51,'Visu totale'!$D$3:$DT$129,DJ$1,0)</f>
        <v>0</v>
      </c>
      <c r="DK51" s="14">
        <f>VLOOKUP($G51,'Visu totale'!$D$3:$DT$129,DK$1,0)</f>
        <v>0</v>
      </c>
      <c r="DL51" s="13">
        <f>VLOOKUP($G51,'Visu totale'!$D$3:$DT$129,DL$1,0)</f>
        <v>0</v>
      </c>
      <c r="DM51" s="13">
        <f>VLOOKUP($G51,'Visu totale'!$D$3:$DT$129,DM$1,0)</f>
        <v>0</v>
      </c>
      <c r="DN51" s="13">
        <f>VLOOKUP($G51,'Visu totale'!$D$3:$DT$129,DN$1,0)</f>
        <v>0</v>
      </c>
      <c r="DO51" s="13">
        <f>VLOOKUP($G51,'Visu totale'!$D$3:$DT$129,DO$1,0)</f>
        <v>0</v>
      </c>
      <c r="DP51" s="13">
        <f>VLOOKUP($G51,'Visu totale'!$D$3:$DT$129,DP$1,0)</f>
        <v>0</v>
      </c>
      <c r="DQ51" s="13">
        <f>VLOOKUP($G51,'Visu totale'!$D$3:$DT$129,DQ$1,0)</f>
        <v>0</v>
      </c>
      <c r="DR51" s="13">
        <f>VLOOKUP($G51,'Visu totale'!$D$3:$DT$129,DR$1,0)</f>
        <v>0</v>
      </c>
      <c r="DS51" s="13">
        <f>VLOOKUP($G51,'Visu totale'!$D$3:$DT$129,DS$1,0)</f>
        <v>0</v>
      </c>
      <c r="DT51" s="13">
        <f>VLOOKUP($G51,'Visu totale'!$D$3:$DT$129,DT$1,0)</f>
        <v>0</v>
      </c>
      <c r="DU51" s="13">
        <f>VLOOKUP($G51,'Visu totale'!$D$3:$DT$129,DU$1,0)</f>
        <v>0</v>
      </c>
      <c r="DV51" s="15">
        <f>VLOOKUP($G51,'Visu totale'!$D$3:$DT$129,DV$1,0)</f>
        <v>0</v>
      </c>
    </row>
    <row r="52" spans="1:126" x14ac:dyDescent="0.25">
      <c r="A52" s="13"/>
      <c r="B52" s="13"/>
      <c r="C52" s="13"/>
      <c r="D52" s="16"/>
      <c r="E52" s="14"/>
      <c r="F52" s="13"/>
      <c r="G52" s="17" t="s">
        <v>54</v>
      </c>
      <c r="H52" s="13">
        <f>VLOOKUP($G52,'Visu totale'!$D$3:$DT$129,H$1,0)</f>
        <v>18</v>
      </c>
      <c r="I52" s="13" t="str">
        <f>VLOOKUP($G52,'Visu totale'!$D$3:$DT$129,I$1,0)</f>
        <v>V15</v>
      </c>
      <c r="J52" s="13" t="str">
        <f>VLOOKUP($G52,'Visu totale'!$D$3:$DT$129,J$1,0)</f>
        <v>V15</v>
      </c>
      <c r="K52" s="13" t="str">
        <f>VLOOKUP($G52,'Visu totale'!$D$3:$DT$129,K$1,0)</f>
        <v>V15</v>
      </c>
      <c r="L52" s="13" t="str">
        <f>VLOOKUP($G52,'Visu totale'!$D$3:$DT$129,L$1,0)</f>
        <v>V15</v>
      </c>
      <c r="M52" s="13" t="str">
        <f>VLOOKUP($G52,'Visu totale'!$D$3:$DT$129,M$1,0)</f>
        <v>V15</v>
      </c>
      <c r="N52" s="13" t="str">
        <f>VLOOKUP($G52,'Visu totale'!$D$3:$DT$129,N$1,0)</f>
        <v>V15</v>
      </c>
      <c r="O52" s="13" t="str">
        <f>VLOOKUP($G52,'Visu totale'!$D$3:$DT$129,O$1,0)</f>
        <v>V15</v>
      </c>
      <c r="P52" s="13" t="str">
        <f>VLOOKUP($G52,'Visu totale'!$D$3:$DT$129,P$1,0)</f>
        <v>V15</v>
      </c>
      <c r="Q52" s="13" t="str">
        <f>VLOOKUP($G52,'Visu totale'!$D$3:$DT$129,Q$1,0)</f>
        <v>V15</v>
      </c>
      <c r="R52" s="15" t="str">
        <f>VLOOKUP($G52,'Visu totale'!$D$3:$DT$129,R$1,0)</f>
        <v>V15</v>
      </c>
      <c r="S52" s="14" t="str">
        <f>VLOOKUP($G52,'Visu totale'!$D$3:$DT$129,S$1,0)</f>
        <v>V15</v>
      </c>
      <c r="T52" s="13" t="str">
        <f>VLOOKUP($G52,'Visu totale'!$D$3:$DT$129,T$1,0)</f>
        <v>V15</v>
      </c>
      <c r="U52" s="13">
        <f>VLOOKUP($G52,'Visu totale'!$D$3:$DT$129,U$1,0)</f>
        <v>18</v>
      </c>
      <c r="V52" s="13">
        <f>VLOOKUP($G52,'Visu totale'!$D$3:$DT$129,V$1,0)</f>
        <v>18</v>
      </c>
      <c r="W52" s="13" t="str">
        <f>VLOOKUP($G52,'Visu totale'!$D$3:$DT$129,W$1,0)</f>
        <v>CHAMMAL_D</v>
      </c>
      <c r="X52" s="13" t="str">
        <f>VLOOKUP($G52,'Visu totale'!$D$3:$DT$129,X$1,0)</f>
        <v>CHAMMAL_D</v>
      </c>
      <c r="Y52" s="13" t="str">
        <f>VLOOKUP($G52,'Visu totale'!$D$3:$DT$129,Y$1,0)</f>
        <v>CHAMMAL_D</v>
      </c>
      <c r="Z52" s="13" t="str">
        <f>VLOOKUP($G52,'Visu totale'!$D$3:$DT$129,Z$1,0)</f>
        <v>CHAMMAL_D</v>
      </c>
      <c r="AA52" s="13">
        <f>VLOOKUP($G52,'Visu totale'!$D$3:$DT$129,AA$1,0)</f>
        <v>18</v>
      </c>
      <c r="AB52" s="13">
        <f>VLOOKUP($G52,'Visu totale'!$D$3:$DT$129,AB$1,0)</f>
        <v>18</v>
      </c>
      <c r="AC52" s="13" t="str">
        <f>VLOOKUP($G52,'Visu totale'!$D$3:$DT$129,AC$1,0)</f>
        <v>NANCY_D</v>
      </c>
      <c r="AD52" s="15" t="str">
        <f>VLOOKUP($G52,'Visu totale'!$D$3:$DT$129,AD$1,0)</f>
        <v>NANCY_D</v>
      </c>
      <c r="AE52" s="14" t="str">
        <f>VLOOKUP($G52,'Visu totale'!$D$3:$DT$129,AE$1,0)</f>
        <v>NANCY_D</v>
      </c>
      <c r="AF52" s="13" t="str">
        <f>VLOOKUP($G52,'Visu totale'!$D$3:$DT$129,AF$1,0)</f>
        <v>NANCY_D</v>
      </c>
      <c r="AG52" s="13">
        <f>VLOOKUP($G52,'Visu totale'!$D$3:$DT$129,AG$1,0)</f>
        <v>18</v>
      </c>
      <c r="AH52" s="13">
        <f>VLOOKUP($G52,'Visu totale'!$D$3:$DT$129,AH$1,0)</f>
        <v>18</v>
      </c>
      <c r="AI52" s="13" t="str">
        <f>VLOOKUP($G52,'Visu totale'!$D$3:$DT$129,AI$1,0)</f>
        <v>NANCY_D</v>
      </c>
      <c r="AJ52" s="13" t="str">
        <f>VLOOKUP($G52,'Visu totale'!$D$3:$DT$129,AJ$1,0)</f>
        <v>NANCY_D</v>
      </c>
      <c r="AK52" s="13" t="str">
        <f>VLOOKUP($G52,'Visu totale'!$D$3:$DT$129,AK$1,0)</f>
        <v>NANCY_D</v>
      </c>
      <c r="AL52" s="13" t="str">
        <f>VLOOKUP($G52,'Visu totale'!$D$3:$DT$129,AL$1,0)</f>
        <v>NANCY_D</v>
      </c>
      <c r="AM52" s="13">
        <f>VLOOKUP($G52,'Visu totale'!$D$3:$DT$129,AM$1,0)</f>
        <v>18</v>
      </c>
      <c r="AN52" s="13">
        <f>VLOOKUP($G52,'Visu totale'!$D$3:$DT$129,AN$1,0)</f>
        <v>18</v>
      </c>
      <c r="AO52" s="13" t="str">
        <f>VLOOKUP($G52,'Visu totale'!$D$3:$DT$129,AO$1,0)</f>
        <v>NANCY_D</v>
      </c>
      <c r="AP52" s="15" t="str">
        <f>VLOOKUP($G52,'Visu totale'!$D$3:$DT$129,AP$1,0)</f>
        <v>NANCY_D</v>
      </c>
      <c r="AQ52" s="14" t="str">
        <f>VLOOKUP($G52,'Visu totale'!$D$3:$DT$129,AQ$1,0)</f>
        <v>NANCY_D</v>
      </c>
      <c r="AR52" s="13" t="str">
        <f>VLOOKUP($G52,'Visu totale'!$D$3:$DT$129,AR$1,0)</f>
        <v>NANCY_D</v>
      </c>
      <c r="AS52" s="13">
        <f>VLOOKUP($G52,'Visu totale'!$D$3:$DT$129,AS$1,0)</f>
        <v>18</v>
      </c>
      <c r="AT52" s="13">
        <f>VLOOKUP($G52,'Visu totale'!$D$3:$DT$129,AT$1,0)</f>
        <v>18</v>
      </c>
      <c r="AU52" s="13" t="str">
        <f>VLOOKUP($G52,'Visu totale'!$D$3:$DT$129,AU$1,0)</f>
        <v>NANCY_D</v>
      </c>
      <c r="AV52" s="13" t="str">
        <f>VLOOKUP($G52,'Visu totale'!$D$3:$DT$129,AV$1,0)</f>
        <v>NANCY_D</v>
      </c>
      <c r="AW52" s="13" t="str">
        <f>VLOOKUP($G52,'Visu totale'!$D$3:$DT$129,AW$1,0)</f>
        <v>NANCY_D</v>
      </c>
      <c r="AX52" s="13" t="str">
        <f>VLOOKUP($G52,'Visu totale'!$D$3:$DT$129,AX$1,0)</f>
        <v>NANCY_D</v>
      </c>
      <c r="AY52" s="13">
        <f>VLOOKUP($G52,'Visu totale'!$D$3:$DT$129,AY$1,0)</f>
        <v>18</v>
      </c>
      <c r="AZ52" s="13">
        <f>VLOOKUP($G52,'Visu totale'!$D$3:$DT$129,AZ$1,0)</f>
        <v>18</v>
      </c>
      <c r="BA52" s="13" t="str">
        <f>VLOOKUP($G52,'Visu totale'!$D$3:$DT$129,BA$1,0)</f>
        <v>NANCY_D</v>
      </c>
      <c r="BB52" s="15" t="str">
        <f>VLOOKUP($G52,'Visu totale'!$D$3:$DT$129,BB$1,0)</f>
        <v>NANCY_D</v>
      </c>
      <c r="BC52" s="14" t="str">
        <f>VLOOKUP($G52,'Visu totale'!$D$3:$DT$129,BC$1,0)</f>
        <v>NANCY_D</v>
      </c>
      <c r="BD52" s="13" t="str">
        <f>VLOOKUP($G52,'Visu totale'!$D$3:$DT$129,BD$1,0)</f>
        <v>NANCY_D</v>
      </c>
      <c r="BE52" s="13">
        <f>VLOOKUP($G52,'Visu totale'!$D$3:$DT$129,BE$1,0)</f>
        <v>18</v>
      </c>
      <c r="BF52" s="13">
        <f>VLOOKUP($G52,'Visu totale'!$D$3:$DT$129,BF$1,0)</f>
        <v>18</v>
      </c>
      <c r="BG52" s="13">
        <f>VLOOKUP($G52,'Visu totale'!$D$3:$DT$129,BG$1,0)</f>
        <v>18</v>
      </c>
      <c r="BH52" s="13">
        <f>VLOOKUP($G52,'Visu totale'!$D$3:$DT$129,BH$1,0)</f>
        <v>18</v>
      </c>
      <c r="BI52" s="13">
        <f>VLOOKUP($G52,'Visu totale'!$D$3:$DT$129,BI$1,0)</f>
        <v>18</v>
      </c>
      <c r="BJ52" s="13">
        <f>VLOOKUP($G52,'Visu totale'!$D$3:$DT$129,BJ$1,0)</f>
        <v>18</v>
      </c>
      <c r="BK52" s="13">
        <f>VLOOKUP($G52,'Visu totale'!$D$3:$DT$129,BK$1,0)</f>
        <v>0</v>
      </c>
      <c r="BL52" s="13">
        <f>VLOOKUP($G52,'Visu totale'!$D$3:$DT$129,BL$1,0)</f>
        <v>0</v>
      </c>
      <c r="BM52" s="13">
        <f>VLOOKUP($G52,'Visu totale'!$D$3:$DT$129,BM$1,0)</f>
        <v>0</v>
      </c>
      <c r="BN52" s="15">
        <f>VLOOKUP($G52,'Visu totale'!$D$3:$DT$129,BN$1,0)</f>
        <v>0</v>
      </c>
      <c r="BO52" s="14" t="str">
        <f>VLOOKUP($G52,'Visu totale'!$D$3:$DT$129,BO$1,0)</f>
        <v>NANCY_D</v>
      </c>
      <c r="BP52" s="13">
        <f>VLOOKUP($G52,'Visu totale'!$D$3:$DT$129,BP$1,0)</f>
        <v>18</v>
      </c>
      <c r="BQ52" s="13">
        <f>VLOOKUP($G52,'Visu totale'!$D$3:$DT$129,BQ$1,0)</f>
        <v>18</v>
      </c>
      <c r="BR52" s="13">
        <f>VLOOKUP($G52,'Visu totale'!$D$3:$DT$129,BR$1,0)</f>
        <v>18</v>
      </c>
      <c r="BS52" s="13">
        <f>VLOOKUP($G52,'Visu totale'!$D$3:$DT$129,BS$1,0)</f>
        <v>18</v>
      </c>
      <c r="BT52" s="13">
        <f>VLOOKUP($G52,'Visu totale'!$D$3:$DT$129,BT$1,0)</f>
        <v>18</v>
      </c>
      <c r="BU52" s="13">
        <f>VLOOKUP($G52,'Visu totale'!$D$3:$DT$129,BU$1,0)</f>
        <v>18</v>
      </c>
      <c r="BV52" s="13">
        <f>VLOOKUP($G52,'Visu totale'!$D$3:$DT$129,BV$1,0)</f>
        <v>18</v>
      </c>
      <c r="BW52" s="13">
        <f>VLOOKUP($G52,'Visu totale'!$D$3:$DT$129,BW$1,0)</f>
        <v>18</v>
      </c>
      <c r="BX52" s="13">
        <f>VLOOKUP($G52,'Visu totale'!$D$3:$DT$129,BX$1,0)</f>
        <v>18</v>
      </c>
      <c r="BY52" s="13">
        <f>VLOOKUP($G52,'Visu totale'!$D$3:$DT$129,BY$1,0)</f>
        <v>18</v>
      </c>
      <c r="BZ52" s="15">
        <f>VLOOKUP($G52,'Visu totale'!$D$3:$DT$129,BZ$1,0)</f>
        <v>18</v>
      </c>
      <c r="CA52" s="14">
        <f>VLOOKUP($G52,'Visu totale'!$D$3:$DT$129,CA$1,0)</f>
        <v>0</v>
      </c>
      <c r="CB52" s="13">
        <f>VLOOKUP($G52,'Visu totale'!$D$3:$DT$129,CB$1,0)</f>
        <v>0</v>
      </c>
      <c r="CC52" s="13">
        <f>VLOOKUP($G52,'Visu totale'!$D$3:$DT$129,CC$1,0)</f>
        <v>0</v>
      </c>
      <c r="CD52" s="13">
        <f>VLOOKUP($G52,'Visu totale'!$D$3:$DT$129,CD$1,0)</f>
        <v>0</v>
      </c>
      <c r="CE52" s="13">
        <f>VLOOKUP($G52,'Visu totale'!$D$3:$DT$129,CE$1,0)</f>
        <v>0</v>
      </c>
      <c r="CF52" s="13">
        <f>VLOOKUP($G52,'Visu totale'!$D$3:$DT$129,CF$1,0)</f>
        <v>0</v>
      </c>
      <c r="CG52" s="13">
        <f>VLOOKUP($G52,'Visu totale'!$D$3:$DT$129,CG$1,0)</f>
        <v>0</v>
      </c>
      <c r="CH52" s="13">
        <f>VLOOKUP($G52,'Visu totale'!$D$3:$DT$129,CH$1,0)</f>
        <v>0</v>
      </c>
      <c r="CI52" s="13">
        <f>VLOOKUP($G52,'Visu totale'!$D$3:$DT$129,CI$1,0)</f>
        <v>0</v>
      </c>
      <c r="CJ52" s="13">
        <f>VLOOKUP($G52,'Visu totale'!$D$3:$DT$129,CJ$1,0)</f>
        <v>0</v>
      </c>
      <c r="CK52" s="13">
        <f>VLOOKUP($G52,'Visu totale'!$D$3:$DT$129,CK$1,0)</f>
        <v>0</v>
      </c>
      <c r="CL52" s="15">
        <f>VLOOKUP($G52,'Visu totale'!$D$3:$DT$129,CL$1,0)</f>
        <v>0</v>
      </c>
      <c r="CM52" s="14">
        <f>VLOOKUP($G52,'Visu totale'!$D$3:$DT$129,CM$1,0)</f>
        <v>0</v>
      </c>
      <c r="CN52" s="13">
        <f>VLOOKUP($G52,'Visu totale'!$D$3:$DT$129,CN$1,0)</f>
        <v>0</v>
      </c>
      <c r="CO52" s="13">
        <f>VLOOKUP($G52,'Visu totale'!$D$3:$DT$129,CO$1,0)</f>
        <v>0</v>
      </c>
      <c r="CP52" s="13">
        <f>VLOOKUP($G52,'Visu totale'!$D$3:$DT$129,CP$1,0)</f>
        <v>0</v>
      </c>
      <c r="CQ52" s="13">
        <f>VLOOKUP($G52,'Visu totale'!$D$3:$DT$129,CQ$1,0)</f>
        <v>0</v>
      </c>
      <c r="CR52" s="13" t="str">
        <f>VLOOKUP($G52,'Visu totale'!$D$3:$DT$129,CR$1,0)</f>
        <v>V20</v>
      </c>
      <c r="CS52" s="13" t="str">
        <f>VLOOKUP($G52,'Visu totale'!$D$3:$DT$129,CS$1,0)</f>
        <v>V20</v>
      </c>
      <c r="CT52" s="13" t="str">
        <f>VLOOKUP($G52,'Visu totale'!$D$3:$DT$129,CT$1,0)</f>
        <v>V20</v>
      </c>
      <c r="CU52" s="13" t="str">
        <f>VLOOKUP($G52,'Visu totale'!$D$3:$DT$129,CU$1,0)</f>
        <v>V20</v>
      </c>
      <c r="CV52" s="13" t="str">
        <f>VLOOKUP($G52,'Visu totale'!$D$3:$DT$129,CV$1,0)</f>
        <v>V20</v>
      </c>
      <c r="CW52" s="13" t="str">
        <f>VLOOKUP($G52,'Visu totale'!$D$3:$DT$129,CW$1,0)</f>
        <v>V20</v>
      </c>
      <c r="CX52" s="15">
        <f>VLOOKUP($G52,'Visu totale'!$D$3:$DT$129,CX$1,0)</f>
        <v>18</v>
      </c>
      <c r="CY52" s="14">
        <f>VLOOKUP($G52,'Visu totale'!$D$3:$DT$129,CY$1,0)</f>
        <v>0</v>
      </c>
      <c r="CZ52" s="13">
        <f>VLOOKUP($G52,'Visu totale'!$D$3:$DT$129,CZ$1,0)</f>
        <v>0</v>
      </c>
      <c r="DA52" s="13">
        <f>VLOOKUP($G52,'Visu totale'!$D$3:$DT$129,DA$1,0)</f>
        <v>0</v>
      </c>
      <c r="DB52" s="13">
        <f>VLOOKUP($G52,'Visu totale'!$D$3:$DT$129,DB$1,0)</f>
        <v>0</v>
      </c>
      <c r="DC52" s="13">
        <f>VLOOKUP($G52,'Visu totale'!$D$3:$DT$129,DC$1,0)</f>
        <v>0</v>
      </c>
      <c r="DD52" s="13">
        <f>VLOOKUP($G52,'Visu totale'!$D$3:$DT$129,DD$1,0)</f>
        <v>0</v>
      </c>
      <c r="DE52" s="13">
        <f>VLOOKUP($G52,'Visu totale'!$D$3:$DT$129,DE$1,0)</f>
        <v>0</v>
      </c>
      <c r="DF52" s="13">
        <f>VLOOKUP($G52,'Visu totale'!$D$3:$DT$129,DF$1,0)</f>
        <v>0</v>
      </c>
      <c r="DG52" s="13">
        <f>VLOOKUP($G52,'Visu totale'!$D$3:$DT$129,DG$1,0)</f>
        <v>0</v>
      </c>
      <c r="DH52" s="13">
        <f>VLOOKUP($G52,'Visu totale'!$D$3:$DT$129,DH$1,0)</f>
        <v>0</v>
      </c>
      <c r="DI52" s="13">
        <f>VLOOKUP($G52,'Visu totale'!$D$3:$DT$129,DI$1,0)</f>
        <v>0</v>
      </c>
      <c r="DJ52" s="15">
        <f>VLOOKUP($G52,'Visu totale'!$D$3:$DT$129,DJ$1,0)</f>
        <v>0</v>
      </c>
      <c r="DK52" s="14">
        <f>VLOOKUP($G52,'Visu totale'!$D$3:$DT$129,DK$1,0)</f>
        <v>0</v>
      </c>
      <c r="DL52" s="13">
        <f>VLOOKUP($G52,'Visu totale'!$D$3:$DT$129,DL$1,0)</f>
        <v>0</v>
      </c>
      <c r="DM52" s="13">
        <f>VLOOKUP($G52,'Visu totale'!$D$3:$DT$129,DM$1,0)</f>
        <v>0</v>
      </c>
      <c r="DN52" s="13">
        <f>VLOOKUP($G52,'Visu totale'!$D$3:$DT$129,DN$1,0)</f>
        <v>0</v>
      </c>
      <c r="DO52" s="13">
        <f>VLOOKUP($G52,'Visu totale'!$D$3:$DT$129,DO$1,0)</f>
        <v>0</v>
      </c>
      <c r="DP52" s="13">
        <f>VLOOKUP($G52,'Visu totale'!$D$3:$DT$129,DP$1,0)</f>
        <v>0</v>
      </c>
      <c r="DQ52" s="13">
        <f>VLOOKUP($G52,'Visu totale'!$D$3:$DT$129,DQ$1,0)</f>
        <v>0</v>
      </c>
      <c r="DR52" s="13">
        <f>VLOOKUP($G52,'Visu totale'!$D$3:$DT$129,DR$1,0)</f>
        <v>0</v>
      </c>
      <c r="DS52" s="13">
        <f>VLOOKUP($G52,'Visu totale'!$D$3:$DT$129,DS$1,0)</f>
        <v>0</v>
      </c>
      <c r="DT52" s="13">
        <f>VLOOKUP($G52,'Visu totale'!$D$3:$DT$129,DT$1,0)</f>
        <v>0</v>
      </c>
      <c r="DU52" s="13">
        <f>VLOOKUP($G52,'Visu totale'!$D$3:$DT$129,DU$1,0)</f>
        <v>0</v>
      </c>
      <c r="DV52" s="15">
        <f>VLOOKUP($G52,'Visu totale'!$D$3:$DT$129,DV$1,0)</f>
        <v>0</v>
      </c>
    </row>
    <row r="53" spans="1:126" x14ac:dyDescent="0.25">
      <c r="A53" s="13"/>
      <c r="B53" s="13"/>
      <c r="C53" s="13"/>
      <c r="D53" s="16"/>
      <c r="E53" s="14"/>
      <c r="F53" s="13"/>
      <c r="G53" s="17" t="s">
        <v>55</v>
      </c>
      <c r="H53" s="13">
        <f>VLOOKUP($G53,'Visu totale'!$D$3:$DT$129,H$1,0)</f>
        <v>18</v>
      </c>
      <c r="I53" s="13" t="str">
        <f>VLOOKUP($G53,'Visu totale'!$D$3:$DT$129,I$1,0)</f>
        <v>NANCY_D</v>
      </c>
      <c r="J53" s="13" t="str">
        <f>VLOOKUP($G53,'Visu totale'!$D$3:$DT$129,J$1,0)</f>
        <v>NANCY_D</v>
      </c>
      <c r="K53" s="13" t="str">
        <f>VLOOKUP($G53,'Visu totale'!$D$3:$DT$129,K$1,0)</f>
        <v>NANCY_D</v>
      </c>
      <c r="L53" s="13" t="str">
        <f>VLOOKUP($G53,'Visu totale'!$D$3:$DT$129,L$1,0)</f>
        <v>NANCY_D</v>
      </c>
      <c r="M53" s="13">
        <f>VLOOKUP($G53,'Visu totale'!$D$3:$DT$129,M$1,0)</f>
        <v>18</v>
      </c>
      <c r="N53" s="13">
        <f>VLOOKUP($G53,'Visu totale'!$D$3:$DT$129,N$1,0)</f>
        <v>18</v>
      </c>
      <c r="O53" s="13" t="str">
        <f>VLOOKUP($G53,'Visu totale'!$D$3:$DT$129,O$1,0)</f>
        <v>NANCY_D</v>
      </c>
      <c r="P53" s="13" t="str">
        <f>VLOOKUP($G53,'Visu totale'!$D$3:$DT$129,P$1,0)</f>
        <v>NANCY_D</v>
      </c>
      <c r="Q53" s="13" t="str">
        <f>VLOOKUP($G53,'Visu totale'!$D$3:$DT$129,Q$1,0)</f>
        <v>NANCY_D</v>
      </c>
      <c r="R53" s="15" t="str">
        <f>VLOOKUP($G53,'Visu totale'!$D$3:$DT$129,R$1,0)</f>
        <v>NANCY_D</v>
      </c>
      <c r="S53" s="14">
        <f>VLOOKUP($G53,'Visu totale'!$D$3:$DT$129,S$1,0)</f>
        <v>18</v>
      </c>
      <c r="T53" s="13">
        <f>VLOOKUP($G53,'Visu totale'!$D$3:$DT$129,T$1,0)</f>
        <v>18</v>
      </c>
      <c r="U53" s="13" t="str">
        <f>VLOOKUP($G53,'Visu totale'!$D$3:$DT$129,U$1,0)</f>
        <v>NANCY_D</v>
      </c>
      <c r="V53" s="13" t="str">
        <f>VLOOKUP($G53,'Visu totale'!$D$3:$DT$129,V$1,0)</f>
        <v>NANCY_D</v>
      </c>
      <c r="W53" s="13" t="str">
        <f>VLOOKUP($G53,'Visu totale'!$D$3:$DT$129,W$1,0)</f>
        <v>NANCY_D</v>
      </c>
      <c r="X53" s="13" t="str">
        <f>VLOOKUP($G53,'Visu totale'!$D$3:$DT$129,X$1,0)</f>
        <v>NANCY_D</v>
      </c>
      <c r="Y53" s="13">
        <f>VLOOKUP($G53,'Visu totale'!$D$3:$DT$129,Y$1,0)</f>
        <v>18</v>
      </c>
      <c r="Z53" s="13">
        <f>VLOOKUP($G53,'Visu totale'!$D$3:$DT$129,Z$1,0)</f>
        <v>18</v>
      </c>
      <c r="AA53" s="13" t="str">
        <f>VLOOKUP($G53,'Visu totale'!$D$3:$DT$129,AA$1,0)</f>
        <v>NDJAMENA_D</v>
      </c>
      <c r="AB53" s="13" t="str">
        <f>VLOOKUP($G53,'Visu totale'!$D$3:$DT$129,AB$1,0)</f>
        <v>NDJAMENA_D</v>
      </c>
      <c r="AC53" s="13" t="str">
        <f>VLOOKUP($G53,'Visu totale'!$D$3:$DT$129,AC$1,0)</f>
        <v>NDJAMENA_D</v>
      </c>
      <c r="AD53" s="15" t="str">
        <f>VLOOKUP($G53,'Visu totale'!$D$3:$DT$129,AD$1,0)</f>
        <v>NDJAMENA_D</v>
      </c>
      <c r="AE53" s="14">
        <f>VLOOKUP($G53,'Visu totale'!$D$3:$DT$129,AE$1,0)</f>
        <v>18</v>
      </c>
      <c r="AF53" s="13">
        <f>VLOOKUP($G53,'Visu totale'!$D$3:$DT$129,AF$1,0)</f>
        <v>18</v>
      </c>
      <c r="AG53" s="13" t="str">
        <f>VLOOKUP($G53,'Visu totale'!$D$3:$DT$129,AG$1,0)</f>
        <v>NIAMEY_D</v>
      </c>
      <c r="AH53" s="13" t="str">
        <f>VLOOKUP($G53,'Visu totale'!$D$3:$DT$129,AH$1,0)</f>
        <v>NIAMEY_D</v>
      </c>
      <c r="AI53" s="13" t="str">
        <f>VLOOKUP($G53,'Visu totale'!$D$3:$DT$129,AI$1,0)</f>
        <v>NIAMEY_D</v>
      </c>
      <c r="AJ53" s="13" t="str">
        <f>VLOOKUP($G53,'Visu totale'!$D$3:$DT$129,AJ$1,0)</f>
        <v>NIAMEY_D</v>
      </c>
      <c r="AK53" s="13">
        <f>VLOOKUP($G53,'Visu totale'!$D$3:$DT$129,AK$1,0)</f>
        <v>18</v>
      </c>
      <c r="AL53" s="13">
        <f>VLOOKUP($G53,'Visu totale'!$D$3:$DT$129,AL$1,0)</f>
        <v>18</v>
      </c>
      <c r="AM53" s="13">
        <f>VLOOKUP($G53,'Visu totale'!$D$3:$DT$129,AM$1,0)</f>
        <v>18</v>
      </c>
      <c r="AN53" s="13">
        <f>VLOOKUP($G53,'Visu totale'!$D$3:$DT$129,AN$1,0)</f>
        <v>18</v>
      </c>
      <c r="AO53" s="13">
        <f>VLOOKUP($G53,'Visu totale'!$D$3:$DT$129,AO$1,0)</f>
        <v>18</v>
      </c>
      <c r="AP53" s="15">
        <f>VLOOKUP($G53,'Visu totale'!$D$3:$DT$129,AP$1,0)</f>
        <v>18</v>
      </c>
      <c r="AQ53" s="14">
        <f>VLOOKUP($G53,'Visu totale'!$D$3:$DT$129,AQ$1,0)</f>
        <v>18</v>
      </c>
      <c r="AR53" s="13">
        <f>VLOOKUP($G53,'Visu totale'!$D$3:$DT$129,AR$1,0)</f>
        <v>18</v>
      </c>
      <c r="AS53" s="13">
        <f>VLOOKUP($G53,'Visu totale'!$D$3:$DT$129,AS$1,0)</f>
        <v>0</v>
      </c>
      <c r="AT53" s="13">
        <f>VLOOKUP($G53,'Visu totale'!$D$3:$DT$129,AT$1,0)</f>
        <v>0</v>
      </c>
      <c r="AU53" s="13">
        <f>VLOOKUP($G53,'Visu totale'!$D$3:$DT$129,AU$1,0)</f>
        <v>0</v>
      </c>
      <c r="AV53" s="13">
        <f>VLOOKUP($G53,'Visu totale'!$D$3:$DT$129,AV$1,0)</f>
        <v>0</v>
      </c>
      <c r="AW53" s="13">
        <f>VLOOKUP($G53,'Visu totale'!$D$3:$DT$129,AW$1,0)</f>
        <v>0</v>
      </c>
      <c r="AX53" s="13">
        <f>VLOOKUP($G53,'Visu totale'!$D$3:$DT$129,AX$1,0)</f>
        <v>0</v>
      </c>
      <c r="AY53" s="13">
        <f>VLOOKUP($G53,'Visu totale'!$D$3:$DT$129,AY$1,0)</f>
        <v>0</v>
      </c>
      <c r="AZ53" s="13">
        <f>VLOOKUP($G53,'Visu totale'!$D$3:$DT$129,AZ$1,0)</f>
        <v>0</v>
      </c>
      <c r="BA53" s="13">
        <f>VLOOKUP($G53,'Visu totale'!$D$3:$DT$129,BA$1,0)</f>
        <v>0</v>
      </c>
      <c r="BB53" s="15">
        <f>VLOOKUP($G53,'Visu totale'!$D$3:$DT$129,BB$1,0)</f>
        <v>0</v>
      </c>
      <c r="BC53" s="14">
        <f>VLOOKUP($G53,'Visu totale'!$D$3:$DT$129,BC$1,0)</f>
        <v>0</v>
      </c>
      <c r="BD53" s="13">
        <f>VLOOKUP($G53,'Visu totale'!$D$3:$DT$129,BD$1,0)</f>
        <v>0</v>
      </c>
      <c r="BE53" s="13">
        <f>VLOOKUP($G53,'Visu totale'!$D$3:$DT$129,BE$1,0)</f>
        <v>0</v>
      </c>
      <c r="BF53" s="13" t="str">
        <f>VLOOKUP($G53,'Visu totale'!$D$3:$DT$129,BF$1,0)</f>
        <v>V15</v>
      </c>
      <c r="BG53" s="13" t="str">
        <f>VLOOKUP($G53,'Visu totale'!$D$3:$DT$129,BG$1,0)</f>
        <v>V15</v>
      </c>
      <c r="BH53" s="13" t="str">
        <f>VLOOKUP($G53,'Visu totale'!$D$3:$DT$129,BH$1,0)</f>
        <v>V15</v>
      </c>
      <c r="BI53" s="13" t="str">
        <f>VLOOKUP($G53,'Visu totale'!$D$3:$DT$129,BI$1,0)</f>
        <v>V15</v>
      </c>
      <c r="BJ53" s="13" t="str">
        <f>VLOOKUP($G53,'Visu totale'!$D$3:$DT$129,BJ$1,0)</f>
        <v>V15</v>
      </c>
      <c r="BK53" s="13" t="str">
        <f>VLOOKUP($G53,'Visu totale'!$D$3:$DT$129,BK$1,0)</f>
        <v>V15</v>
      </c>
      <c r="BL53" s="13">
        <f>VLOOKUP($G53,'Visu totale'!$D$3:$DT$129,BL$1,0)</f>
        <v>18</v>
      </c>
      <c r="BM53" s="13">
        <f>VLOOKUP($G53,'Visu totale'!$D$3:$DT$129,BM$1,0)</f>
        <v>18</v>
      </c>
      <c r="BN53" s="15" t="str">
        <f>VLOOKUP($G53,'Visu totale'!$D$3:$DT$129,BN$1,0)</f>
        <v>CHAMMAL_D</v>
      </c>
      <c r="BO53" s="14">
        <f>VLOOKUP($G53,'Visu totale'!$D$3:$DT$129,BO$1,0)</f>
        <v>18</v>
      </c>
      <c r="BP53" s="13">
        <f>VLOOKUP($G53,'Visu totale'!$D$3:$DT$129,BP$1,0)</f>
        <v>18</v>
      </c>
      <c r="BQ53" s="13" t="str">
        <f>VLOOKUP($G53,'Visu totale'!$D$3:$DT$129,BQ$1,0)</f>
        <v>NANCY_D</v>
      </c>
      <c r="BR53" s="13" t="str">
        <f>VLOOKUP($G53,'Visu totale'!$D$3:$DT$129,BR$1,0)</f>
        <v>NANCY_D</v>
      </c>
      <c r="BS53" s="13" t="str">
        <f>VLOOKUP($G53,'Visu totale'!$D$3:$DT$129,BS$1,0)</f>
        <v>NANCY_D</v>
      </c>
      <c r="BT53" s="13" t="str">
        <f>VLOOKUP($G53,'Visu totale'!$D$3:$DT$129,BT$1,0)</f>
        <v>NANCY_D</v>
      </c>
      <c r="BU53" s="13">
        <f>VLOOKUP($G53,'Visu totale'!$D$3:$DT$129,BU$1,0)</f>
        <v>18</v>
      </c>
      <c r="BV53" s="13">
        <f>VLOOKUP($G53,'Visu totale'!$D$3:$DT$129,BV$1,0)</f>
        <v>18</v>
      </c>
      <c r="BW53" s="13" t="str">
        <f>VLOOKUP($G53,'Visu totale'!$D$3:$DT$129,BW$1,0)</f>
        <v>NANCY_D</v>
      </c>
      <c r="BX53" s="13" t="str">
        <f>VLOOKUP($G53,'Visu totale'!$D$3:$DT$129,BX$1,0)</f>
        <v>NANCY_D</v>
      </c>
      <c r="BY53" s="13" t="str">
        <f>VLOOKUP($G53,'Visu totale'!$D$3:$DT$129,BY$1,0)</f>
        <v>NANCY_D</v>
      </c>
      <c r="BZ53" s="15" t="str">
        <f>VLOOKUP($G53,'Visu totale'!$D$3:$DT$129,BZ$1,0)</f>
        <v>NANCY_D</v>
      </c>
      <c r="CA53" s="14">
        <f>VLOOKUP($G53,'Visu totale'!$D$3:$DT$129,CA$1,0)</f>
        <v>18</v>
      </c>
      <c r="CB53" s="13">
        <f>VLOOKUP($G53,'Visu totale'!$D$3:$DT$129,CB$1,0)</f>
        <v>18</v>
      </c>
      <c r="CC53" s="13" t="str">
        <f>VLOOKUP($G53,'Visu totale'!$D$3:$DT$129,CC$1,0)</f>
        <v>NANCY_D</v>
      </c>
      <c r="CD53" s="13" t="str">
        <f>VLOOKUP($G53,'Visu totale'!$D$3:$DT$129,CD$1,0)</f>
        <v>NANCY_D</v>
      </c>
      <c r="CE53" s="13" t="str">
        <f>VLOOKUP($G53,'Visu totale'!$D$3:$DT$129,CE$1,0)</f>
        <v>NANCY_D</v>
      </c>
      <c r="CF53" s="13" t="str">
        <f>VLOOKUP($G53,'Visu totale'!$D$3:$DT$129,CF$1,0)</f>
        <v>NANCY_D</v>
      </c>
      <c r="CG53" s="13">
        <f>VLOOKUP($G53,'Visu totale'!$D$3:$DT$129,CG$1,0)</f>
        <v>18</v>
      </c>
      <c r="CH53" s="13">
        <f>VLOOKUP($G53,'Visu totale'!$D$3:$DT$129,CH$1,0)</f>
        <v>18</v>
      </c>
      <c r="CI53" s="13" t="str">
        <f>VLOOKUP($G53,'Visu totale'!$D$3:$DT$129,CI$1,0)</f>
        <v>NANCY_D</v>
      </c>
      <c r="CJ53" s="13" t="str">
        <f>VLOOKUP($G53,'Visu totale'!$D$3:$DT$129,CJ$1,0)</f>
        <v>NANCY_D</v>
      </c>
      <c r="CK53" s="13" t="str">
        <f>VLOOKUP($G53,'Visu totale'!$D$3:$DT$129,CK$1,0)</f>
        <v>NANCY_D</v>
      </c>
      <c r="CL53" s="15" t="str">
        <f>VLOOKUP($G53,'Visu totale'!$D$3:$DT$129,CL$1,0)</f>
        <v>NANCY_D</v>
      </c>
      <c r="CM53" s="14">
        <f>VLOOKUP($G53,'Visu totale'!$D$3:$DT$129,CM$1,0)</f>
        <v>18</v>
      </c>
      <c r="CN53" s="13">
        <f>VLOOKUP($G53,'Visu totale'!$D$3:$DT$129,CN$1,0)</f>
        <v>18</v>
      </c>
      <c r="CO53" s="13">
        <f>VLOOKUP($G53,'Visu totale'!$D$3:$DT$129,CO$1,0)</f>
        <v>18</v>
      </c>
      <c r="CP53" s="13">
        <f>VLOOKUP($G53,'Visu totale'!$D$3:$DT$129,CP$1,0)</f>
        <v>18</v>
      </c>
      <c r="CQ53" s="13">
        <f>VLOOKUP($G53,'Visu totale'!$D$3:$DT$129,CQ$1,0)</f>
        <v>18</v>
      </c>
      <c r="CR53" s="13">
        <f>VLOOKUP($G53,'Visu totale'!$D$3:$DT$129,CR$1,0)</f>
        <v>18</v>
      </c>
      <c r="CS53" s="13">
        <f>VLOOKUP($G53,'Visu totale'!$D$3:$DT$129,CS$1,0)</f>
        <v>0</v>
      </c>
      <c r="CT53" s="13">
        <f>VLOOKUP($G53,'Visu totale'!$D$3:$DT$129,CT$1,0)</f>
        <v>18</v>
      </c>
      <c r="CU53" s="13">
        <f>VLOOKUP($G53,'Visu totale'!$D$3:$DT$129,CU$1,0)</f>
        <v>18</v>
      </c>
      <c r="CV53" s="13">
        <f>VLOOKUP($G53,'Visu totale'!$D$3:$DT$129,CV$1,0)</f>
        <v>18</v>
      </c>
      <c r="CW53" s="13">
        <f>VLOOKUP($G53,'Visu totale'!$D$3:$DT$129,CW$1,0)</f>
        <v>18</v>
      </c>
      <c r="CX53" s="15">
        <f>VLOOKUP($G53,'Visu totale'!$D$3:$DT$129,CX$1,0)</f>
        <v>18</v>
      </c>
      <c r="CY53" s="14">
        <f>VLOOKUP($G53,'Visu totale'!$D$3:$DT$129,CY$1,0)</f>
        <v>0</v>
      </c>
      <c r="CZ53" s="13">
        <f>VLOOKUP($G53,'Visu totale'!$D$3:$DT$129,CZ$1,0)</f>
        <v>0</v>
      </c>
      <c r="DA53" s="13">
        <f>VLOOKUP($G53,'Visu totale'!$D$3:$DT$129,DA$1,0)</f>
        <v>0</v>
      </c>
      <c r="DB53" s="13">
        <f>VLOOKUP($G53,'Visu totale'!$D$3:$DT$129,DB$1,0)</f>
        <v>0</v>
      </c>
      <c r="DC53" s="13">
        <f>VLOOKUP($G53,'Visu totale'!$D$3:$DT$129,DC$1,0)</f>
        <v>0</v>
      </c>
      <c r="DD53" s="13">
        <f>VLOOKUP($G53,'Visu totale'!$D$3:$DT$129,DD$1,0)</f>
        <v>0</v>
      </c>
      <c r="DE53" s="13">
        <f>VLOOKUP($G53,'Visu totale'!$D$3:$DT$129,DE$1,0)</f>
        <v>0</v>
      </c>
      <c r="DF53" s="13">
        <f>VLOOKUP($G53,'Visu totale'!$D$3:$DT$129,DF$1,0)</f>
        <v>0</v>
      </c>
      <c r="DG53" s="13">
        <f>VLOOKUP($G53,'Visu totale'!$D$3:$DT$129,DG$1,0)</f>
        <v>0</v>
      </c>
      <c r="DH53" s="13">
        <f>VLOOKUP($G53,'Visu totale'!$D$3:$DT$129,DH$1,0)</f>
        <v>0</v>
      </c>
      <c r="DI53" s="13">
        <f>VLOOKUP($G53,'Visu totale'!$D$3:$DT$129,DI$1,0)</f>
        <v>0</v>
      </c>
      <c r="DJ53" s="15">
        <f>VLOOKUP($G53,'Visu totale'!$D$3:$DT$129,DJ$1,0)</f>
        <v>0</v>
      </c>
      <c r="DK53" s="14">
        <f>VLOOKUP($G53,'Visu totale'!$D$3:$DT$129,DK$1,0)</f>
        <v>0</v>
      </c>
      <c r="DL53" s="13">
        <f>VLOOKUP($G53,'Visu totale'!$D$3:$DT$129,DL$1,0)</f>
        <v>0</v>
      </c>
      <c r="DM53" s="13">
        <f>VLOOKUP($G53,'Visu totale'!$D$3:$DT$129,DM$1,0)</f>
        <v>0</v>
      </c>
      <c r="DN53" s="13">
        <f>VLOOKUP($G53,'Visu totale'!$D$3:$DT$129,DN$1,0)</f>
        <v>0</v>
      </c>
      <c r="DO53" s="13">
        <f>VLOOKUP($G53,'Visu totale'!$D$3:$DT$129,DO$1,0)</f>
        <v>0</v>
      </c>
      <c r="DP53" s="13">
        <f>VLOOKUP($G53,'Visu totale'!$D$3:$DT$129,DP$1,0)</f>
        <v>0</v>
      </c>
      <c r="DQ53" s="13">
        <f>VLOOKUP($G53,'Visu totale'!$D$3:$DT$129,DQ$1,0)</f>
        <v>0</v>
      </c>
      <c r="DR53" s="13">
        <f>VLOOKUP($G53,'Visu totale'!$D$3:$DT$129,DR$1,0)</f>
        <v>0</v>
      </c>
      <c r="DS53" s="13">
        <f>VLOOKUP($G53,'Visu totale'!$D$3:$DT$129,DS$1,0)</f>
        <v>0</v>
      </c>
      <c r="DT53" s="13">
        <f>VLOOKUP($G53,'Visu totale'!$D$3:$DT$129,DT$1,0)</f>
        <v>0</v>
      </c>
      <c r="DU53" s="13">
        <f>VLOOKUP($G53,'Visu totale'!$D$3:$DT$129,DU$1,0)</f>
        <v>0</v>
      </c>
      <c r="DV53" s="15">
        <f>VLOOKUP($G53,'Visu totale'!$D$3:$DT$129,DV$1,0)</f>
        <v>0</v>
      </c>
    </row>
    <row r="54" spans="1:126" x14ac:dyDescent="0.25">
      <c r="A54" s="13"/>
      <c r="B54" s="13"/>
      <c r="C54" s="13"/>
      <c r="D54" s="16"/>
      <c r="E54" s="14"/>
      <c r="F54" s="13"/>
      <c r="G54" s="17" t="s">
        <v>56</v>
      </c>
      <c r="H54" s="13" t="str">
        <f>VLOOKUP($G54,'Visu totale'!$D$3:$DT$129,H$1,0)</f>
        <v>V15</v>
      </c>
      <c r="I54" s="13" t="str">
        <f>VLOOKUP($G54,'Visu totale'!$D$3:$DT$129,I$1,0)</f>
        <v>V15</v>
      </c>
      <c r="J54" s="13" t="str">
        <f>VLOOKUP($G54,'Visu totale'!$D$3:$DT$129,J$1,0)</f>
        <v>V15</v>
      </c>
      <c r="K54" s="13" t="str">
        <f>VLOOKUP($G54,'Visu totale'!$D$3:$DT$129,K$1,0)</f>
        <v>V15</v>
      </c>
      <c r="L54" s="13" t="str">
        <f>VLOOKUP($G54,'Visu totale'!$D$3:$DT$129,L$1,0)</f>
        <v>V15</v>
      </c>
      <c r="M54" s="13" t="str">
        <f>VLOOKUP($G54,'Visu totale'!$D$3:$DT$129,M$1,0)</f>
        <v>V15</v>
      </c>
      <c r="N54" s="13" t="str">
        <f>VLOOKUP($G54,'Visu totale'!$D$3:$DT$129,N$1,0)</f>
        <v>V15</v>
      </c>
      <c r="O54" s="13" t="str">
        <f>VLOOKUP($G54,'Visu totale'!$D$3:$DT$129,O$1,0)</f>
        <v>V15</v>
      </c>
      <c r="P54" s="13" t="str">
        <f>VLOOKUP($G54,'Visu totale'!$D$3:$DT$129,P$1,0)</f>
        <v>V15</v>
      </c>
      <c r="Q54" s="13" t="str">
        <f>VLOOKUP($G54,'Visu totale'!$D$3:$DT$129,Q$1,0)</f>
        <v>V15</v>
      </c>
      <c r="R54" s="15" t="str">
        <f>VLOOKUP($G54,'Visu totale'!$D$3:$DT$129,R$1,0)</f>
        <v>V15</v>
      </c>
      <c r="S54" s="14">
        <f>VLOOKUP($G54,'Visu totale'!$D$3:$DT$129,S$1,0)</f>
        <v>18</v>
      </c>
      <c r="T54" s="13">
        <f>VLOOKUP($G54,'Visu totale'!$D$3:$DT$129,T$1,0)</f>
        <v>18</v>
      </c>
      <c r="U54" s="13" t="str">
        <f>VLOOKUP($G54,'Visu totale'!$D$3:$DT$129,U$1,0)</f>
        <v>NANCY_D</v>
      </c>
      <c r="V54" s="13" t="str">
        <f>VLOOKUP($G54,'Visu totale'!$D$3:$DT$129,V$1,0)</f>
        <v>NANCY_D</v>
      </c>
      <c r="W54" s="13" t="str">
        <f>VLOOKUP($G54,'Visu totale'!$D$3:$DT$129,W$1,0)</f>
        <v>NANCY_D</v>
      </c>
      <c r="X54" s="13" t="str">
        <f>VLOOKUP($G54,'Visu totale'!$D$3:$DT$129,X$1,0)</f>
        <v>NANCY_D</v>
      </c>
      <c r="Y54" s="13">
        <f>VLOOKUP($G54,'Visu totale'!$D$3:$DT$129,Y$1,0)</f>
        <v>18</v>
      </c>
      <c r="Z54" s="13">
        <f>VLOOKUP($G54,'Visu totale'!$D$3:$DT$129,Z$1,0)</f>
        <v>18</v>
      </c>
      <c r="AA54" s="13" t="str">
        <f>VLOOKUP($G54,'Visu totale'!$D$3:$DT$129,AA$1,0)</f>
        <v>NANCY_D</v>
      </c>
      <c r="AB54" s="13" t="str">
        <f>VLOOKUP($G54,'Visu totale'!$D$3:$DT$129,AB$1,0)</f>
        <v>NANCY_D</v>
      </c>
      <c r="AC54" s="13" t="str">
        <f>VLOOKUP($G54,'Visu totale'!$D$3:$DT$129,AC$1,0)</f>
        <v>NANCY_D</v>
      </c>
      <c r="AD54" s="15" t="str">
        <f>VLOOKUP($G54,'Visu totale'!$D$3:$DT$129,AD$1,0)</f>
        <v>NANCY_D</v>
      </c>
      <c r="AE54" s="14">
        <f>VLOOKUP($G54,'Visu totale'!$D$3:$DT$129,AE$1,0)</f>
        <v>18</v>
      </c>
      <c r="AF54" s="13">
        <f>VLOOKUP($G54,'Visu totale'!$D$3:$DT$129,AF$1,0)</f>
        <v>18</v>
      </c>
      <c r="AG54" s="13" t="str">
        <f>VLOOKUP($G54,'Visu totale'!$D$3:$DT$129,AG$1,0)</f>
        <v>CHAMMAL_D</v>
      </c>
      <c r="AH54" s="13" t="str">
        <f>VLOOKUP($G54,'Visu totale'!$D$3:$DT$129,AH$1,0)</f>
        <v>CHAMMAL_D</v>
      </c>
      <c r="AI54" s="13" t="str">
        <f>VLOOKUP($G54,'Visu totale'!$D$3:$DT$129,AI$1,0)</f>
        <v>CHAMMAL_D</v>
      </c>
      <c r="AJ54" s="13" t="str">
        <f>VLOOKUP($G54,'Visu totale'!$D$3:$DT$129,AJ$1,0)</f>
        <v>CHAMMAL_D</v>
      </c>
      <c r="AK54" s="13">
        <f>VLOOKUP($G54,'Visu totale'!$D$3:$DT$129,AK$1,0)</f>
        <v>18</v>
      </c>
      <c r="AL54" s="13">
        <f>VLOOKUP($G54,'Visu totale'!$D$3:$DT$129,AL$1,0)</f>
        <v>18</v>
      </c>
      <c r="AM54" s="13" t="str">
        <f>VLOOKUP($G54,'Visu totale'!$D$3:$DT$129,AM$1,0)</f>
        <v>NANCY_D</v>
      </c>
      <c r="AN54" s="13" t="str">
        <f>VLOOKUP($G54,'Visu totale'!$D$3:$DT$129,AN$1,0)</f>
        <v>NANCY_D</v>
      </c>
      <c r="AO54" s="13" t="str">
        <f>VLOOKUP($G54,'Visu totale'!$D$3:$DT$129,AO$1,0)</f>
        <v>NANCY_D</v>
      </c>
      <c r="AP54" s="15" t="str">
        <f>VLOOKUP($G54,'Visu totale'!$D$3:$DT$129,AP$1,0)</f>
        <v>NANCY_D</v>
      </c>
      <c r="AQ54" s="14">
        <f>VLOOKUP($G54,'Visu totale'!$D$3:$DT$129,AQ$1,0)</f>
        <v>18</v>
      </c>
      <c r="AR54" s="13">
        <f>VLOOKUP($G54,'Visu totale'!$D$3:$DT$129,AR$1,0)</f>
        <v>18</v>
      </c>
      <c r="AS54" s="13" t="str">
        <f>VLOOKUP($G54,'Visu totale'!$D$3:$DT$129,AS$1,0)</f>
        <v>NANCY_D</v>
      </c>
      <c r="AT54" s="13" t="str">
        <f>VLOOKUP($G54,'Visu totale'!$D$3:$DT$129,AT$1,0)</f>
        <v>NANCY_D</v>
      </c>
      <c r="AU54" s="13" t="str">
        <f>VLOOKUP($G54,'Visu totale'!$D$3:$DT$129,AU$1,0)</f>
        <v>NANCY_D</v>
      </c>
      <c r="AV54" s="13" t="str">
        <f>VLOOKUP($G54,'Visu totale'!$D$3:$DT$129,AV$1,0)</f>
        <v>NANCY_D</v>
      </c>
      <c r="AW54" s="13">
        <f>VLOOKUP($G54,'Visu totale'!$D$3:$DT$129,AW$1,0)</f>
        <v>18</v>
      </c>
      <c r="AX54" s="13">
        <f>VLOOKUP($G54,'Visu totale'!$D$3:$DT$129,AX$1,0)</f>
        <v>18</v>
      </c>
      <c r="AY54" s="13" t="str">
        <f>VLOOKUP($G54,'Visu totale'!$D$3:$DT$129,AY$1,0)</f>
        <v>NANCY_D</v>
      </c>
      <c r="AZ54" s="13" t="str">
        <f>VLOOKUP($G54,'Visu totale'!$D$3:$DT$129,AZ$1,0)</f>
        <v>NANCY_D</v>
      </c>
      <c r="BA54" s="13" t="str">
        <f>VLOOKUP($G54,'Visu totale'!$D$3:$DT$129,BA$1,0)</f>
        <v>NANCY_D</v>
      </c>
      <c r="BB54" s="15" t="str">
        <f>VLOOKUP($G54,'Visu totale'!$D$3:$DT$129,BB$1,0)</f>
        <v>NANCY_D</v>
      </c>
      <c r="BC54" s="14">
        <f>VLOOKUP($G54,'Visu totale'!$D$3:$DT$129,BC$1,0)</f>
        <v>18</v>
      </c>
      <c r="BD54" s="13">
        <f>VLOOKUP($G54,'Visu totale'!$D$3:$DT$129,BD$1,0)</f>
        <v>18</v>
      </c>
      <c r="BE54" s="13">
        <f>VLOOKUP($G54,'Visu totale'!$D$3:$DT$129,BE$1,0)</f>
        <v>18</v>
      </c>
      <c r="BF54" s="13">
        <f>VLOOKUP($G54,'Visu totale'!$D$3:$DT$129,BF$1,0)</f>
        <v>18</v>
      </c>
      <c r="BG54" s="13">
        <f>VLOOKUP($G54,'Visu totale'!$D$3:$DT$129,BG$1,0)</f>
        <v>18</v>
      </c>
      <c r="BH54" s="13">
        <f>VLOOKUP($G54,'Visu totale'!$D$3:$DT$129,BH$1,0)</f>
        <v>18</v>
      </c>
      <c r="BI54" s="13">
        <f>VLOOKUP($G54,'Visu totale'!$D$3:$DT$129,BI$1,0)</f>
        <v>0</v>
      </c>
      <c r="BJ54" s="13">
        <f>VLOOKUP($G54,'Visu totale'!$D$3:$DT$129,BJ$1,0)</f>
        <v>0</v>
      </c>
      <c r="BK54" s="13">
        <f>VLOOKUP($G54,'Visu totale'!$D$3:$DT$129,BK$1,0)</f>
        <v>0</v>
      </c>
      <c r="BL54" s="13">
        <f>VLOOKUP($G54,'Visu totale'!$D$3:$DT$129,BL$1,0)</f>
        <v>0</v>
      </c>
      <c r="BM54" s="13" t="str">
        <f>VLOOKUP($G54,'Visu totale'!$D$3:$DT$129,BM$1,0)</f>
        <v>V20</v>
      </c>
      <c r="BN54" s="15" t="str">
        <f>VLOOKUP($G54,'Visu totale'!$D$3:$DT$129,BN$1,0)</f>
        <v>V20</v>
      </c>
      <c r="BO54" s="14">
        <f>VLOOKUP($G54,'Visu totale'!$D$3:$DT$129,BO$1,0)</f>
        <v>18</v>
      </c>
      <c r="BP54" s="13">
        <f>VLOOKUP($G54,'Visu totale'!$D$3:$DT$129,BP$1,0)</f>
        <v>18</v>
      </c>
      <c r="BQ54" s="13" t="str">
        <f>VLOOKUP($G54,'Visu totale'!$D$3:$DT$129,BQ$1,0)</f>
        <v>NANCY_D</v>
      </c>
      <c r="BR54" s="13" t="str">
        <f>VLOOKUP($G54,'Visu totale'!$D$3:$DT$129,BR$1,0)</f>
        <v>NANCY_D</v>
      </c>
      <c r="BS54" s="13" t="str">
        <f>VLOOKUP($G54,'Visu totale'!$D$3:$DT$129,BS$1,0)</f>
        <v>NANCY_D</v>
      </c>
      <c r="BT54" s="13" t="str">
        <f>VLOOKUP($G54,'Visu totale'!$D$3:$DT$129,BT$1,0)</f>
        <v>NANCY_D</v>
      </c>
      <c r="BU54" s="13">
        <f>VLOOKUP($G54,'Visu totale'!$D$3:$DT$129,BU$1,0)</f>
        <v>18</v>
      </c>
      <c r="BV54" s="13">
        <f>VLOOKUP($G54,'Visu totale'!$D$3:$DT$129,BV$1,0)</f>
        <v>18</v>
      </c>
      <c r="BW54" s="13" t="str">
        <f>VLOOKUP($G54,'Visu totale'!$D$3:$DT$129,BW$1,0)</f>
        <v>NANCY_D</v>
      </c>
      <c r="BX54" s="13" t="str">
        <f>VLOOKUP($G54,'Visu totale'!$D$3:$DT$129,BX$1,0)</f>
        <v>NANCY_D</v>
      </c>
      <c r="BY54" s="13" t="str">
        <f>VLOOKUP($G54,'Visu totale'!$D$3:$DT$129,BY$1,0)</f>
        <v>NANCY_D</v>
      </c>
      <c r="BZ54" s="15" t="str">
        <f>VLOOKUP($G54,'Visu totale'!$D$3:$DT$129,BZ$1,0)</f>
        <v>NANCY_D</v>
      </c>
      <c r="CA54" s="14">
        <f>VLOOKUP($G54,'Visu totale'!$D$3:$DT$129,CA$1,0)</f>
        <v>18</v>
      </c>
      <c r="CB54" s="13">
        <f>VLOOKUP($G54,'Visu totale'!$D$3:$DT$129,CB$1,0)</f>
        <v>18</v>
      </c>
      <c r="CC54" s="13" t="str">
        <f>VLOOKUP($G54,'Visu totale'!$D$3:$DT$129,CC$1,0)</f>
        <v>NANCY_D</v>
      </c>
      <c r="CD54" s="13" t="str">
        <f>VLOOKUP($G54,'Visu totale'!$D$3:$DT$129,CD$1,0)</f>
        <v>NANCY_D</v>
      </c>
      <c r="CE54" s="13" t="str">
        <f>VLOOKUP($G54,'Visu totale'!$D$3:$DT$129,CE$1,0)</f>
        <v>NANCY_D</v>
      </c>
      <c r="CF54" s="13" t="str">
        <f>VLOOKUP($G54,'Visu totale'!$D$3:$DT$129,CF$1,0)</f>
        <v>NANCY_D</v>
      </c>
      <c r="CG54" s="13">
        <f>VLOOKUP($G54,'Visu totale'!$D$3:$DT$129,CG$1,0)</f>
        <v>18</v>
      </c>
      <c r="CH54" s="13">
        <f>VLOOKUP($G54,'Visu totale'!$D$3:$DT$129,CH$1,0)</f>
        <v>18</v>
      </c>
      <c r="CI54" s="13" t="str">
        <f>VLOOKUP($G54,'Visu totale'!$D$3:$DT$129,CI$1,0)</f>
        <v>NANCY_D</v>
      </c>
      <c r="CJ54" s="13" t="str">
        <f>VLOOKUP($G54,'Visu totale'!$D$3:$DT$129,CJ$1,0)</f>
        <v>NANCY_D</v>
      </c>
      <c r="CK54" s="13" t="str">
        <f>VLOOKUP($G54,'Visu totale'!$D$3:$DT$129,CK$1,0)</f>
        <v>NANCY_D</v>
      </c>
      <c r="CL54" s="15" t="str">
        <f>VLOOKUP($G54,'Visu totale'!$D$3:$DT$129,CL$1,0)</f>
        <v>NANCY_D</v>
      </c>
      <c r="CM54" s="14">
        <f>VLOOKUP($G54,'Visu totale'!$D$3:$DT$129,CM$1,0)</f>
        <v>18</v>
      </c>
      <c r="CN54" s="13">
        <f>VLOOKUP($G54,'Visu totale'!$D$3:$DT$129,CN$1,0)</f>
        <v>18</v>
      </c>
      <c r="CO54" s="13" t="str">
        <f>VLOOKUP($G54,'Visu totale'!$D$3:$DT$129,CO$1,0)</f>
        <v>NANCY_D</v>
      </c>
      <c r="CP54" s="13" t="str">
        <f>VLOOKUP($G54,'Visu totale'!$D$3:$DT$129,CP$1,0)</f>
        <v>NANCY_D</v>
      </c>
      <c r="CQ54" s="13" t="str">
        <f>VLOOKUP($G54,'Visu totale'!$D$3:$DT$129,CQ$1,0)</f>
        <v>NANCY_D</v>
      </c>
      <c r="CR54" s="13" t="str">
        <f>VLOOKUP($G54,'Visu totale'!$D$3:$DT$129,CR$1,0)</f>
        <v>NANCY_D</v>
      </c>
      <c r="CS54" s="13">
        <f>VLOOKUP($G54,'Visu totale'!$D$3:$DT$129,CS$1,0)</f>
        <v>18</v>
      </c>
      <c r="CT54" s="13">
        <f>VLOOKUP($G54,'Visu totale'!$D$3:$DT$129,CT$1,0)</f>
        <v>18</v>
      </c>
      <c r="CU54" s="13">
        <f>VLOOKUP($G54,'Visu totale'!$D$3:$DT$129,CU$1,0)</f>
        <v>18</v>
      </c>
      <c r="CV54" s="13">
        <f>VLOOKUP($G54,'Visu totale'!$D$3:$DT$129,CV$1,0)</f>
        <v>18</v>
      </c>
      <c r="CW54" s="13">
        <f>VLOOKUP($G54,'Visu totale'!$D$3:$DT$129,CW$1,0)</f>
        <v>18</v>
      </c>
      <c r="CX54" s="15">
        <f>VLOOKUP($G54,'Visu totale'!$D$3:$DT$129,CX$1,0)</f>
        <v>18</v>
      </c>
      <c r="CY54" s="14">
        <f>VLOOKUP($G54,'Visu totale'!$D$3:$DT$129,CY$1,0)</f>
        <v>0</v>
      </c>
      <c r="CZ54" s="13">
        <f>VLOOKUP($G54,'Visu totale'!$D$3:$DT$129,CZ$1,0)</f>
        <v>0</v>
      </c>
      <c r="DA54" s="13">
        <f>VLOOKUP($G54,'Visu totale'!$D$3:$DT$129,DA$1,0)</f>
        <v>0</v>
      </c>
      <c r="DB54" s="13">
        <f>VLOOKUP($G54,'Visu totale'!$D$3:$DT$129,DB$1,0)</f>
        <v>0</v>
      </c>
      <c r="DC54" s="13">
        <f>VLOOKUP($G54,'Visu totale'!$D$3:$DT$129,DC$1,0)</f>
        <v>0</v>
      </c>
      <c r="DD54" s="13">
        <f>VLOOKUP($G54,'Visu totale'!$D$3:$DT$129,DD$1,0)</f>
        <v>0</v>
      </c>
      <c r="DE54" s="13">
        <f>VLOOKUP($G54,'Visu totale'!$D$3:$DT$129,DE$1,0)</f>
        <v>0</v>
      </c>
      <c r="DF54" s="13">
        <f>VLOOKUP($G54,'Visu totale'!$D$3:$DT$129,DF$1,0)</f>
        <v>0</v>
      </c>
      <c r="DG54" s="13">
        <f>VLOOKUP($G54,'Visu totale'!$D$3:$DT$129,DG$1,0)</f>
        <v>0</v>
      </c>
      <c r="DH54" s="13">
        <f>VLOOKUP($G54,'Visu totale'!$D$3:$DT$129,DH$1,0)</f>
        <v>0</v>
      </c>
      <c r="DI54" s="13">
        <f>VLOOKUP($G54,'Visu totale'!$D$3:$DT$129,DI$1,0)</f>
        <v>0</v>
      </c>
      <c r="DJ54" s="15">
        <f>VLOOKUP($G54,'Visu totale'!$D$3:$DT$129,DJ$1,0)</f>
        <v>0</v>
      </c>
      <c r="DK54" s="14">
        <f>VLOOKUP($G54,'Visu totale'!$D$3:$DT$129,DK$1,0)</f>
        <v>0</v>
      </c>
      <c r="DL54" s="13">
        <f>VLOOKUP($G54,'Visu totale'!$D$3:$DT$129,DL$1,0)</f>
        <v>0</v>
      </c>
      <c r="DM54" s="13">
        <f>VLOOKUP($G54,'Visu totale'!$D$3:$DT$129,DM$1,0)</f>
        <v>0</v>
      </c>
      <c r="DN54" s="13">
        <f>VLOOKUP($G54,'Visu totale'!$D$3:$DT$129,DN$1,0)</f>
        <v>0</v>
      </c>
      <c r="DO54" s="13">
        <f>VLOOKUP($G54,'Visu totale'!$D$3:$DT$129,DO$1,0)</f>
        <v>0</v>
      </c>
      <c r="DP54" s="13">
        <f>VLOOKUP($G54,'Visu totale'!$D$3:$DT$129,DP$1,0)</f>
        <v>0</v>
      </c>
      <c r="DQ54" s="13">
        <f>VLOOKUP($G54,'Visu totale'!$D$3:$DT$129,DQ$1,0)</f>
        <v>0</v>
      </c>
      <c r="DR54" s="13">
        <f>VLOOKUP($G54,'Visu totale'!$D$3:$DT$129,DR$1,0)</f>
        <v>0</v>
      </c>
      <c r="DS54" s="13">
        <f>VLOOKUP($G54,'Visu totale'!$D$3:$DT$129,DS$1,0)</f>
        <v>0</v>
      </c>
      <c r="DT54" s="13">
        <f>VLOOKUP($G54,'Visu totale'!$D$3:$DT$129,DT$1,0)</f>
        <v>0</v>
      </c>
      <c r="DU54" s="13">
        <f>VLOOKUP($G54,'Visu totale'!$D$3:$DT$129,DU$1,0)</f>
        <v>0</v>
      </c>
      <c r="DV54" s="15">
        <f>VLOOKUP($G54,'Visu totale'!$D$3:$DT$129,DV$1,0)</f>
        <v>0</v>
      </c>
    </row>
    <row r="55" spans="1:126" x14ac:dyDescent="0.25">
      <c r="A55" s="13"/>
      <c r="B55" s="13"/>
      <c r="C55" s="13"/>
      <c r="D55" s="16"/>
      <c r="E55" s="14"/>
      <c r="F55" s="13"/>
      <c r="G55" s="17" t="s">
        <v>57</v>
      </c>
      <c r="H55" s="13">
        <f>VLOOKUP($G55,'Visu totale'!$D$3:$DT$129,H$1,0)</f>
        <v>18</v>
      </c>
      <c r="I55" s="13" t="str">
        <f>VLOOKUP($G55,'Visu totale'!$D$3:$DT$129,I$1,0)</f>
        <v>NANCY_D</v>
      </c>
      <c r="J55" s="13" t="str">
        <f>VLOOKUP($G55,'Visu totale'!$D$3:$DT$129,J$1,0)</f>
        <v>NANCY_D</v>
      </c>
      <c r="K55" s="13" t="str">
        <f>VLOOKUP($G55,'Visu totale'!$D$3:$DT$129,K$1,0)</f>
        <v>NANCY_D</v>
      </c>
      <c r="L55" s="13" t="str">
        <f>VLOOKUP($G55,'Visu totale'!$D$3:$DT$129,L$1,0)</f>
        <v>NANCY_D</v>
      </c>
      <c r="M55" s="13">
        <f>VLOOKUP($G55,'Visu totale'!$D$3:$DT$129,M$1,0)</f>
        <v>18</v>
      </c>
      <c r="N55" s="13">
        <f>VLOOKUP($G55,'Visu totale'!$D$3:$DT$129,N$1,0)</f>
        <v>18</v>
      </c>
      <c r="O55" s="13" t="str">
        <f>VLOOKUP($G55,'Visu totale'!$D$3:$DT$129,O$1,0)</f>
        <v>CHAMMAL_D</v>
      </c>
      <c r="P55" s="13" t="str">
        <f>VLOOKUP($G55,'Visu totale'!$D$3:$DT$129,P$1,0)</f>
        <v>CHAMMAL_D</v>
      </c>
      <c r="Q55" s="13" t="str">
        <f>VLOOKUP($G55,'Visu totale'!$D$3:$DT$129,Q$1,0)</f>
        <v>CHAMMAL_D</v>
      </c>
      <c r="R55" s="15" t="str">
        <f>VLOOKUP($G55,'Visu totale'!$D$3:$DT$129,R$1,0)</f>
        <v>CHAMMAL_D</v>
      </c>
      <c r="S55" s="14">
        <f>VLOOKUP($G55,'Visu totale'!$D$3:$DT$129,S$1,0)</f>
        <v>18</v>
      </c>
      <c r="T55" s="13">
        <f>VLOOKUP($G55,'Visu totale'!$D$3:$DT$129,T$1,0)</f>
        <v>18</v>
      </c>
      <c r="U55" s="13" t="str">
        <f>VLOOKUP($G55,'Visu totale'!$D$3:$DT$129,U$1,0)</f>
        <v>NANCY_D</v>
      </c>
      <c r="V55" s="13" t="str">
        <f>VLOOKUP($G55,'Visu totale'!$D$3:$DT$129,V$1,0)</f>
        <v>NANCY_D</v>
      </c>
      <c r="W55" s="13" t="str">
        <f>VLOOKUP($G55,'Visu totale'!$D$3:$DT$129,W$1,0)</f>
        <v>NANCY_D</v>
      </c>
      <c r="X55" s="13" t="str">
        <f>VLOOKUP($G55,'Visu totale'!$D$3:$DT$129,X$1,0)</f>
        <v>NANCY_D</v>
      </c>
      <c r="Y55" s="13">
        <f>VLOOKUP($G55,'Visu totale'!$D$3:$DT$129,Y$1,0)</f>
        <v>18</v>
      </c>
      <c r="Z55" s="13">
        <f>VLOOKUP($G55,'Visu totale'!$D$3:$DT$129,Z$1,0)</f>
        <v>18</v>
      </c>
      <c r="AA55" s="13" t="str">
        <f>VLOOKUP($G55,'Visu totale'!$D$3:$DT$129,AA$1,0)</f>
        <v>NANCY_D</v>
      </c>
      <c r="AB55" s="13" t="str">
        <f>VLOOKUP($G55,'Visu totale'!$D$3:$DT$129,AB$1,0)</f>
        <v>NANCY_D</v>
      </c>
      <c r="AC55" s="13" t="str">
        <f>VLOOKUP($G55,'Visu totale'!$D$3:$DT$129,AC$1,0)</f>
        <v>NANCY_D</v>
      </c>
      <c r="AD55" s="15" t="str">
        <f>VLOOKUP($G55,'Visu totale'!$D$3:$DT$129,AD$1,0)</f>
        <v>NANCY_D</v>
      </c>
      <c r="AE55" s="14">
        <f>VLOOKUP($G55,'Visu totale'!$D$3:$DT$129,AE$1,0)</f>
        <v>18</v>
      </c>
      <c r="AF55" s="13">
        <f>VLOOKUP($G55,'Visu totale'!$D$3:$DT$129,AF$1,0)</f>
        <v>18</v>
      </c>
      <c r="AG55" s="13" t="str">
        <f>VLOOKUP($G55,'Visu totale'!$D$3:$DT$129,AG$1,0)</f>
        <v>NIAMEY_D</v>
      </c>
      <c r="AH55" s="13" t="str">
        <f>VLOOKUP($G55,'Visu totale'!$D$3:$DT$129,AH$1,0)</f>
        <v>NIAMEY_D</v>
      </c>
      <c r="AI55" s="13" t="str">
        <f>VLOOKUP($G55,'Visu totale'!$D$3:$DT$129,AI$1,0)</f>
        <v>NIAMEY_D</v>
      </c>
      <c r="AJ55" s="13" t="str">
        <f>VLOOKUP($G55,'Visu totale'!$D$3:$DT$129,AJ$1,0)</f>
        <v>NIAMEY_D</v>
      </c>
      <c r="AK55" s="13">
        <f>VLOOKUP($G55,'Visu totale'!$D$3:$DT$129,AK$1,0)</f>
        <v>18</v>
      </c>
      <c r="AL55" s="13">
        <f>VLOOKUP($G55,'Visu totale'!$D$3:$DT$129,AL$1,0)</f>
        <v>18</v>
      </c>
      <c r="AM55" s="13">
        <f>VLOOKUP($G55,'Visu totale'!$D$3:$DT$129,AM$1,0)</f>
        <v>18</v>
      </c>
      <c r="AN55" s="13">
        <f>VLOOKUP($G55,'Visu totale'!$D$3:$DT$129,AN$1,0)</f>
        <v>18</v>
      </c>
      <c r="AO55" s="13">
        <f>VLOOKUP($G55,'Visu totale'!$D$3:$DT$129,AO$1,0)</f>
        <v>18</v>
      </c>
      <c r="AP55" s="15">
        <f>VLOOKUP($G55,'Visu totale'!$D$3:$DT$129,AP$1,0)</f>
        <v>18</v>
      </c>
      <c r="AQ55" s="14">
        <f>VLOOKUP($G55,'Visu totale'!$D$3:$DT$129,AQ$1,0)</f>
        <v>18</v>
      </c>
      <c r="AR55" s="13">
        <f>VLOOKUP($G55,'Visu totale'!$D$3:$DT$129,AR$1,0)</f>
        <v>18</v>
      </c>
      <c r="AS55" s="13">
        <f>VLOOKUP($G55,'Visu totale'!$D$3:$DT$129,AS$1,0)</f>
        <v>0</v>
      </c>
      <c r="AT55" s="13">
        <f>VLOOKUP($G55,'Visu totale'!$D$3:$DT$129,AT$1,0)</f>
        <v>0</v>
      </c>
      <c r="AU55" s="13">
        <f>VLOOKUP($G55,'Visu totale'!$D$3:$DT$129,AU$1,0)</f>
        <v>0</v>
      </c>
      <c r="AV55" s="13">
        <f>VLOOKUP($G55,'Visu totale'!$D$3:$DT$129,AV$1,0)</f>
        <v>0</v>
      </c>
      <c r="AW55" s="13">
        <f>VLOOKUP($G55,'Visu totale'!$D$3:$DT$129,AW$1,0)</f>
        <v>0</v>
      </c>
      <c r="AX55" s="13">
        <f>VLOOKUP($G55,'Visu totale'!$D$3:$DT$129,AX$1,0)</f>
        <v>0</v>
      </c>
      <c r="AY55" s="13">
        <f>VLOOKUP($G55,'Visu totale'!$D$3:$DT$129,AY$1,0)</f>
        <v>0</v>
      </c>
      <c r="AZ55" s="13">
        <f>VLOOKUP($G55,'Visu totale'!$D$3:$DT$129,AZ$1,0)</f>
        <v>0</v>
      </c>
      <c r="BA55" s="13">
        <f>VLOOKUP($G55,'Visu totale'!$D$3:$DT$129,BA$1,0)</f>
        <v>0</v>
      </c>
      <c r="BB55" s="15">
        <f>VLOOKUP($G55,'Visu totale'!$D$3:$DT$129,BB$1,0)</f>
        <v>0</v>
      </c>
      <c r="BC55" s="14" t="str">
        <f>VLOOKUP($G55,'Visu totale'!$D$3:$DT$129,BC$1,0)</f>
        <v>V10</v>
      </c>
      <c r="BD55" s="13" t="str">
        <f>VLOOKUP($G55,'Visu totale'!$D$3:$DT$129,BD$1,0)</f>
        <v>V10</v>
      </c>
      <c r="BE55" s="13" t="str">
        <f>VLOOKUP($G55,'Visu totale'!$D$3:$DT$129,BE$1,0)</f>
        <v>V10</v>
      </c>
      <c r="BF55" s="13" t="str">
        <f>VLOOKUP($G55,'Visu totale'!$D$3:$DT$129,BF$1,0)</f>
        <v>V10</v>
      </c>
      <c r="BG55" s="13" t="str">
        <f>VLOOKUP($G55,'Visu totale'!$D$3:$DT$129,BG$1,0)</f>
        <v>V10</v>
      </c>
      <c r="BH55" s="13" t="str">
        <f>VLOOKUP($G55,'Visu totale'!$D$3:$DT$129,BH$1,0)</f>
        <v>V10</v>
      </c>
      <c r="BI55" s="13">
        <f>VLOOKUP($G55,'Visu totale'!$D$3:$DT$129,BI$1,0)</f>
        <v>18</v>
      </c>
      <c r="BJ55" s="13">
        <f>VLOOKUP($G55,'Visu totale'!$D$3:$DT$129,BJ$1,0)</f>
        <v>18</v>
      </c>
      <c r="BK55" s="13" t="str">
        <f>VLOOKUP($G55,'Visu totale'!$D$3:$DT$129,BK$1,0)</f>
        <v>CHAMMAL_D</v>
      </c>
      <c r="BL55" s="13" t="str">
        <f>VLOOKUP($G55,'Visu totale'!$D$3:$DT$129,BL$1,0)</f>
        <v>CHAMMAL_D</v>
      </c>
      <c r="BM55" s="13">
        <f>VLOOKUP($G55,'Visu totale'!$D$3:$DT$129,BM$1,0)</f>
        <v>18</v>
      </c>
      <c r="BN55" s="15">
        <f>VLOOKUP($G55,'Visu totale'!$D$3:$DT$129,BN$1,0)</f>
        <v>18</v>
      </c>
      <c r="BO55" s="14">
        <f>VLOOKUP($G55,'Visu totale'!$D$3:$DT$129,BO$1,0)</f>
        <v>18</v>
      </c>
      <c r="BP55" s="13" t="str">
        <f>VLOOKUP($G55,'Visu totale'!$D$3:$DT$129,BP$1,0)</f>
        <v>NANCY_D</v>
      </c>
      <c r="BQ55" s="13" t="str">
        <f>VLOOKUP($G55,'Visu totale'!$D$3:$DT$129,BQ$1,0)</f>
        <v>NANCY_D</v>
      </c>
      <c r="BR55" s="13" t="str">
        <f>VLOOKUP($G55,'Visu totale'!$D$3:$DT$129,BR$1,0)</f>
        <v>NANCY_D</v>
      </c>
      <c r="BS55" s="13" t="str">
        <f>VLOOKUP($G55,'Visu totale'!$D$3:$DT$129,BS$1,0)</f>
        <v>NANCY_D</v>
      </c>
      <c r="BT55" s="13">
        <f>VLOOKUP($G55,'Visu totale'!$D$3:$DT$129,BT$1,0)</f>
        <v>18</v>
      </c>
      <c r="BU55" s="13">
        <f>VLOOKUP($G55,'Visu totale'!$D$3:$DT$129,BU$1,0)</f>
        <v>18</v>
      </c>
      <c r="BV55" s="13" t="str">
        <f>VLOOKUP($G55,'Visu totale'!$D$3:$DT$129,BV$1,0)</f>
        <v>NANCY_D</v>
      </c>
      <c r="BW55" s="13" t="str">
        <f>VLOOKUP($G55,'Visu totale'!$D$3:$DT$129,BW$1,0)</f>
        <v>NANCY_D</v>
      </c>
      <c r="BX55" s="13" t="str">
        <f>VLOOKUP($G55,'Visu totale'!$D$3:$DT$129,BX$1,0)</f>
        <v>NANCY_D</v>
      </c>
      <c r="BY55" s="13" t="str">
        <f>VLOOKUP($G55,'Visu totale'!$D$3:$DT$129,BY$1,0)</f>
        <v>NANCY_D</v>
      </c>
      <c r="BZ55" s="15">
        <f>VLOOKUP($G55,'Visu totale'!$D$3:$DT$129,BZ$1,0)</f>
        <v>18</v>
      </c>
      <c r="CA55" s="14">
        <f>VLOOKUP($G55,'Visu totale'!$D$3:$DT$129,CA$1,0)</f>
        <v>18</v>
      </c>
      <c r="CB55" s="13" t="str">
        <f>VLOOKUP($G55,'Visu totale'!$D$3:$DT$129,CB$1,0)</f>
        <v>NANCY_D</v>
      </c>
      <c r="CC55" s="13" t="str">
        <f>VLOOKUP($G55,'Visu totale'!$D$3:$DT$129,CC$1,0)</f>
        <v>NANCY_D</v>
      </c>
      <c r="CD55" s="13" t="str">
        <f>VLOOKUP($G55,'Visu totale'!$D$3:$DT$129,CD$1,0)</f>
        <v>NANCY_D</v>
      </c>
      <c r="CE55" s="13" t="str">
        <f>VLOOKUP($G55,'Visu totale'!$D$3:$DT$129,CE$1,0)</f>
        <v>NANCY_D</v>
      </c>
      <c r="CF55" s="13">
        <f>VLOOKUP($G55,'Visu totale'!$D$3:$DT$129,CF$1,0)</f>
        <v>18</v>
      </c>
      <c r="CG55" s="13">
        <f>VLOOKUP($G55,'Visu totale'!$D$3:$DT$129,CG$1,0)</f>
        <v>18</v>
      </c>
      <c r="CH55" s="13" t="str">
        <f>VLOOKUP($G55,'Visu totale'!$D$3:$DT$129,CH$1,0)</f>
        <v>NANCY_D</v>
      </c>
      <c r="CI55" s="13" t="str">
        <f>VLOOKUP($G55,'Visu totale'!$D$3:$DT$129,CI$1,0)</f>
        <v>NANCY_D</v>
      </c>
      <c r="CJ55" s="13" t="str">
        <f>VLOOKUP($G55,'Visu totale'!$D$3:$DT$129,CJ$1,0)</f>
        <v>NANCY_D</v>
      </c>
      <c r="CK55" s="13" t="str">
        <f>VLOOKUP($G55,'Visu totale'!$D$3:$DT$129,CK$1,0)</f>
        <v>NANCY_D</v>
      </c>
      <c r="CL55" s="15">
        <f>VLOOKUP($G55,'Visu totale'!$D$3:$DT$129,CL$1,0)</f>
        <v>18</v>
      </c>
      <c r="CM55" s="14">
        <f>VLOOKUP($G55,'Visu totale'!$D$3:$DT$129,CM$1,0)</f>
        <v>18</v>
      </c>
      <c r="CN55" s="13" t="str">
        <f>VLOOKUP($G55,'Visu totale'!$D$3:$DT$129,CN$1,0)</f>
        <v>NANCY_D</v>
      </c>
      <c r="CO55" s="13" t="str">
        <f>VLOOKUP($G55,'Visu totale'!$D$3:$DT$129,CO$1,0)</f>
        <v>NANCY_D</v>
      </c>
      <c r="CP55" s="13" t="str">
        <f>VLOOKUP($G55,'Visu totale'!$D$3:$DT$129,CP$1,0)</f>
        <v>NANCY_D</v>
      </c>
      <c r="CQ55" s="13" t="str">
        <f>VLOOKUP($G55,'Visu totale'!$D$3:$DT$129,CQ$1,0)</f>
        <v>NANCY_D</v>
      </c>
      <c r="CR55" s="13">
        <f>VLOOKUP($G55,'Visu totale'!$D$3:$DT$129,CR$1,0)</f>
        <v>18</v>
      </c>
      <c r="CS55" s="13">
        <f>VLOOKUP($G55,'Visu totale'!$D$3:$DT$129,CS$1,0)</f>
        <v>18</v>
      </c>
      <c r="CT55" s="13">
        <f>VLOOKUP($G55,'Visu totale'!$D$3:$DT$129,CT$1,0)</f>
        <v>18</v>
      </c>
      <c r="CU55" s="13">
        <f>VLOOKUP($G55,'Visu totale'!$D$3:$DT$129,CU$1,0)</f>
        <v>18</v>
      </c>
      <c r="CV55" s="13">
        <f>VLOOKUP($G55,'Visu totale'!$D$3:$DT$129,CV$1,0)</f>
        <v>18</v>
      </c>
      <c r="CW55" s="13">
        <f>VLOOKUP($G55,'Visu totale'!$D$3:$DT$129,CW$1,0)</f>
        <v>18</v>
      </c>
      <c r="CX55" s="15">
        <f>VLOOKUP($G55,'Visu totale'!$D$3:$DT$129,CX$1,0)</f>
        <v>18</v>
      </c>
      <c r="CY55" s="14">
        <f>VLOOKUP($G55,'Visu totale'!$D$3:$DT$129,CY$1,0)</f>
        <v>0</v>
      </c>
      <c r="CZ55" s="13">
        <f>VLOOKUP($G55,'Visu totale'!$D$3:$DT$129,CZ$1,0)</f>
        <v>0</v>
      </c>
      <c r="DA55" s="13">
        <f>VLOOKUP($G55,'Visu totale'!$D$3:$DT$129,DA$1,0)</f>
        <v>0</v>
      </c>
      <c r="DB55" s="13">
        <f>VLOOKUP($G55,'Visu totale'!$D$3:$DT$129,DB$1,0)</f>
        <v>0</v>
      </c>
      <c r="DC55" s="13">
        <f>VLOOKUP($G55,'Visu totale'!$D$3:$DT$129,DC$1,0)</f>
        <v>0</v>
      </c>
      <c r="DD55" s="13">
        <f>VLOOKUP($G55,'Visu totale'!$D$3:$DT$129,DD$1,0)</f>
        <v>0</v>
      </c>
      <c r="DE55" s="13">
        <f>VLOOKUP($G55,'Visu totale'!$D$3:$DT$129,DE$1,0)</f>
        <v>0</v>
      </c>
      <c r="DF55" s="13">
        <f>VLOOKUP($G55,'Visu totale'!$D$3:$DT$129,DF$1,0)</f>
        <v>0</v>
      </c>
      <c r="DG55" s="13">
        <f>VLOOKUP($G55,'Visu totale'!$D$3:$DT$129,DG$1,0)</f>
        <v>0</v>
      </c>
      <c r="DH55" s="13">
        <f>VLOOKUP($G55,'Visu totale'!$D$3:$DT$129,DH$1,0)</f>
        <v>0</v>
      </c>
      <c r="DI55" s="13">
        <f>VLOOKUP($G55,'Visu totale'!$D$3:$DT$129,DI$1,0)</f>
        <v>0</v>
      </c>
      <c r="DJ55" s="15">
        <f>VLOOKUP($G55,'Visu totale'!$D$3:$DT$129,DJ$1,0)</f>
        <v>0</v>
      </c>
      <c r="DK55" s="14">
        <f>VLOOKUP($G55,'Visu totale'!$D$3:$DT$129,DK$1,0)</f>
        <v>0</v>
      </c>
      <c r="DL55" s="13">
        <f>VLOOKUP($G55,'Visu totale'!$D$3:$DT$129,DL$1,0)</f>
        <v>0</v>
      </c>
      <c r="DM55" s="13">
        <f>VLOOKUP($G55,'Visu totale'!$D$3:$DT$129,DM$1,0)</f>
        <v>0</v>
      </c>
      <c r="DN55" s="13">
        <f>VLOOKUP($G55,'Visu totale'!$D$3:$DT$129,DN$1,0)</f>
        <v>0</v>
      </c>
      <c r="DO55" s="13">
        <f>VLOOKUP($G55,'Visu totale'!$D$3:$DT$129,DO$1,0)</f>
        <v>0</v>
      </c>
      <c r="DP55" s="13">
        <f>VLOOKUP($G55,'Visu totale'!$D$3:$DT$129,DP$1,0)</f>
        <v>0</v>
      </c>
      <c r="DQ55" s="13">
        <f>VLOOKUP($G55,'Visu totale'!$D$3:$DT$129,DQ$1,0)</f>
        <v>0</v>
      </c>
      <c r="DR55" s="13">
        <f>VLOOKUP($G55,'Visu totale'!$D$3:$DT$129,DR$1,0)</f>
        <v>0</v>
      </c>
      <c r="DS55" s="13">
        <f>VLOOKUP($G55,'Visu totale'!$D$3:$DT$129,DS$1,0)</f>
        <v>0</v>
      </c>
      <c r="DT55" s="13">
        <f>VLOOKUP($G55,'Visu totale'!$D$3:$DT$129,DT$1,0)</f>
        <v>0</v>
      </c>
      <c r="DU55" s="13">
        <f>VLOOKUP($G55,'Visu totale'!$D$3:$DT$129,DU$1,0)</f>
        <v>0</v>
      </c>
      <c r="DV55" s="15">
        <f>VLOOKUP($G55,'Visu totale'!$D$3:$DT$129,DV$1,0)</f>
        <v>0</v>
      </c>
    </row>
    <row r="56" spans="1:126" x14ac:dyDescent="0.25">
      <c r="A56" s="13"/>
      <c r="B56" s="13"/>
      <c r="C56" s="13"/>
      <c r="D56" s="16"/>
      <c r="E56" s="14"/>
      <c r="F56" s="13"/>
      <c r="G56" s="17" t="s">
        <v>58</v>
      </c>
      <c r="H56" s="13">
        <f>VLOOKUP($G56,'Visu totale'!$D$3:$DT$129,H$1,0)</f>
        <v>18</v>
      </c>
      <c r="I56" s="13" t="str">
        <f>VLOOKUP($G56,'Visu totale'!$D$3:$DT$129,I$1,0)</f>
        <v>NANCY_D</v>
      </c>
      <c r="J56" s="13" t="str">
        <f>VLOOKUP($G56,'Visu totale'!$D$3:$DT$129,J$1,0)</f>
        <v>NANCY_D</v>
      </c>
      <c r="K56" s="13" t="str">
        <f>VLOOKUP($G56,'Visu totale'!$D$3:$DT$129,K$1,0)</f>
        <v>NANCY_D</v>
      </c>
      <c r="L56" s="13" t="str">
        <f>VLOOKUP($G56,'Visu totale'!$D$3:$DT$129,L$1,0)</f>
        <v>NANCY_D</v>
      </c>
      <c r="M56" s="13">
        <f>VLOOKUP($G56,'Visu totale'!$D$3:$DT$129,M$1,0)</f>
        <v>18</v>
      </c>
      <c r="N56" s="13">
        <f>VLOOKUP($G56,'Visu totale'!$D$3:$DT$129,N$1,0)</f>
        <v>18</v>
      </c>
      <c r="O56" s="13" t="str">
        <f>VLOOKUP($G56,'Visu totale'!$D$3:$DT$129,O$1,0)</f>
        <v>NIAMEY_D</v>
      </c>
      <c r="P56" s="13" t="str">
        <f>VLOOKUP($G56,'Visu totale'!$D$3:$DT$129,P$1,0)</f>
        <v>NIAMEY_D</v>
      </c>
      <c r="Q56" s="13" t="str">
        <f>VLOOKUP($G56,'Visu totale'!$D$3:$DT$129,Q$1,0)</f>
        <v>NIAMEY_D</v>
      </c>
      <c r="R56" s="15" t="str">
        <f>VLOOKUP($G56,'Visu totale'!$D$3:$DT$129,R$1,0)</f>
        <v>NIAMEY_D</v>
      </c>
      <c r="S56" s="14" t="str">
        <f>VLOOKUP($G56,'Visu totale'!$D$3:$DT$129,S$1,0)</f>
        <v>V15</v>
      </c>
      <c r="T56" s="13" t="str">
        <f>VLOOKUP($G56,'Visu totale'!$D$3:$DT$129,T$1,0)</f>
        <v>V15</v>
      </c>
      <c r="U56" s="13" t="str">
        <f>VLOOKUP($G56,'Visu totale'!$D$3:$DT$129,U$1,0)</f>
        <v>V15</v>
      </c>
      <c r="V56" s="13" t="str">
        <f>VLOOKUP($G56,'Visu totale'!$D$3:$DT$129,V$1,0)</f>
        <v>V15</v>
      </c>
      <c r="W56" s="13" t="str">
        <f>VLOOKUP($G56,'Visu totale'!$D$3:$DT$129,W$1,0)</f>
        <v>V15</v>
      </c>
      <c r="X56" s="13" t="str">
        <f>VLOOKUP($G56,'Visu totale'!$D$3:$DT$129,X$1,0)</f>
        <v>V15</v>
      </c>
      <c r="Y56" s="13">
        <f>VLOOKUP($G56,'Visu totale'!$D$3:$DT$129,Y$1,0)</f>
        <v>18</v>
      </c>
      <c r="Z56" s="13">
        <f>VLOOKUP($G56,'Visu totale'!$D$3:$DT$129,Z$1,0)</f>
        <v>18</v>
      </c>
      <c r="AA56" s="13" t="str">
        <f>VLOOKUP($G56,'Visu totale'!$D$3:$DT$129,AA$1,0)</f>
        <v>NIAMEY_D</v>
      </c>
      <c r="AB56" s="13" t="str">
        <f>VLOOKUP($G56,'Visu totale'!$D$3:$DT$129,AB$1,0)</f>
        <v>NIAMEY_D</v>
      </c>
      <c r="AC56" s="13" t="str">
        <f>VLOOKUP($G56,'Visu totale'!$D$3:$DT$129,AC$1,0)</f>
        <v>NIAMEY_D</v>
      </c>
      <c r="AD56" s="15" t="str">
        <f>VLOOKUP($G56,'Visu totale'!$D$3:$DT$129,AD$1,0)</f>
        <v>NIAMEY_D</v>
      </c>
      <c r="AE56" s="14">
        <f>VLOOKUP($G56,'Visu totale'!$D$3:$DT$129,AE$1,0)</f>
        <v>18</v>
      </c>
      <c r="AF56" s="13">
        <f>VLOOKUP($G56,'Visu totale'!$D$3:$DT$129,AF$1,0)</f>
        <v>18</v>
      </c>
      <c r="AG56" s="13" t="str">
        <f>VLOOKUP($G56,'Visu totale'!$D$3:$DT$129,AG$1,0)</f>
        <v>NDJAMENA_D</v>
      </c>
      <c r="AH56" s="13" t="str">
        <f>VLOOKUP($G56,'Visu totale'!$D$3:$DT$129,AH$1,0)</f>
        <v>NDJAMENA_D</v>
      </c>
      <c r="AI56" s="13" t="str">
        <f>VLOOKUP($G56,'Visu totale'!$D$3:$DT$129,AI$1,0)</f>
        <v>NDJAMENA_D</v>
      </c>
      <c r="AJ56" s="13" t="str">
        <f>VLOOKUP($G56,'Visu totale'!$D$3:$DT$129,AJ$1,0)</f>
        <v>NDJAMENA_D</v>
      </c>
      <c r="AK56" s="13">
        <f>VLOOKUP($G56,'Visu totale'!$D$3:$DT$129,AK$1,0)</f>
        <v>18</v>
      </c>
      <c r="AL56" s="13">
        <f>VLOOKUP($G56,'Visu totale'!$D$3:$DT$129,AL$1,0)</f>
        <v>18</v>
      </c>
      <c r="AM56" s="13" t="str">
        <f>VLOOKUP($G56,'Visu totale'!$D$3:$DT$129,AM$1,0)</f>
        <v>NANCY_D</v>
      </c>
      <c r="AN56" s="13" t="str">
        <f>VLOOKUP($G56,'Visu totale'!$D$3:$DT$129,AN$1,0)</f>
        <v>NANCY_D</v>
      </c>
      <c r="AO56" s="13" t="str">
        <f>VLOOKUP($G56,'Visu totale'!$D$3:$DT$129,AO$1,0)</f>
        <v>NANCY_D</v>
      </c>
      <c r="AP56" s="15" t="str">
        <f>VLOOKUP($G56,'Visu totale'!$D$3:$DT$129,AP$1,0)</f>
        <v>NANCY_D</v>
      </c>
      <c r="AQ56" s="14">
        <f>VLOOKUP($G56,'Visu totale'!$D$3:$DT$129,AQ$1,0)</f>
        <v>18</v>
      </c>
      <c r="AR56" s="13">
        <f>VLOOKUP($G56,'Visu totale'!$D$3:$DT$129,AR$1,0)</f>
        <v>18</v>
      </c>
      <c r="AS56" s="13" t="str">
        <f>VLOOKUP($G56,'Visu totale'!$D$3:$DT$129,AS$1,0)</f>
        <v>NANCY_D</v>
      </c>
      <c r="AT56" s="13" t="str">
        <f>VLOOKUP($G56,'Visu totale'!$D$3:$DT$129,AT$1,0)</f>
        <v>NANCY_D</v>
      </c>
      <c r="AU56" s="13" t="str">
        <f>VLOOKUP($G56,'Visu totale'!$D$3:$DT$129,AU$1,0)</f>
        <v>NANCY_D</v>
      </c>
      <c r="AV56" s="13" t="str">
        <f>VLOOKUP($G56,'Visu totale'!$D$3:$DT$129,AV$1,0)</f>
        <v>NANCY_D</v>
      </c>
      <c r="AW56" s="13">
        <f>VLOOKUP($G56,'Visu totale'!$D$3:$DT$129,AW$1,0)</f>
        <v>18</v>
      </c>
      <c r="AX56" s="13">
        <f>VLOOKUP($G56,'Visu totale'!$D$3:$DT$129,AX$1,0)</f>
        <v>18</v>
      </c>
      <c r="AY56" s="13" t="str">
        <f>VLOOKUP($G56,'Visu totale'!$D$3:$DT$129,AY$1,0)</f>
        <v>NANCY_D</v>
      </c>
      <c r="AZ56" s="13" t="str">
        <f>VLOOKUP($G56,'Visu totale'!$D$3:$DT$129,AZ$1,0)</f>
        <v>NANCY_D</v>
      </c>
      <c r="BA56" s="13" t="str">
        <f>VLOOKUP($G56,'Visu totale'!$D$3:$DT$129,BA$1,0)</f>
        <v>NANCY_D</v>
      </c>
      <c r="BB56" s="15" t="str">
        <f>VLOOKUP($G56,'Visu totale'!$D$3:$DT$129,BB$1,0)</f>
        <v>NANCY_D</v>
      </c>
      <c r="BC56" s="14">
        <f>VLOOKUP($G56,'Visu totale'!$D$3:$DT$129,BC$1,0)</f>
        <v>18</v>
      </c>
      <c r="BD56" s="13">
        <f>VLOOKUP($G56,'Visu totale'!$D$3:$DT$129,BD$1,0)</f>
        <v>18</v>
      </c>
      <c r="BE56" s="13">
        <f>VLOOKUP($G56,'Visu totale'!$D$3:$DT$129,BE$1,0)</f>
        <v>18</v>
      </c>
      <c r="BF56" s="13">
        <f>VLOOKUP($G56,'Visu totale'!$D$3:$DT$129,BF$1,0)</f>
        <v>18</v>
      </c>
      <c r="BG56" s="13">
        <f>VLOOKUP($G56,'Visu totale'!$D$3:$DT$129,BG$1,0)</f>
        <v>18</v>
      </c>
      <c r="BH56" s="13">
        <f>VLOOKUP($G56,'Visu totale'!$D$3:$DT$129,BH$1,0)</f>
        <v>18</v>
      </c>
      <c r="BI56" s="13">
        <f>VLOOKUP($G56,'Visu totale'!$D$3:$DT$129,BI$1,0)</f>
        <v>18</v>
      </c>
      <c r="BJ56" s="13">
        <f>VLOOKUP($G56,'Visu totale'!$D$3:$DT$129,BJ$1,0)</f>
        <v>18</v>
      </c>
      <c r="BK56" s="13">
        <f>VLOOKUP($G56,'Visu totale'!$D$3:$DT$129,BK$1,0)</f>
        <v>0</v>
      </c>
      <c r="BL56" s="13">
        <f>VLOOKUP($G56,'Visu totale'!$D$3:$DT$129,BL$1,0)</f>
        <v>0</v>
      </c>
      <c r="BM56" s="13">
        <f>VLOOKUP($G56,'Visu totale'!$D$3:$DT$129,BM$1,0)</f>
        <v>0</v>
      </c>
      <c r="BN56" s="15">
        <f>VLOOKUP($G56,'Visu totale'!$D$3:$DT$129,BN$1,0)</f>
        <v>0</v>
      </c>
      <c r="BO56" s="14" t="str">
        <f>VLOOKUP($G56,'Visu totale'!$D$3:$DT$129,BO$1,0)</f>
        <v>NANCY_D</v>
      </c>
      <c r="BP56" s="13" t="str">
        <f>VLOOKUP($G56,'Visu totale'!$D$3:$DT$129,BP$1,0)</f>
        <v>NANCY_D</v>
      </c>
      <c r="BQ56" s="13" t="str">
        <f>VLOOKUP($G56,'Visu totale'!$D$3:$DT$129,BQ$1,0)</f>
        <v>NANCY_D</v>
      </c>
      <c r="BR56" s="13" t="str">
        <f>VLOOKUP($G56,'Visu totale'!$D$3:$DT$129,BR$1,0)</f>
        <v>NANCY_D</v>
      </c>
      <c r="BS56" s="13">
        <f>VLOOKUP($G56,'Visu totale'!$D$3:$DT$129,BS$1,0)</f>
        <v>18</v>
      </c>
      <c r="BT56" s="13">
        <f>VLOOKUP($G56,'Visu totale'!$D$3:$DT$129,BT$1,0)</f>
        <v>18</v>
      </c>
      <c r="BU56" s="13" t="str">
        <f>VLOOKUP($G56,'Visu totale'!$D$3:$DT$129,BU$1,0)</f>
        <v>NANCY_D</v>
      </c>
      <c r="BV56" s="13" t="str">
        <f>VLOOKUP($G56,'Visu totale'!$D$3:$DT$129,BV$1,0)</f>
        <v>NANCY_D</v>
      </c>
      <c r="BW56" s="13" t="str">
        <f>VLOOKUP($G56,'Visu totale'!$D$3:$DT$129,BW$1,0)</f>
        <v>NANCY_D</v>
      </c>
      <c r="BX56" s="13" t="str">
        <f>VLOOKUP($G56,'Visu totale'!$D$3:$DT$129,BX$1,0)</f>
        <v>NANCY_D</v>
      </c>
      <c r="BY56" s="13">
        <f>VLOOKUP($G56,'Visu totale'!$D$3:$DT$129,BY$1,0)</f>
        <v>18</v>
      </c>
      <c r="BZ56" s="15">
        <f>VLOOKUP($G56,'Visu totale'!$D$3:$DT$129,BZ$1,0)</f>
        <v>18</v>
      </c>
      <c r="CA56" s="14" t="str">
        <f>VLOOKUP($G56,'Visu totale'!$D$3:$DT$129,CA$1,0)</f>
        <v>NANCY_D</v>
      </c>
      <c r="CB56" s="13" t="str">
        <f>VLOOKUP($G56,'Visu totale'!$D$3:$DT$129,CB$1,0)</f>
        <v>NANCY_D</v>
      </c>
      <c r="CC56" s="13" t="str">
        <f>VLOOKUP($G56,'Visu totale'!$D$3:$DT$129,CC$1,0)</f>
        <v>NANCY_D</v>
      </c>
      <c r="CD56" s="13" t="str">
        <f>VLOOKUP($G56,'Visu totale'!$D$3:$DT$129,CD$1,0)</f>
        <v>NANCY_D</v>
      </c>
      <c r="CE56" s="13">
        <f>VLOOKUP($G56,'Visu totale'!$D$3:$DT$129,CE$1,0)</f>
        <v>18</v>
      </c>
      <c r="CF56" s="13">
        <f>VLOOKUP($G56,'Visu totale'!$D$3:$DT$129,CF$1,0)</f>
        <v>18</v>
      </c>
      <c r="CG56" s="13">
        <f>VLOOKUP($G56,'Visu totale'!$D$3:$DT$129,CG$1,0)</f>
        <v>18</v>
      </c>
      <c r="CH56" s="13">
        <f>VLOOKUP($G56,'Visu totale'!$D$3:$DT$129,CH$1,0)</f>
        <v>18</v>
      </c>
      <c r="CI56" s="13">
        <f>VLOOKUP($G56,'Visu totale'!$D$3:$DT$129,CI$1,0)</f>
        <v>18</v>
      </c>
      <c r="CJ56" s="13">
        <f>VLOOKUP($G56,'Visu totale'!$D$3:$DT$129,CJ$1,0)</f>
        <v>18</v>
      </c>
      <c r="CK56" s="13">
        <f>VLOOKUP($G56,'Visu totale'!$D$3:$DT$129,CK$1,0)</f>
        <v>18</v>
      </c>
      <c r="CL56" s="15">
        <f>VLOOKUP($G56,'Visu totale'!$D$3:$DT$129,CL$1,0)</f>
        <v>18</v>
      </c>
      <c r="CM56" s="14">
        <f>VLOOKUP($G56,'Visu totale'!$D$3:$DT$129,CM$1,0)</f>
        <v>0</v>
      </c>
      <c r="CN56" s="13">
        <f>VLOOKUP($G56,'Visu totale'!$D$3:$DT$129,CN$1,0)</f>
        <v>0</v>
      </c>
      <c r="CO56" s="13">
        <f>VLOOKUP($G56,'Visu totale'!$D$3:$DT$129,CO$1,0)</f>
        <v>0</v>
      </c>
      <c r="CP56" s="13">
        <f>VLOOKUP($G56,'Visu totale'!$D$3:$DT$129,CP$1,0)</f>
        <v>0</v>
      </c>
      <c r="CQ56" s="13">
        <f>VLOOKUP($G56,'Visu totale'!$D$3:$DT$129,CQ$1,0)</f>
        <v>0</v>
      </c>
      <c r="CR56" s="13">
        <f>VLOOKUP($G56,'Visu totale'!$D$3:$DT$129,CR$1,0)</f>
        <v>0</v>
      </c>
      <c r="CS56" s="13">
        <f>VLOOKUP($G56,'Visu totale'!$D$3:$DT$129,CS$1,0)</f>
        <v>0</v>
      </c>
      <c r="CT56" s="13">
        <f>VLOOKUP($G56,'Visu totale'!$D$3:$DT$129,CT$1,0)</f>
        <v>18</v>
      </c>
      <c r="CU56" s="13">
        <f>VLOOKUP($G56,'Visu totale'!$D$3:$DT$129,CU$1,0)</f>
        <v>18</v>
      </c>
      <c r="CV56" s="13">
        <f>VLOOKUP($G56,'Visu totale'!$D$3:$DT$129,CV$1,0)</f>
        <v>18</v>
      </c>
      <c r="CW56" s="13">
        <f>VLOOKUP($G56,'Visu totale'!$D$3:$DT$129,CW$1,0)</f>
        <v>18</v>
      </c>
      <c r="CX56" s="15">
        <f>VLOOKUP($G56,'Visu totale'!$D$3:$DT$129,CX$1,0)</f>
        <v>18</v>
      </c>
      <c r="CY56" s="14">
        <f>VLOOKUP($G56,'Visu totale'!$D$3:$DT$129,CY$1,0)</f>
        <v>0</v>
      </c>
      <c r="CZ56" s="13">
        <f>VLOOKUP($G56,'Visu totale'!$D$3:$DT$129,CZ$1,0)</f>
        <v>0</v>
      </c>
      <c r="DA56" s="13">
        <f>VLOOKUP($G56,'Visu totale'!$D$3:$DT$129,DA$1,0)</f>
        <v>0</v>
      </c>
      <c r="DB56" s="13">
        <f>VLOOKUP($G56,'Visu totale'!$D$3:$DT$129,DB$1,0)</f>
        <v>0</v>
      </c>
      <c r="DC56" s="13">
        <f>VLOOKUP($G56,'Visu totale'!$D$3:$DT$129,DC$1,0)</f>
        <v>0</v>
      </c>
      <c r="DD56" s="13">
        <f>VLOOKUP($G56,'Visu totale'!$D$3:$DT$129,DD$1,0)</f>
        <v>0</v>
      </c>
      <c r="DE56" s="13">
        <f>VLOOKUP($G56,'Visu totale'!$D$3:$DT$129,DE$1,0)</f>
        <v>0</v>
      </c>
      <c r="DF56" s="13">
        <f>VLOOKUP($G56,'Visu totale'!$D$3:$DT$129,DF$1,0)</f>
        <v>0</v>
      </c>
      <c r="DG56" s="13">
        <f>VLOOKUP($G56,'Visu totale'!$D$3:$DT$129,DG$1,0)</f>
        <v>0</v>
      </c>
      <c r="DH56" s="13">
        <f>VLOOKUP($G56,'Visu totale'!$D$3:$DT$129,DH$1,0)</f>
        <v>0</v>
      </c>
      <c r="DI56" s="13">
        <f>VLOOKUP($G56,'Visu totale'!$D$3:$DT$129,DI$1,0)</f>
        <v>0</v>
      </c>
      <c r="DJ56" s="15">
        <f>VLOOKUP($G56,'Visu totale'!$D$3:$DT$129,DJ$1,0)</f>
        <v>0</v>
      </c>
      <c r="DK56" s="14">
        <f>VLOOKUP($G56,'Visu totale'!$D$3:$DT$129,DK$1,0)</f>
        <v>0</v>
      </c>
      <c r="DL56" s="13">
        <f>VLOOKUP($G56,'Visu totale'!$D$3:$DT$129,DL$1,0)</f>
        <v>0</v>
      </c>
      <c r="DM56" s="13">
        <f>VLOOKUP($G56,'Visu totale'!$D$3:$DT$129,DM$1,0)</f>
        <v>0</v>
      </c>
      <c r="DN56" s="13">
        <f>VLOOKUP($G56,'Visu totale'!$D$3:$DT$129,DN$1,0)</f>
        <v>0</v>
      </c>
      <c r="DO56" s="13">
        <f>VLOOKUP($G56,'Visu totale'!$D$3:$DT$129,DO$1,0)</f>
        <v>0</v>
      </c>
      <c r="DP56" s="13">
        <f>VLOOKUP($G56,'Visu totale'!$D$3:$DT$129,DP$1,0)</f>
        <v>0</v>
      </c>
      <c r="DQ56" s="13">
        <f>VLOOKUP($G56,'Visu totale'!$D$3:$DT$129,DQ$1,0)</f>
        <v>0</v>
      </c>
      <c r="DR56" s="13">
        <f>VLOOKUP($G56,'Visu totale'!$D$3:$DT$129,DR$1,0)</f>
        <v>0</v>
      </c>
      <c r="DS56" s="13">
        <f>VLOOKUP($G56,'Visu totale'!$D$3:$DT$129,DS$1,0)</f>
        <v>0</v>
      </c>
      <c r="DT56" s="13">
        <f>VLOOKUP($G56,'Visu totale'!$D$3:$DT$129,DT$1,0)</f>
        <v>0</v>
      </c>
      <c r="DU56" s="13">
        <f>VLOOKUP($G56,'Visu totale'!$D$3:$DT$129,DU$1,0)</f>
        <v>0</v>
      </c>
      <c r="DV56" s="15">
        <f>VLOOKUP($G56,'Visu totale'!$D$3:$DT$129,DV$1,0)</f>
        <v>0</v>
      </c>
    </row>
    <row r="57" spans="1:126" x14ac:dyDescent="0.25">
      <c r="A57" s="13"/>
      <c r="B57" s="13"/>
      <c r="C57" s="13"/>
      <c r="D57" s="16"/>
      <c r="E57" s="14"/>
      <c r="F57" s="13"/>
      <c r="G57" s="17" t="s">
        <v>59</v>
      </c>
      <c r="H57" s="13">
        <f>VLOOKUP($G57,'Visu totale'!$D$3:$DT$129,H$1,0)</f>
        <v>18</v>
      </c>
      <c r="I57" s="13">
        <f>VLOOKUP($G57,'Visu totale'!$D$3:$DT$129,I$1,0)</f>
        <v>18</v>
      </c>
      <c r="J57" s="13">
        <f>VLOOKUP($G57,'Visu totale'!$D$3:$DT$129,J$1,0)</f>
        <v>18</v>
      </c>
      <c r="K57" s="13">
        <f>VLOOKUP($G57,'Visu totale'!$D$3:$DT$129,K$1,0)</f>
        <v>18</v>
      </c>
      <c r="L57" s="13">
        <f>VLOOKUP($G57,'Visu totale'!$D$3:$DT$129,L$1,0)</f>
        <v>18</v>
      </c>
      <c r="M57" s="13">
        <f>VLOOKUP($G57,'Visu totale'!$D$3:$DT$129,M$1,0)</f>
        <v>18</v>
      </c>
      <c r="N57" s="13">
        <f>VLOOKUP($G57,'Visu totale'!$D$3:$DT$129,N$1,0)</f>
        <v>18</v>
      </c>
      <c r="O57" s="13">
        <f>VLOOKUP($G57,'Visu totale'!$D$3:$DT$129,O$1,0)</f>
        <v>18</v>
      </c>
      <c r="P57" s="13">
        <f>VLOOKUP($G57,'Visu totale'!$D$3:$DT$129,P$1,0)</f>
        <v>18</v>
      </c>
      <c r="Q57" s="13">
        <f>VLOOKUP($G57,'Visu totale'!$D$3:$DT$129,Q$1,0)</f>
        <v>18</v>
      </c>
      <c r="R57" s="15">
        <f>VLOOKUP($G57,'Visu totale'!$D$3:$DT$129,R$1,0)</f>
        <v>0</v>
      </c>
      <c r="S57" s="14" t="str">
        <f>VLOOKUP($G57,'Visu totale'!$D$3:$DT$129,S$1,0)</f>
        <v>V15</v>
      </c>
      <c r="T57" s="13" t="str">
        <f>VLOOKUP($G57,'Visu totale'!$D$3:$DT$129,T$1,0)</f>
        <v>V15</v>
      </c>
      <c r="U57" s="13" t="str">
        <f>VLOOKUP($G57,'Visu totale'!$D$3:$DT$129,U$1,0)</f>
        <v>V15</v>
      </c>
      <c r="V57" s="13" t="str">
        <f>VLOOKUP($G57,'Visu totale'!$D$3:$DT$129,V$1,0)</f>
        <v>V15</v>
      </c>
      <c r="W57" s="13" t="str">
        <f>VLOOKUP($G57,'Visu totale'!$D$3:$DT$129,W$1,0)</f>
        <v>V15</v>
      </c>
      <c r="X57" s="13" t="str">
        <f>VLOOKUP($G57,'Visu totale'!$D$3:$DT$129,X$1,0)</f>
        <v>V15</v>
      </c>
      <c r="Y57" s="13">
        <f>VLOOKUP($G57,'Visu totale'!$D$3:$DT$129,Y$1,0)</f>
        <v>18</v>
      </c>
      <c r="Z57" s="13">
        <f>VLOOKUP($G57,'Visu totale'!$D$3:$DT$129,Z$1,0)</f>
        <v>18</v>
      </c>
      <c r="AA57" s="13" t="str">
        <f>VLOOKUP($G57,'Visu totale'!$D$3:$DT$129,AA$1,0)</f>
        <v>NANCY_D</v>
      </c>
      <c r="AB57" s="13" t="str">
        <f>VLOOKUP($G57,'Visu totale'!$D$3:$DT$129,AB$1,0)</f>
        <v>NANCY_D</v>
      </c>
      <c r="AC57" s="13" t="str">
        <f>VLOOKUP($G57,'Visu totale'!$D$3:$DT$129,AC$1,0)</f>
        <v>NANCY_D</v>
      </c>
      <c r="AD57" s="15" t="str">
        <f>VLOOKUP($G57,'Visu totale'!$D$3:$DT$129,AD$1,0)</f>
        <v>NANCY_D</v>
      </c>
      <c r="AE57" s="14">
        <f>VLOOKUP($G57,'Visu totale'!$D$3:$DT$129,AE$1,0)</f>
        <v>18</v>
      </c>
      <c r="AF57" s="13">
        <f>VLOOKUP($G57,'Visu totale'!$D$3:$DT$129,AF$1,0)</f>
        <v>18</v>
      </c>
      <c r="AG57" s="13" t="str">
        <f>VLOOKUP($G57,'Visu totale'!$D$3:$DT$129,AG$1,0)</f>
        <v>CHAMMAL_D</v>
      </c>
      <c r="AH57" s="13" t="str">
        <f>VLOOKUP($G57,'Visu totale'!$D$3:$DT$129,AH$1,0)</f>
        <v>CHAMMAL_D</v>
      </c>
      <c r="AI57" s="13" t="str">
        <f>VLOOKUP($G57,'Visu totale'!$D$3:$DT$129,AI$1,0)</f>
        <v>CHAMMAL_D</v>
      </c>
      <c r="AJ57" s="13" t="str">
        <f>VLOOKUP($G57,'Visu totale'!$D$3:$DT$129,AJ$1,0)</f>
        <v>CHAMMAL_D</v>
      </c>
      <c r="AK57" s="13">
        <f>VLOOKUP($G57,'Visu totale'!$D$3:$DT$129,AK$1,0)</f>
        <v>18</v>
      </c>
      <c r="AL57" s="13">
        <f>VLOOKUP($G57,'Visu totale'!$D$3:$DT$129,AL$1,0)</f>
        <v>18</v>
      </c>
      <c r="AM57" s="13" t="str">
        <f>VLOOKUP($G57,'Visu totale'!$D$3:$DT$129,AM$1,0)</f>
        <v>NANCY_D</v>
      </c>
      <c r="AN57" s="13" t="str">
        <f>VLOOKUP($G57,'Visu totale'!$D$3:$DT$129,AN$1,0)</f>
        <v>NANCY_D</v>
      </c>
      <c r="AO57" s="13" t="str">
        <f>VLOOKUP($G57,'Visu totale'!$D$3:$DT$129,AO$1,0)</f>
        <v>NANCY_D</v>
      </c>
      <c r="AP57" s="15" t="str">
        <f>VLOOKUP($G57,'Visu totale'!$D$3:$DT$129,AP$1,0)</f>
        <v>NANCY_D</v>
      </c>
      <c r="AQ57" s="14">
        <f>VLOOKUP($G57,'Visu totale'!$D$3:$DT$129,AQ$1,0)</f>
        <v>18</v>
      </c>
      <c r="AR57" s="13">
        <f>VLOOKUP($G57,'Visu totale'!$D$3:$DT$129,AR$1,0)</f>
        <v>18</v>
      </c>
      <c r="AS57" s="13" t="str">
        <f>VLOOKUP($G57,'Visu totale'!$D$3:$DT$129,AS$1,0)</f>
        <v>NIAMEY_D</v>
      </c>
      <c r="AT57" s="13" t="str">
        <f>VLOOKUP($G57,'Visu totale'!$D$3:$DT$129,AT$1,0)</f>
        <v>NIAMEY_D</v>
      </c>
      <c r="AU57" s="13" t="str">
        <f>VLOOKUP($G57,'Visu totale'!$D$3:$DT$129,AU$1,0)</f>
        <v>NIAMEY_D</v>
      </c>
      <c r="AV57" s="13" t="str">
        <f>VLOOKUP($G57,'Visu totale'!$D$3:$DT$129,AV$1,0)</f>
        <v>NIAMEY_D</v>
      </c>
      <c r="AW57" s="13">
        <f>VLOOKUP($G57,'Visu totale'!$D$3:$DT$129,AW$1,0)</f>
        <v>18</v>
      </c>
      <c r="AX57" s="13">
        <f>VLOOKUP($G57,'Visu totale'!$D$3:$DT$129,AX$1,0)</f>
        <v>18</v>
      </c>
      <c r="AY57" s="13" t="str">
        <f>VLOOKUP($G57,'Visu totale'!$D$3:$DT$129,AY$1,0)</f>
        <v>NANCY_D</v>
      </c>
      <c r="AZ57" s="13" t="str">
        <f>VLOOKUP($G57,'Visu totale'!$D$3:$DT$129,AZ$1,0)</f>
        <v>NANCY_D</v>
      </c>
      <c r="BA57" s="13" t="str">
        <f>VLOOKUP($G57,'Visu totale'!$D$3:$DT$129,BA$1,0)</f>
        <v>NANCY_D</v>
      </c>
      <c r="BB57" s="15" t="str">
        <f>VLOOKUP($G57,'Visu totale'!$D$3:$DT$129,BB$1,0)</f>
        <v>NANCY_D</v>
      </c>
      <c r="BC57" s="14">
        <f>VLOOKUP($G57,'Visu totale'!$D$3:$DT$129,BC$1,0)</f>
        <v>18</v>
      </c>
      <c r="BD57" s="13">
        <f>VLOOKUP($G57,'Visu totale'!$D$3:$DT$129,BD$1,0)</f>
        <v>18</v>
      </c>
      <c r="BE57" s="13">
        <f>VLOOKUP($G57,'Visu totale'!$D$3:$DT$129,BE$1,0)</f>
        <v>18</v>
      </c>
      <c r="BF57" s="13">
        <f>VLOOKUP($G57,'Visu totale'!$D$3:$DT$129,BF$1,0)</f>
        <v>18</v>
      </c>
      <c r="BG57" s="13">
        <f>VLOOKUP($G57,'Visu totale'!$D$3:$DT$129,BG$1,0)</f>
        <v>18</v>
      </c>
      <c r="BH57" s="13">
        <f>VLOOKUP($G57,'Visu totale'!$D$3:$DT$129,BH$1,0)</f>
        <v>18</v>
      </c>
      <c r="BI57" s="13">
        <f>VLOOKUP($G57,'Visu totale'!$D$3:$DT$129,BI$1,0)</f>
        <v>18</v>
      </c>
      <c r="BJ57" s="13">
        <f>VLOOKUP($G57,'Visu totale'!$D$3:$DT$129,BJ$1,0)</f>
        <v>18</v>
      </c>
      <c r="BK57" s="13">
        <f>VLOOKUP($G57,'Visu totale'!$D$3:$DT$129,BK$1,0)</f>
        <v>0</v>
      </c>
      <c r="BL57" s="13">
        <f>VLOOKUP($G57,'Visu totale'!$D$3:$DT$129,BL$1,0)</f>
        <v>0</v>
      </c>
      <c r="BM57" s="13">
        <f>VLOOKUP($G57,'Visu totale'!$D$3:$DT$129,BM$1,0)</f>
        <v>0</v>
      </c>
      <c r="BN57" s="15">
        <f>VLOOKUP($G57,'Visu totale'!$D$3:$DT$129,BN$1,0)</f>
        <v>0</v>
      </c>
      <c r="BO57" s="14" t="str">
        <f>VLOOKUP($G57,'Visu totale'!$D$3:$DT$129,BO$1,0)</f>
        <v>NANCY_D</v>
      </c>
      <c r="BP57" s="13">
        <f>VLOOKUP($G57,'Visu totale'!$D$3:$DT$129,BP$1,0)</f>
        <v>18</v>
      </c>
      <c r="BQ57" s="13">
        <f>VLOOKUP($G57,'Visu totale'!$D$3:$DT$129,BQ$1,0)</f>
        <v>18</v>
      </c>
      <c r="BR57" s="13">
        <f>VLOOKUP($G57,'Visu totale'!$D$3:$DT$129,BR$1,0)</f>
        <v>18</v>
      </c>
      <c r="BS57" s="13">
        <f>VLOOKUP($G57,'Visu totale'!$D$3:$DT$129,BS$1,0)</f>
        <v>18</v>
      </c>
      <c r="BT57" s="13">
        <f>VLOOKUP($G57,'Visu totale'!$D$3:$DT$129,BT$1,0)</f>
        <v>18</v>
      </c>
      <c r="BU57" s="13">
        <f>VLOOKUP($G57,'Visu totale'!$D$3:$DT$129,BU$1,0)</f>
        <v>18</v>
      </c>
      <c r="BV57" s="13">
        <f>VLOOKUP($G57,'Visu totale'!$D$3:$DT$129,BV$1,0)</f>
        <v>18</v>
      </c>
      <c r="BW57" s="13">
        <f>VLOOKUP($G57,'Visu totale'!$D$3:$DT$129,BW$1,0)</f>
        <v>18</v>
      </c>
      <c r="BX57" s="13">
        <f>VLOOKUP($G57,'Visu totale'!$D$3:$DT$129,BX$1,0)</f>
        <v>18</v>
      </c>
      <c r="BY57" s="13">
        <f>VLOOKUP($G57,'Visu totale'!$D$3:$DT$129,BY$1,0)</f>
        <v>18</v>
      </c>
      <c r="BZ57" s="15">
        <f>VLOOKUP($G57,'Visu totale'!$D$3:$DT$129,BZ$1,0)</f>
        <v>18</v>
      </c>
      <c r="CA57" s="14">
        <f>VLOOKUP($G57,'Visu totale'!$D$3:$DT$129,CA$1,0)</f>
        <v>0</v>
      </c>
      <c r="CB57" s="13">
        <f>VLOOKUP($G57,'Visu totale'!$D$3:$DT$129,CB$1,0)</f>
        <v>0</v>
      </c>
      <c r="CC57" s="13">
        <f>VLOOKUP($G57,'Visu totale'!$D$3:$DT$129,CC$1,0)</f>
        <v>0</v>
      </c>
      <c r="CD57" s="13">
        <f>VLOOKUP($G57,'Visu totale'!$D$3:$DT$129,CD$1,0)</f>
        <v>0</v>
      </c>
      <c r="CE57" s="13">
        <f>VLOOKUP($G57,'Visu totale'!$D$3:$DT$129,CE$1,0)</f>
        <v>0</v>
      </c>
      <c r="CF57" s="13">
        <f>VLOOKUP($G57,'Visu totale'!$D$3:$DT$129,CF$1,0)</f>
        <v>0</v>
      </c>
      <c r="CG57" s="13">
        <f>VLOOKUP($G57,'Visu totale'!$D$3:$DT$129,CG$1,0)</f>
        <v>0</v>
      </c>
      <c r="CH57" s="13">
        <f>VLOOKUP($G57,'Visu totale'!$D$3:$DT$129,CH$1,0)</f>
        <v>0</v>
      </c>
      <c r="CI57" s="13">
        <f>VLOOKUP($G57,'Visu totale'!$D$3:$DT$129,CI$1,0)</f>
        <v>0</v>
      </c>
      <c r="CJ57" s="13">
        <f>VLOOKUP($G57,'Visu totale'!$D$3:$DT$129,CJ$1,0)</f>
        <v>0</v>
      </c>
      <c r="CK57" s="13">
        <f>VLOOKUP($G57,'Visu totale'!$D$3:$DT$129,CK$1,0)</f>
        <v>0</v>
      </c>
      <c r="CL57" s="15">
        <f>VLOOKUP($G57,'Visu totale'!$D$3:$DT$129,CL$1,0)</f>
        <v>0</v>
      </c>
      <c r="CM57" s="14">
        <f>VLOOKUP($G57,'Visu totale'!$D$3:$DT$129,CM$1,0)</f>
        <v>0</v>
      </c>
      <c r="CN57" s="13">
        <f>VLOOKUP($G57,'Visu totale'!$D$3:$DT$129,CN$1,0)</f>
        <v>0</v>
      </c>
      <c r="CO57" s="13">
        <f>VLOOKUP($G57,'Visu totale'!$D$3:$DT$129,CO$1,0)</f>
        <v>0</v>
      </c>
      <c r="CP57" s="13">
        <f>VLOOKUP($G57,'Visu totale'!$D$3:$DT$129,CP$1,0)</f>
        <v>0</v>
      </c>
      <c r="CQ57" s="13">
        <f>VLOOKUP($G57,'Visu totale'!$D$3:$DT$129,CQ$1,0)</f>
        <v>0</v>
      </c>
      <c r="CR57" s="13" t="str">
        <f>VLOOKUP($G57,'Visu totale'!$D$3:$DT$129,CR$1,0)</f>
        <v>V20</v>
      </c>
      <c r="CS57" s="13" t="str">
        <f>VLOOKUP($G57,'Visu totale'!$D$3:$DT$129,CS$1,0)</f>
        <v>V20</v>
      </c>
      <c r="CT57" s="13" t="str">
        <f>VLOOKUP($G57,'Visu totale'!$D$3:$DT$129,CT$1,0)</f>
        <v>V20</v>
      </c>
      <c r="CU57" s="13" t="str">
        <f>VLOOKUP($G57,'Visu totale'!$D$3:$DT$129,CU$1,0)</f>
        <v>V20</v>
      </c>
      <c r="CV57" s="13" t="str">
        <f>VLOOKUP($G57,'Visu totale'!$D$3:$DT$129,CV$1,0)</f>
        <v>V20</v>
      </c>
      <c r="CW57" s="13" t="str">
        <f>VLOOKUP($G57,'Visu totale'!$D$3:$DT$129,CW$1,0)</f>
        <v>V20</v>
      </c>
      <c r="CX57" s="15">
        <f>VLOOKUP($G57,'Visu totale'!$D$3:$DT$129,CX$1,0)</f>
        <v>18</v>
      </c>
      <c r="CY57" s="14">
        <f>VLOOKUP($G57,'Visu totale'!$D$3:$DT$129,CY$1,0)</f>
        <v>0</v>
      </c>
      <c r="CZ57" s="13">
        <f>VLOOKUP($G57,'Visu totale'!$D$3:$DT$129,CZ$1,0)</f>
        <v>0</v>
      </c>
      <c r="DA57" s="13">
        <f>VLOOKUP($G57,'Visu totale'!$D$3:$DT$129,DA$1,0)</f>
        <v>0</v>
      </c>
      <c r="DB57" s="13">
        <f>VLOOKUP($G57,'Visu totale'!$D$3:$DT$129,DB$1,0)</f>
        <v>0</v>
      </c>
      <c r="DC57" s="13">
        <f>VLOOKUP($G57,'Visu totale'!$D$3:$DT$129,DC$1,0)</f>
        <v>0</v>
      </c>
      <c r="DD57" s="13">
        <f>VLOOKUP($G57,'Visu totale'!$D$3:$DT$129,DD$1,0)</f>
        <v>0</v>
      </c>
      <c r="DE57" s="13">
        <f>VLOOKUP($G57,'Visu totale'!$D$3:$DT$129,DE$1,0)</f>
        <v>0</v>
      </c>
      <c r="DF57" s="13">
        <f>VLOOKUP($G57,'Visu totale'!$D$3:$DT$129,DF$1,0)</f>
        <v>0</v>
      </c>
      <c r="DG57" s="13">
        <f>VLOOKUP($G57,'Visu totale'!$D$3:$DT$129,DG$1,0)</f>
        <v>0</v>
      </c>
      <c r="DH57" s="13">
        <f>VLOOKUP($G57,'Visu totale'!$D$3:$DT$129,DH$1,0)</f>
        <v>0</v>
      </c>
      <c r="DI57" s="13">
        <f>VLOOKUP($G57,'Visu totale'!$D$3:$DT$129,DI$1,0)</f>
        <v>0</v>
      </c>
      <c r="DJ57" s="15">
        <f>VLOOKUP($G57,'Visu totale'!$D$3:$DT$129,DJ$1,0)</f>
        <v>0</v>
      </c>
      <c r="DK57" s="14">
        <f>VLOOKUP($G57,'Visu totale'!$D$3:$DT$129,DK$1,0)</f>
        <v>0</v>
      </c>
      <c r="DL57" s="13">
        <f>VLOOKUP($G57,'Visu totale'!$D$3:$DT$129,DL$1,0)</f>
        <v>0</v>
      </c>
      <c r="DM57" s="13">
        <f>VLOOKUP($G57,'Visu totale'!$D$3:$DT$129,DM$1,0)</f>
        <v>0</v>
      </c>
      <c r="DN57" s="13">
        <f>VLOOKUP($G57,'Visu totale'!$D$3:$DT$129,DN$1,0)</f>
        <v>0</v>
      </c>
      <c r="DO57" s="13">
        <f>VLOOKUP($G57,'Visu totale'!$D$3:$DT$129,DO$1,0)</f>
        <v>0</v>
      </c>
      <c r="DP57" s="13">
        <f>VLOOKUP($G57,'Visu totale'!$D$3:$DT$129,DP$1,0)</f>
        <v>0</v>
      </c>
      <c r="DQ57" s="13">
        <f>VLOOKUP($G57,'Visu totale'!$D$3:$DT$129,DQ$1,0)</f>
        <v>0</v>
      </c>
      <c r="DR57" s="13">
        <f>VLOOKUP($G57,'Visu totale'!$D$3:$DT$129,DR$1,0)</f>
        <v>0</v>
      </c>
      <c r="DS57" s="13">
        <f>VLOOKUP($G57,'Visu totale'!$D$3:$DT$129,DS$1,0)</f>
        <v>0</v>
      </c>
      <c r="DT57" s="13">
        <f>VLOOKUP($G57,'Visu totale'!$D$3:$DT$129,DT$1,0)</f>
        <v>0</v>
      </c>
      <c r="DU57" s="13">
        <f>VLOOKUP($G57,'Visu totale'!$D$3:$DT$129,DU$1,0)</f>
        <v>0</v>
      </c>
      <c r="DV57" s="15">
        <f>VLOOKUP($G57,'Visu totale'!$D$3:$DT$129,DV$1,0)</f>
        <v>0</v>
      </c>
    </row>
    <row r="58" spans="1:126" x14ac:dyDescent="0.25">
      <c r="A58" s="13"/>
      <c r="B58" s="13"/>
      <c r="C58" s="13"/>
      <c r="D58" s="16"/>
      <c r="E58" s="14"/>
      <c r="F58" s="13"/>
      <c r="G58" s="17" t="s">
        <v>60</v>
      </c>
      <c r="H58" s="13" t="str">
        <f>VLOOKUP($G58,'Visu totale'!$D$3:$DT$129,H$1,0)</f>
        <v>V15</v>
      </c>
      <c r="I58" s="13" t="str">
        <f>VLOOKUP($G58,'Visu totale'!$D$3:$DT$129,I$1,0)</f>
        <v>V15</v>
      </c>
      <c r="J58" s="13" t="str">
        <f>VLOOKUP($G58,'Visu totale'!$D$3:$DT$129,J$1,0)</f>
        <v>V15</v>
      </c>
      <c r="K58" s="13" t="str">
        <f>VLOOKUP($G58,'Visu totale'!$D$3:$DT$129,K$1,0)</f>
        <v>V15</v>
      </c>
      <c r="L58" s="13" t="str">
        <f>VLOOKUP($G58,'Visu totale'!$D$3:$DT$129,L$1,0)</f>
        <v>V15</v>
      </c>
      <c r="M58" s="13">
        <f>VLOOKUP($G58,'Visu totale'!$D$3:$DT$129,M$1,0)</f>
        <v>18</v>
      </c>
      <c r="N58" s="13">
        <f>VLOOKUP($G58,'Visu totale'!$D$3:$DT$129,N$1,0)</f>
        <v>18</v>
      </c>
      <c r="O58" s="13" t="str">
        <f>VLOOKUP($G58,'Visu totale'!$D$3:$DT$129,O$1,0)</f>
        <v>NANCY_D</v>
      </c>
      <c r="P58" s="13" t="str">
        <f>VLOOKUP($G58,'Visu totale'!$D$3:$DT$129,P$1,0)</f>
        <v>NANCY_D</v>
      </c>
      <c r="Q58" s="13" t="str">
        <f>VLOOKUP($G58,'Visu totale'!$D$3:$DT$129,Q$1,0)</f>
        <v>NANCY_D</v>
      </c>
      <c r="R58" s="15" t="str">
        <f>VLOOKUP($G58,'Visu totale'!$D$3:$DT$129,R$1,0)</f>
        <v>NANCY_D</v>
      </c>
      <c r="S58" s="14">
        <f>VLOOKUP($G58,'Visu totale'!$D$3:$DT$129,S$1,0)</f>
        <v>18</v>
      </c>
      <c r="T58" s="13">
        <f>VLOOKUP($G58,'Visu totale'!$D$3:$DT$129,T$1,0)</f>
        <v>18</v>
      </c>
      <c r="U58" s="13" t="str">
        <f>VLOOKUP($G58,'Visu totale'!$D$3:$DT$129,U$1,0)</f>
        <v>NANCY_D</v>
      </c>
      <c r="V58" s="13" t="str">
        <f>VLOOKUP($G58,'Visu totale'!$D$3:$DT$129,V$1,0)</f>
        <v>NANCY_D</v>
      </c>
      <c r="W58" s="13" t="str">
        <f>VLOOKUP($G58,'Visu totale'!$D$3:$DT$129,W$1,0)</f>
        <v>NANCY_D</v>
      </c>
      <c r="X58" s="13" t="str">
        <f>VLOOKUP($G58,'Visu totale'!$D$3:$DT$129,X$1,0)</f>
        <v>NANCY_D</v>
      </c>
      <c r="Y58" s="13">
        <f>VLOOKUP($G58,'Visu totale'!$D$3:$DT$129,Y$1,0)</f>
        <v>18</v>
      </c>
      <c r="Z58" s="13">
        <f>VLOOKUP($G58,'Visu totale'!$D$3:$DT$129,Z$1,0)</f>
        <v>18</v>
      </c>
      <c r="AA58" s="13" t="str">
        <f>VLOOKUP($G58,'Visu totale'!$D$3:$DT$129,AA$1,0)</f>
        <v>NANCY_D</v>
      </c>
      <c r="AB58" s="13" t="str">
        <f>VLOOKUP($G58,'Visu totale'!$D$3:$DT$129,AB$1,0)</f>
        <v>NANCY_D</v>
      </c>
      <c r="AC58" s="13" t="str">
        <f>VLOOKUP($G58,'Visu totale'!$D$3:$DT$129,AC$1,0)</f>
        <v>NANCY_D</v>
      </c>
      <c r="AD58" s="15" t="str">
        <f>VLOOKUP($G58,'Visu totale'!$D$3:$DT$129,AD$1,0)</f>
        <v>NANCY_D</v>
      </c>
      <c r="AE58" s="14">
        <f>VLOOKUP($G58,'Visu totale'!$D$3:$DT$129,AE$1,0)</f>
        <v>18</v>
      </c>
      <c r="AF58" s="13">
        <f>VLOOKUP($G58,'Visu totale'!$D$3:$DT$129,AF$1,0)</f>
        <v>18</v>
      </c>
      <c r="AG58" s="13" t="str">
        <f>VLOOKUP($G58,'Visu totale'!$D$3:$DT$129,AG$1,0)</f>
        <v>NANCY_D</v>
      </c>
      <c r="AH58" s="13" t="str">
        <f>VLOOKUP($G58,'Visu totale'!$D$3:$DT$129,AH$1,0)</f>
        <v>NANCY_D</v>
      </c>
      <c r="AI58" s="13" t="str">
        <f>VLOOKUP($G58,'Visu totale'!$D$3:$DT$129,AI$1,0)</f>
        <v>NANCY_D</v>
      </c>
      <c r="AJ58" s="13" t="str">
        <f>VLOOKUP($G58,'Visu totale'!$D$3:$DT$129,AJ$1,0)</f>
        <v>NANCY_D</v>
      </c>
      <c r="AK58" s="13">
        <f>VLOOKUP($G58,'Visu totale'!$D$3:$DT$129,AK$1,0)</f>
        <v>18</v>
      </c>
      <c r="AL58" s="13">
        <f>VLOOKUP($G58,'Visu totale'!$D$3:$DT$129,AL$1,0)</f>
        <v>18</v>
      </c>
      <c r="AM58" s="13" t="str">
        <f>VLOOKUP($G58,'Visu totale'!$D$3:$DT$129,AM$1,0)</f>
        <v>NANCY_D</v>
      </c>
      <c r="AN58" s="13" t="str">
        <f>VLOOKUP($G58,'Visu totale'!$D$3:$DT$129,AN$1,0)</f>
        <v>NANCY_D</v>
      </c>
      <c r="AO58" s="13" t="str">
        <f>VLOOKUP($G58,'Visu totale'!$D$3:$DT$129,AO$1,0)</f>
        <v>NANCY_D</v>
      </c>
      <c r="AP58" s="15" t="str">
        <f>VLOOKUP($G58,'Visu totale'!$D$3:$DT$129,AP$1,0)</f>
        <v>NANCY_D</v>
      </c>
      <c r="AQ58" s="14">
        <f>VLOOKUP($G58,'Visu totale'!$D$3:$DT$129,AQ$1,0)</f>
        <v>18</v>
      </c>
      <c r="AR58" s="13">
        <f>VLOOKUP($G58,'Visu totale'!$D$3:$DT$129,AR$1,0)</f>
        <v>18</v>
      </c>
      <c r="AS58" s="13" t="str">
        <f>VLOOKUP($G58,'Visu totale'!$D$3:$DT$129,AS$1,0)</f>
        <v>NANCY_D</v>
      </c>
      <c r="AT58" s="13" t="str">
        <f>VLOOKUP($G58,'Visu totale'!$D$3:$DT$129,AT$1,0)</f>
        <v>NANCY_D</v>
      </c>
      <c r="AU58" s="13" t="str">
        <f>VLOOKUP($G58,'Visu totale'!$D$3:$DT$129,AU$1,0)</f>
        <v>NANCY_D</v>
      </c>
      <c r="AV58" s="13" t="str">
        <f>VLOOKUP($G58,'Visu totale'!$D$3:$DT$129,AV$1,0)</f>
        <v>NANCY_D</v>
      </c>
      <c r="AW58" s="13">
        <f>VLOOKUP($G58,'Visu totale'!$D$3:$DT$129,AW$1,0)</f>
        <v>18</v>
      </c>
      <c r="AX58" s="13">
        <f>VLOOKUP($G58,'Visu totale'!$D$3:$DT$129,AX$1,0)</f>
        <v>18</v>
      </c>
      <c r="AY58" s="13" t="str">
        <f>VLOOKUP($G58,'Visu totale'!$D$3:$DT$129,AY$1,0)</f>
        <v>NANCY_D</v>
      </c>
      <c r="AZ58" s="13" t="str">
        <f>VLOOKUP($G58,'Visu totale'!$D$3:$DT$129,AZ$1,0)</f>
        <v>NANCY_D</v>
      </c>
      <c r="BA58" s="13" t="str">
        <f>VLOOKUP($G58,'Visu totale'!$D$3:$DT$129,BA$1,0)</f>
        <v>NANCY_D</v>
      </c>
      <c r="BB58" s="15" t="str">
        <f>VLOOKUP($G58,'Visu totale'!$D$3:$DT$129,BB$1,0)</f>
        <v>NANCY_D</v>
      </c>
      <c r="BC58" s="14">
        <f>VLOOKUP($G58,'Visu totale'!$D$3:$DT$129,BC$1,0)</f>
        <v>18</v>
      </c>
      <c r="BD58" s="13">
        <f>VLOOKUP($G58,'Visu totale'!$D$3:$DT$129,BD$1,0)</f>
        <v>18</v>
      </c>
      <c r="BE58" s="13" t="str">
        <f>VLOOKUP($G58,'Visu totale'!$D$3:$DT$129,BE$1,0)</f>
        <v>NANCY_D</v>
      </c>
      <c r="BF58" s="13" t="str">
        <f>VLOOKUP($G58,'Visu totale'!$D$3:$DT$129,BF$1,0)</f>
        <v>NANCY_D</v>
      </c>
      <c r="BG58" s="13" t="str">
        <f>VLOOKUP($G58,'Visu totale'!$D$3:$DT$129,BG$1,0)</f>
        <v>NANCY_D</v>
      </c>
      <c r="BH58" s="13" t="str">
        <f>VLOOKUP($G58,'Visu totale'!$D$3:$DT$129,BH$1,0)</f>
        <v>NANCY_D</v>
      </c>
      <c r="BI58" s="13" t="str">
        <f>VLOOKUP($G58,'Visu totale'!$D$3:$DT$129,BI$1,0)</f>
        <v>V20</v>
      </c>
      <c r="BJ58" s="13" t="str">
        <f>VLOOKUP($G58,'Visu totale'!$D$3:$DT$129,BJ$1,0)</f>
        <v>V20</v>
      </c>
      <c r="BK58" s="13" t="str">
        <f>VLOOKUP($G58,'Visu totale'!$D$3:$DT$129,BK$1,0)</f>
        <v>V20</v>
      </c>
      <c r="BL58" s="13" t="str">
        <f>VLOOKUP($G58,'Visu totale'!$D$3:$DT$129,BL$1,0)</f>
        <v>V20</v>
      </c>
      <c r="BM58" s="13" t="str">
        <f>VLOOKUP($G58,'Visu totale'!$D$3:$DT$129,BM$1,0)</f>
        <v>V20</v>
      </c>
      <c r="BN58" s="15" t="str">
        <f>VLOOKUP($G58,'Visu totale'!$D$3:$DT$129,BN$1,0)</f>
        <v>V20</v>
      </c>
      <c r="BO58" s="14" t="str">
        <f>VLOOKUP($G58,'Visu totale'!$D$3:$DT$129,BO$1,0)</f>
        <v>NANCY_D</v>
      </c>
      <c r="BP58" s="13" t="str">
        <f>VLOOKUP($G58,'Visu totale'!$D$3:$DT$129,BP$1,0)</f>
        <v>NANCY_D</v>
      </c>
      <c r="BQ58" s="13" t="str">
        <f>VLOOKUP($G58,'Visu totale'!$D$3:$DT$129,BQ$1,0)</f>
        <v>NANCY_D</v>
      </c>
      <c r="BR58" s="13">
        <f>VLOOKUP($G58,'Visu totale'!$D$3:$DT$129,BR$1,0)</f>
        <v>18</v>
      </c>
      <c r="BS58" s="13">
        <f>VLOOKUP($G58,'Visu totale'!$D$3:$DT$129,BS$1,0)</f>
        <v>18</v>
      </c>
      <c r="BT58" s="13" t="str">
        <f>VLOOKUP($G58,'Visu totale'!$D$3:$DT$129,BT$1,0)</f>
        <v>NANCY_D</v>
      </c>
      <c r="BU58" s="13" t="str">
        <f>VLOOKUP($G58,'Visu totale'!$D$3:$DT$129,BU$1,0)</f>
        <v>NANCY_D</v>
      </c>
      <c r="BV58" s="13" t="str">
        <f>VLOOKUP($G58,'Visu totale'!$D$3:$DT$129,BV$1,0)</f>
        <v>NANCY_D</v>
      </c>
      <c r="BW58" s="13" t="str">
        <f>VLOOKUP($G58,'Visu totale'!$D$3:$DT$129,BW$1,0)</f>
        <v>NANCY_D</v>
      </c>
      <c r="BX58" s="13">
        <f>VLOOKUP($G58,'Visu totale'!$D$3:$DT$129,BX$1,0)</f>
        <v>18</v>
      </c>
      <c r="BY58" s="13">
        <f>VLOOKUP($G58,'Visu totale'!$D$3:$DT$129,BY$1,0)</f>
        <v>18</v>
      </c>
      <c r="BZ58" s="15" t="str">
        <f>VLOOKUP($G58,'Visu totale'!$D$3:$DT$129,BZ$1,0)</f>
        <v>NANCY_D</v>
      </c>
      <c r="CA58" s="14" t="str">
        <f>VLOOKUP($G58,'Visu totale'!$D$3:$DT$129,CA$1,0)</f>
        <v>NANCY_D</v>
      </c>
      <c r="CB58" s="13" t="str">
        <f>VLOOKUP($G58,'Visu totale'!$D$3:$DT$129,CB$1,0)</f>
        <v>NANCY_D</v>
      </c>
      <c r="CC58" s="13" t="str">
        <f>VLOOKUP($G58,'Visu totale'!$D$3:$DT$129,CC$1,0)</f>
        <v>NANCY_D</v>
      </c>
      <c r="CD58" s="13">
        <f>VLOOKUP($G58,'Visu totale'!$D$3:$DT$129,CD$1,0)</f>
        <v>18</v>
      </c>
      <c r="CE58" s="13">
        <f>VLOOKUP($G58,'Visu totale'!$D$3:$DT$129,CE$1,0)</f>
        <v>18</v>
      </c>
      <c r="CF58" s="13" t="str">
        <f>VLOOKUP($G58,'Visu totale'!$D$3:$DT$129,CF$1,0)</f>
        <v>NANCY_D</v>
      </c>
      <c r="CG58" s="13" t="str">
        <f>VLOOKUP($G58,'Visu totale'!$D$3:$DT$129,CG$1,0)</f>
        <v>NANCY_D</v>
      </c>
      <c r="CH58" s="13" t="str">
        <f>VLOOKUP($G58,'Visu totale'!$D$3:$DT$129,CH$1,0)</f>
        <v>NANCY_D</v>
      </c>
      <c r="CI58" s="13" t="str">
        <f>VLOOKUP($G58,'Visu totale'!$D$3:$DT$129,CI$1,0)</f>
        <v>NANCY_D</v>
      </c>
      <c r="CJ58" s="13">
        <f>VLOOKUP($G58,'Visu totale'!$D$3:$DT$129,CJ$1,0)</f>
        <v>18</v>
      </c>
      <c r="CK58" s="13">
        <f>VLOOKUP($G58,'Visu totale'!$D$3:$DT$129,CK$1,0)</f>
        <v>18</v>
      </c>
      <c r="CL58" s="15" t="str">
        <f>VLOOKUP($G58,'Visu totale'!$D$3:$DT$129,CL$1,0)</f>
        <v>NANCY_D</v>
      </c>
      <c r="CM58" s="14" t="str">
        <f>VLOOKUP($G58,'Visu totale'!$D$3:$DT$129,CM$1,0)</f>
        <v>NANCY_D</v>
      </c>
      <c r="CN58" s="13" t="str">
        <f>VLOOKUP($G58,'Visu totale'!$D$3:$DT$129,CN$1,0)</f>
        <v>NANCY_D</v>
      </c>
      <c r="CO58" s="13" t="str">
        <f>VLOOKUP($G58,'Visu totale'!$D$3:$DT$129,CO$1,0)</f>
        <v>NANCY_D</v>
      </c>
      <c r="CP58" s="13">
        <f>VLOOKUP($G58,'Visu totale'!$D$3:$DT$129,CP$1,0)</f>
        <v>18</v>
      </c>
      <c r="CQ58" s="13">
        <f>VLOOKUP($G58,'Visu totale'!$D$3:$DT$129,CQ$1,0)</f>
        <v>18</v>
      </c>
      <c r="CR58" s="13" t="str">
        <f>VLOOKUP($G58,'Visu totale'!$D$3:$DT$129,CR$1,0)</f>
        <v>NANCY_D</v>
      </c>
      <c r="CS58" s="13" t="str">
        <f>VLOOKUP($G58,'Visu totale'!$D$3:$DT$129,CS$1,0)</f>
        <v>NANCY_D</v>
      </c>
      <c r="CT58" s="13" t="str">
        <f>VLOOKUP($G58,'Visu totale'!$D$3:$DT$129,CT$1,0)</f>
        <v>NANCY_D</v>
      </c>
      <c r="CU58" s="13" t="str">
        <f>VLOOKUP($G58,'Visu totale'!$D$3:$DT$129,CU$1,0)</f>
        <v>NANCY_D</v>
      </c>
      <c r="CV58" s="13">
        <f>VLOOKUP($G58,'Visu totale'!$D$3:$DT$129,CV$1,0)</f>
        <v>18</v>
      </c>
      <c r="CW58" s="13">
        <f>VLOOKUP($G58,'Visu totale'!$D$3:$DT$129,CW$1,0)</f>
        <v>18</v>
      </c>
      <c r="CX58" s="15">
        <f>VLOOKUP($G58,'Visu totale'!$D$3:$DT$129,CX$1,0)</f>
        <v>18</v>
      </c>
      <c r="CY58" s="14">
        <f>VLOOKUP($G58,'Visu totale'!$D$3:$DT$129,CY$1,0)</f>
        <v>0</v>
      </c>
      <c r="CZ58" s="13">
        <f>VLOOKUP($G58,'Visu totale'!$D$3:$DT$129,CZ$1,0)</f>
        <v>0</v>
      </c>
      <c r="DA58" s="13">
        <f>VLOOKUP($G58,'Visu totale'!$D$3:$DT$129,DA$1,0)</f>
        <v>0</v>
      </c>
      <c r="DB58" s="13">
        <f>VLOOKUP($G58,'Visu totale'!$D$3:$DT$129,DB$1,0)</f>
        <v>0</v>
      </c>
      <c r="DC58" s="13">
        <f>VLOOKUP($G58,'Visu totale'!$D$3:$DT$129,DC$1,0)</f>
        <v>0</v>
      </c>
      <c r="DD58" s="13">
        <f>VLOOKUP($G58,'Visu totale'!$D$3:$DT$129,DD$1,0)</f>
        <v>0</v>
      </c>
      <c r="DE58" s="13">
        <f>VLOOKUP($G58,'Visu totale'!$D$3:$DT$129,DE$1,0)</f>
        <v>0</v>
      </c>
      <c r="DF58" s="13">
        <f>VLOOKUP($G58,'Visu totale'!$D$3:$DT$129,DF$1,0)</f>
        <v>0</v>
      </c>
      <c r="DG58" s="13">
        <f>VLOOKUP($G58,'Visu totale'!$D$3:$DT$129,DG$1,0)</f>
        <v>0</v>
      </c>
      <c r="DH58" s="13">
        <f>VLOOKUP($G58,'Visu totale'!$D$3:$DT$129,DH$1,0)</f>
        <v>0</v>
      </c>
      <c r="DI58" s="13">
        <f>VLOOKUP($G58,'Visu totale'!$D$3:$DT$129,DI$1,0)</f>
        <v>0</v>
      </c>
      <c r="DJ58" s="15">
        <f>VLOOKUP($G58,'Visu totale'!$D$3:$DT$129,DJ$1,0)</f>
        <v>0</v>
      </c>
      <c r="DK58" s="14">
        <f>VLOOKUP($G58,'Visu totale'!$D$3:$DT$129,DK$1,0)</f>
        <v>0</v>
      </c>
      <c r="DL58" s="13">
        <f>VLOOKUP($G58,'Visu totale'!$D$3:$DT$129,DL$1,0)</f>
        <v>0</v>
      </c>
      <c r="DM58" s="13">
        <f>VLOOKUP($G58,'Visu totale'!$D$3:$DT$129,DM$1,0)</f>
        <v>0</v>
      </c>
      <c r="DN58" s="13">
        <f>VLOOKUP($G58,'Visu totale'!$D$3:$DT$129,DN$1,0)</f>
        <v>0</v>
      </c>
      <c r="DO58" s="13">
        <f>VLOOKUP($G58,'Visu totale'!$D$3:$DT$129,DO$1,0)</f>
        <v>0</v>
      </c>
      <c r="DP58" s="13">
        <f>VLOOKUP($G58,'Visu totale'!$D$3:$DT$129,DP$1,0)</f>
        <v>0</v>
      </c>
      <c r="DQ58" s="13">
        <f>VLOOKUP($G58,'Visu totale'!$D$3:$DT$129,DQ$1,0)</f>
        <v>0</v>
      </c>
      <c r="DR58" s="13">
        <f>VLOOKUP($G58,'Visu totale'!$D$3:$DT$129,DR$1,0)</f>
        <v>0</v>
      </c>
      <c r="DS58" s="13">
        <f>VLOOKUP($G58,'Visu totale'!$D$3:$DT$129,DS$1,0)</f>
        <v>0</v>
      </c>
      <c r="DT58" s="13">
        <f>VLOOKUP($G58,'Visu totale'!$D$3:$DT$129,DT$1,0)</f>
        <v>0</v>
      </c>
      <c r="DU58" s="13">
        <f>VLOOKUP($G58,'Visu totale'!$D$3:$DT$129,DU$1,0)</f>
        <v>0</v>
      </c>
      <c r="DV58" s="15">
        <f>VLOOKUP($G58,'Visu totale'!$D$3:$DT$129,DV$1,0)</f>
        <v>0</v>
      </c>
    </row>
    <row r="59" spans="1:126" x14ac:dyDescent="0.25">
      <c r="A59" s="13"/>
      <c r="B59" s="13"/>
      <c r="C59" s="13"/>
      <c r="D59" s="16"/>
      <c r="E59" s="14"/>
      <c r="F59" s="13"/>
      <c r="G59" s="17" t="s">
        <v>61</v>
      </c>
      <c r="H59" s="13" t="str">
        <f>VLOOKUP($G59,'Visu totale'!$D$3:$DT$129,H$1,0)</f>
        <v>V15</v>
      </c>
      <c r="I59" s="13" t="str">
        <f>VLOOKUP($G59,'Visu totale'!$D$3:$DT$129,I$1,0)</f>
        <v>V15</v>
      </c>
      <c r="J59" s="13" t="str">
        <f>VLOOKUP($G59,'Visu totale'!$D$3:$DT$129,J$1,0)</f>
        <v>V15</v>
      </c>
      <c r="K59" s="13" t="str">
        <f>VLOOKUP($G59,'Visu totale'!$D$3:$DT$129,K$1,0)</f>
        <v>V15</v>
      </c>
      <c r="L59" s="13" t="str">
        <f>VLOOKUP($G59,'Visu totale'!$D$3:$DT$129,L$1,0)</f>
        <v>V15</v>
      </c>
      <c r="M59" s="13" t="str">
        <f>VLOOKUP($G59,'Visu totale'!$D$3:$DT$129,M$1,0)</f>
        <v>V15</v>
      </c>
      <c r="N59" s="13" t="str">
        <f>VLOOKUP($G59,'Visu totale'!$D$3:$DT$129,N$1,0)</f>
        <v>V15</v>
      </c>
      <c r="O59" s="13">
        <f>VLOOKUP($G59,'Visu totale'!$D$3:$DT$129,O$1,0)</f>
        <v>18</v>
      </c>
      <c r="P59" s="13">
        <f>VLOOKUP($G59,'Visu totale'!$D$3:$DT$129,P$1,0)</f>
        <v>18</v>
      </c>
      <c r="Q59" s="13" t="str">
        <f>VLOOKUP($G59,'Visu totale'!$D$3:$DT$129,Q$1,0)</f>
        <v>NANCY_D</v>
      </c>
      <c r="R59" s="15" t="str">
        <f>VLOOKUP($G59,'Visu totale'!$D$3:$DT$129,R$1,0)</f>
        <v>NANCY_D</v>
      </c>
      <c r="S59" s="14" t="str">
        <f>VLOOKUP($G59,'Visu totale'!$D$3:$DT$129,S$1,0)</f>
        <v>NANCY_D</v>
      </c>
      <c r="T59" s="13" t="str">
        <f>VLOOKUP($G59,'Visu totale'!$D$3:$DT$129,T$1,0)</f>
        <v>NANCY_D</v>
      </c>
      <c r="U59" s="13">
        <f>VLOOKUP($G59,'Visu totale'!$D$3:$DT$129,U$1,0)</f>
        <v>18</v>
      </c>
      <c r="V59" s="13">
        <f>VLOOKUP($G59,'Visu totale'!$D$3:$DT$129,V$1,0)</f>
        <v>18</v>
      </c>
      <c r="W59" s="13" t="str">
        <f>VLOOKUP($G59,'Visu totale'!$D$3:$DT$129,W$1,0)</f>
        <v>CHAMMAL_D</v>
      </c>
      <c r="X59" s="13" t="str">
        <f>VLOOKUP($G59,'Visu totale'!$D$3:$DT$129,X$1,0)</f>
        <v>CHAMMAL_D</v>
      </c>
      <c r="Y59" s="13" t="str">
        <f>VLOOKUP($G59,'Visu totale'!$D$3:$DT$129,Y$1,0)</f>
        <v>CHAMMAL_D</v>
      </c>
      <c r="Z59" s="13" t="str">
        <f>VLOOKUP($G59,'Visu totale'!$D$3:$DT$129,Z$1,0)</f>
        <v>CHAMMAL_D</v>
      </c>
      <c r="AA59" s="13">
        <f>VLOOKUP($G59,'Visu totale'!$D$3:$DT$129,AA$1,0)</f>
        <v>18</v>
      </c>
      <c r="AB59" s="13">
        <f>VLOOKUP($G59,'Visu totale'!$D$3:$DT$129,AB$1,0)</f>
        <v>18</v>
      </c>
      <c r="AC59" s="13" t="str">
        <f>VLOOKUP($G59,'Visu totale'!$D$3:$DT$129,AC$1,0)</f>
        <v>NANCY_D</v>
      </c>
      <c r="AD59" s="15" t="str">
        <f>VLOOKUP($G59,'Visu totale'!$D$3:$DT$129,AD$1,0)</f>
        <v>NANCY_D</v>
      </c>
      <c r="AE59" s="14" t="str">
        <f>VLOOKUP($G59,'Visu totale'!$D$3:$DT$129,AE$1,0)</f>
        <v>NANCY_D</v>
      </c>
      <c r="AF59" s="13" t="str">
        <f>VLOOKUP($G59,'Visu totale'!$D$3:$DT$129,AF$1,0)</f>
        <v>NANCY_D</v>
      </c>
      <c r="AG59" s="13">
        <f>VLOOKUP($G59,'Visu totale'!$D$3:$DT$129,AG$1,0)</f>
        <v>18</v>
      </c>
      <c r="AH59" s="13">
        <f>VLOOKUP($G59,'Visu totale'!$D$3:$DT$129,AH$1,0)</f>
        <v>18</v>
      </c>
      <c r="AI59" s="13" t="str">
        <f>VLOOKUP($G59,'Visu totale'!$D$3:$DT$129,AI$1,0)</f>
        <v>NANCY_D</v>
      </c>
      <c r="AJ59" s="13" t="str">
        <f>VLOOKUP($G59,'Visu totale'!$D$3:$DT$129,AJ$1,0)</f>
        <v>NANCY_D</v>
      </c>
      <c r="AK59" s="13">
        <f>VLOOKUP($G59,'Visu totale'!$D$3:$DT$129,AK$1,0)</f>
        <v>18</v>
      </c>
      <c r="AL59" s="13">
        <f>VLOOKUP($G59,'Visu totale'!$D$3:$DT$129,AL$1,0)</f>
        <v>18</v>
      </c>
      <c r="AM59" s="13" t="str">
        <f>VLOOKUP($G59,'Visu totale'!$D$3:$DT$129,AM$1,0)</f>
        <v>NANCY_D</v>
      </c>
      <c r="AN59" s="13" t="str">
        <f>VLOOKUP($G59,'Visu totale'!$D$3:$DT$129,AN$1,0)</f>
        <v>NANCY_D</v>
      </c>
      <c r="AO59" s="13" t="str">
        <f>VLOOKUP($G59,'Visu totale'!$D$3:$DT$129,AO$1,0)</f>
        <v>NANCY_D</v>
      </c>
      <c r="AP59" s="15" t="str">
        <f>VLOOKUP($G59,'Visu totale'!$D$3:$DT$129,AP$1,0)</f>
        <v>NANCY_D</v>
      </c>
      <c r="AQ59" s="14">
        <f>VLOOKUP($G59,'Visu totale'!$D$3:$DT$129,AQ$1,0)</f>
        <v>18</v>
      </c>
      <c r="AR59" s="13">
        <f>VLOOKUP($G59,'Visu totale'!$D$3:$DT$129,AR$1,0)</f>
        <v>18</v>
      </c>
      <c r="AS59" s="13" t="str">
        <f>VLOOKUP($G59,'Visu totale'!$D$3:$DT$129,AS$1,0)</f>
        <v>NANCY_D</v>
      </c>
      <c r="AT59" s="13" t="str">
        <f>VLOOKUP($G59,'Visu totale'!$D$3:$DT$129,AT$1,0)</f>
        <v>NANCY_D</v>
      </c>
      <c r="AU59" s="13" t="str">
        <f>VLOOKUP($G59,'Visu totale'!$D$3:$DT$129,AU$1,0)</f>
        <v>NANCY_D</v>
      </c>
      <c r="AV59" s="13" t="str">
        <f>VLOOKUP($G59,'Visu totale'!$D$3:$DT$129,AV$1,0)</f>
        <v>NANCY_D</v>
      </c>
      <c r="AW59" s="13">
        <f>VLOOKUP($G59,'Visu totale'!$D$3:$DT$129,AW$1,0)</f>
        <v>18</v>
      </c>
      <c r="AX59" s="13">
        <f>VLOOKUP($G59,'Visu totale'!$D$3:$DT$129,AX$1,0)</f>
        <v>18</v>
      </c>
      <c r="AY59" s="13">
        <f>VLOOKUP($G59,'Visu totale'!$D$3:$DT$129,AY$1,0)</f>
        <v>18</v>
      </c>
      <c r="AZ59" s="13">
        <f>VLOOKUP($G59,'Visu totale'!$D$3:$DT$129,AZ$1,0)</f>
        <v>18</v>
      </c>
      <c r="BA59" s="13">
        <f>VLOOKUP($G59,'Visu totale'!$D$3:$DT$129,BA$1,0)</f>
        <v>18</v>
      </c>
      <c r="BB59" s="15">
        <f>VLOOKUP($G59,'Visu totale'!$D$3:$DT$129,BB$1,0)</f>
        <v>18</v>
      </c>
      <c r="BC59" s="14">
        <f>VLOOKUP($G59,'Visu totale'!$D$3:$DT$129,BC$1,0)</f>
        <v>18</v>
      </c>
      <c r="BD59" s="13">
        <f>VLOOKUP($G59,'Visu totale'!$D$3:$DT$129,BD$1,0)</f>
        <v>18</v>
      </c>
      <c r="BE59" s="13">
        <f>VLOOKUP($G59,'Visu totale'!$D$3:$DT$129,BE$1,0)</f>
        <v>18</v>
      </c>
      <c r="BF59" s="13">
        <f>VLOOKUP($G59,'Visu totale'!$D$3:$DT$129,BF$1,0)</f>
        <v>0</v>
      </c>
      <c r="BG59" s="13">
        <f>VLOOKUP($G59,'Visu totale'!$D$3:$DT$129,BG$1,0)</f>
        <v>0</v>
      </c>
      <c r="BH59" s="13">
        <f>VLOOKUP($G59,'Visu totale'!$D$3:$DT$129,BH$1,0)</f>
        <v>0</v>
      </c>
      <c r="BI59" s="13">
        <f>VLOOKUP($G59,'Visu totale'!$D$3:$DT$129,BI$1,0)</f>
        <v>0</v>
      </c>
      <c r="BJ59" s="13" t="str">
        <f>VLOOKUP($G59,'Visu totale'!$D$3:$DT$129,BJ$1,0)</f>
        <v>V20</v>
      </c>
      <c r="BK59" s="13" t="str">
        <f>VLOOKUP($G59,'Visu totale'!$D$3:$DT$129,BK$1,0)</f>
        <v>V20</v>
      </c>
      <c r="BL59" s="13" t="str">
        <f>VLOOKUP($G59,'Visu totale'!$D$3:$DT$129,BL$1,0)</f>
        <v>V20</v>
      </c>
      <c r="BM59" s="13" t="str">
        <f>VLOOKUP($G59,'Visu totale'!$D$3:$DT$129,BM$1,0)</f>
        <v>V20</v>
      </c>
      <c r="BN59" s="15" t="str">
        <f>VLOOKUP($G59,'Visu totale'!$D$3:$DT$129,BN$1,0)</f>
        <v>V20</v>
      </c>
      <c r="BO59" s="14">
        <f>VLOOKUP($G59,'Visu totale'!$D$3:$DT$129,BO$1,0)</f>
        <v>0</v>
      </c>
      <c r="BP59" s="13">
        <f>VLOOKUP($G59,'Visu totale'!$D$3:$DT$129,BP$1,0)</f>
        <v>0</v>
      </c>
      <c r="BQ59" s="13">
        <f>VLOOKUP($G59,'Visu totale'!$D$3:$DT$129,BQ$1,0)</f>
        <v>0</v>
      </c>
      <c r="BR59" s="13">
        <f>VLOOKUP($G59,'Visu totale'!$D$3:$DT$129,BR$1,0)</f>
        <v>0</v>
      </c>
      <c r="BS59" s="13" t="str">
        <f>VLOOKUP($G59,'Visu totale'!$D$3:$DT$129,BS$1,0)</f>
        <v>V20</v>
      </c>
      <c r="BT59" s="13" t="str">
        <f>VLOOKUP($G59,'Visu totale'!$D$3:$DT$129,BT$1,0)</f>
        <v>V20</v>
      </c>
      <c r="BU59" s="13" t="str">
        <f>VLOOKUP($G59,'Visu totale'!$D$3:$DT$129,BU$1,0)</f>
        <v>V20</v>
      </c>
      <c r="BV59" s="13" t="str">
        <f>VLOOKUP($G59,'Visu totale'!$D$3:$DT$129,BV$1,0)</f>
        <v>V20</v>
      </c>
      <c r="BW59" s="13" t="str">
        <f>VLOOKUP($G59,'Visu totale'!$D$3:$DT$129,BW$1,0)</f>
        <v>V20</v>
      </c>
      <c r="BX59" s="13" t="str">
        <f>VLOOKUP($G59,'Visu totale'!$D$3:$DT$129,BX$1,0)</f>
        <v>V20</v>
      </c>
      <c r="BY59" s="13">
        <f>VLOOKUP($G59,'Visu totale'!$D$3:$DT$129,BY$1,0)</f>
        <v>18</v>
      </c>
      <c r="BZ59" s="15">
        <f>VLOOKUP($G59,'Visu totale'!$D$3:$DT$129,BZ$1,0)</f>
        <v>18</v>
      </c>
      <c r="CA59" s="14" t="str">
        <f>VLOOKUP($G59,'Visu totale'!$D$3:$DT$129,CA$1,0)</f>
        <v>NANCY_D</v>
      </c>
      <c r="CB59" s="13" t="str">
        <f>VLOOKUP($G59,'Visu totale'!$D$3:$DT$129,CB$1,0)</f>
        <v>NANCY_D</v>
      </c>
      <c r="CC59" s="13" t="str">
        <f>VLOOKUP($G59,'Visu totale'!$D$3:$DT$129,CC$1,0)</f>
        <v>NANCY_D</v>
      </c>
      <c r="CD59" s="13" t="str">
        <f>VLOOKUP($G59,'Visu totale'!$D$3:$DT$129,CD$1,0)</f>
        <v>NANCY_D</v>
      </c>
      <c r="CE59" s="13">
        <f>VLOOKUP($G59,'Visu totale'!$D$3:$DT$129,CE$1,0)</f>
        <v>18</v>
      </c>
      <c r="CF59" s="13">
        <f>VLOOKUP($G59,'Visu totale'!$D$3:$DT$129,CF$1,0)</f>
        <v>18</v>
      </c>
      <c r="CG59" s="13" t="str">
        <f>VLOOKUP($G59,'Visu totale'!$D$3:$DT$129,CG$1,0)</f>
        <v>NANCY_D</v>
      </c>
      <c r="CH59" s="13" t="str">
        <f>VLOOKUP($G59,'Visu totale'!$D$3:$DT$129,CH$1,0)</f>
        <v>NANCY_D</v>
      </c>
      <c r="CI59" s="13" t="str">
        <f>VLOOKUP($G59,'Visu totale'!$D$3:$DT$129,CI$1,0)</f>
        <v>NANCY_D</v>
      </c>
      <c r="CJ59" s="13" t="str">
        <f>VLOOKUP($G59,'Visu totale'!$D$3:$DT$129,CJ$1,0)</f>
        <v>NANCY_D</v>
      </c>
      <c r="CK59" s="13">
        <f>VLOOKUP($G59,'Visu totale'!$D$3:$DT$129,CK$1,0)</f>
        <v>18</v>
      </c>
      <c r="CL59" s="15">
        <f>VLOOKUP($G59,'Visu totale'!$D$3:$DT$129,CL$1,0)</f>
        <v>18</v>
      </c>
      <c r="CM59" s="14" t="str">
        <f>VLOOKUP($G59,'Visu totale'!$D$3:$DT$129,CM$1,0)</f>
        <v>NANCY_D</v>
      </c>
      <c r="CN59" s="13" t="str">
        <f>VLOOKUP($G59,'Visu totale'!$D$3:$DT$129,CN$1,0)</f>
        <v>NANCY_D</v>
      </c>
      <c r="CO59" s="13" t="str">
        <f>VLOOKUP($G59,'Visu totale'!$D$3:$DT$129,CO$1,0)</f>
        <v>NANCY_D</v>
      </c>
      <c r="CP59" s="13" t="str">
        <f>VLOOKUP($G59,'Visu totale'!$D$3:$DT$129,CP$1,0)</f>
        <v>NANCY_D</v>
      </c>
      <c r="CQ59" s="13">
        <f>VLOOKUP($G59,'Visu totale'!$D$3:$DT$129,CQ$1,0)</f>
        <v>18</v>
      </c>
      <c r="CR59" s="13">
        <f>VLOOKUP($G59,'Visu totale'!$D$3:$DT$129,CR$1,0)</f>
        <v>18</v>
      </c>
      <c r="CS59" s="13" t="str">
        <f>VLOOKUP($G59,'Visu totale'!$D$3:$DT$129,CS$1,0)</f>
        <v>NANCY_D</v>
      </c>
      <c r="CT59" s="13" t="str">
        <f>VLOOKUP($G59,'Visu totale'!$D$3:$DT$129,CT$1,0)</f>
        <v>NANCY_D</v>
      </c>
      <c r="CU59" s="13" t="str">
        <f>VLOOKUP($G59,'Visu totale'!$D$3:$DT$129,CU$1,0)</f>
        <v>NANCY_D</v>
      </c>
      <c r="CV59" s="13" t="str">
        <f>VLOOKUP($G59,'Visu totale'!$D$3:$DT$129,CV$1,0)</f>
        <v>NANCY_D</v>
      </c>
      <c r="CW59" s="13">
        <f>VLOOKUP($G59,'Visu totale'!$D$3:$DT$129,CW$1,0)</f>
        <v>18</v>
      </c>
      <c r="CX59" s="15">
        <f>VLOOKUP($G59,'Visu totale'!$D$3:$DT$129,CX$1,0)</f>
        <v>18</v>
      </c>
      <c r="CY59" s="14">
        <f>VLOOKUP($G59,'Visu totale'!$D$3:$DT$129,CY$1,0)</f>
        <v>0</v>
      </c>
      <c r="CZ59" s="13">
        <f>VLOOKUP($G59,'Visu totale'!$D$3:$DT$129,CZ$1,0)</f>
        <v>0</v>
      </c>
      <c r="DA59" s="13">
        <f>VLOOKUP($G59,'Visu totale'!$D$3:$DT$129,DA$1,0)</f>
        <v>0</v>
      </c>
      <c r="DB59" s="13">
        <f>VLOOKUP($G59,'Visu totale'!$D$3:$DT$129,DB$1,0)</f>
        <v>0</v>
      </c>
      <c r="DC59" s="13">
        <f>VLOOKUP($G59,'Visu totale'!$D$3:$DT$129,DC$1,0)</f>
        <v>0</v>
      </c>
      <c r="DD59" s="13">
        <f>VLOOKUP($G59,'Visu totale'!$D$3:$DT$129,DD$1,0)</f>
        <v>0</v>
      </c>
      <c r="DE59" s="13">
        <f>VLOOKUP($G59,'Visu totale'!$D$3:$DT$129,DE$1,0)</f>
        <v>0</v>
      </c>
      <c r="DF59" s="13">
        <f>VLOOKUP($G59,'Visu totale'!$D$3:$DT$129,DF$1,0)</f>
        <v>0</v>
      </c>
      <c r="DG59" s="13">
        <f>VLOOKUP($G59,'Visu totale'!$D$3:$DT$129,DG$1,0)</f>
        <v>0</v>
      </c>
      <c r="DH59" s="13">
        <f>VLOOKUP($G59,'Visu totale'!$D$3:$DT$129,DH$1,0)</f>
        <v>0</v>
      </c>
      <c r="DI59" s="13">
        <f>VLOOKUP($G59,'Visu totale'!$D$3:$DT$129,DI$1,0)</f>
        <v>0</v>
      </c>
      <c r="DJ59" s="15">
        <f>VLOOKUP($G59,'Visu totale'!$D$3:$DT$129,DJ$1,0)</f>
        <v>0</v>
      </c>
      <c r="DK59" s="14">
        <f>VLOOKUP($G59,'Visu totale'!$D$3:$DT$129,DK$1,0)</f>
        <v>0</v>
      </c>
      <c r="DL59" s="13">
        <f>VLOOKUP($G59,'Visu totale'!$D$3:$DT$129,DL$1,0)</f>
        <v>0</v>
      </c>
      <c r="DM59" s="13">
        <f>VLOOKUP($G59,'Visu totale'!$D$3:$DT$129,DM$1,0)</f>
        <v>0</v>
      </c>
      <c r="DN59" s="13">
        <f>VLOOKUP($G59,'Visu totale'!$D$3:$DT$129,DN$1,0)</f>
        <v>0</v>
      </c>
      <c r="DO59" s="13">
        <f>VLOOKUP($G59,'Visu totale'!$D$3:$DT$129,DO$1,0)</f>
        <v>0</v>
      </c>
      <c r="DP59" s="13">
        <f>VLOOKUP($G59,'Visu totale'!$D$3:$DT$129,DP$1,0)</f>
        <v>0</v>
      </c>
      <c r="DQ59" s="13">
        <f>VLOOKUP($G59,'Visu totale'!$D$3:$DT$129,DQ$1,0)</f>
        <v>0</v>
      </c>
      <c r="DR59" s="13">
        <f>VLOOKUP($G59,'Visu totale'!$D$3:$DT$129,DR$1,0)</f>
        <v>0</v>
      </c>
      <c r="DS59" s="13">
        <f>VLOOKUP($G59,'Visu totale'!$D$3:$DT$129,DS$1,0)</f>
        <v>0</v>
      </c>
      <c r="DT59" s="13">
        <f>VLOOKUP($G59,'Visu totale'!$D$3:$DT$129,DT$1,0)</f>
        <v>0</v>
      </c>
      <c r="DU59" s="13">
        <f>VLOOKUP($G59,'Visu totale'!$D$3:$DT$129,DU$1,0)</f>
        <v>0</v>
      </c>
      <c r="DV59" s="15">
        <f>VLOOKUP($G59,'Visu totale'!$D$3:$DT$129,DV$1,0)</f>
        <v>0</v>
      </c>
    </row>
    <row r="60" spans="1:126" x14ac:dyDescent="0.25">
      <c r="A60" s="13"/>
      <c r="B60" s="13"/>
      <c r="C60" s="13"/>
      <c r="D60" s="16"/>
      <c r="E60" s="14"/>
      <c r="F60" s="13"/>
      <c r="G60" s="17" t="s">
        <v>62</v>
      </c>
      <c r="H60" s="13">
        <f>VLOOKUP($G60,'Visu totale'!$D$3:$DT$129,H$1,0)</f>
        <v>18</v>
      </c>
      <c r="I60" s="13" t="str">
        <f>VLOOKUP($G60,'Visu totale'!$D$3:$DT$129,I$1,0)</f>
        <v>CHAMMAL_D</v>
      </c>
      <c r="J60" s="13" t="str">
        <f>VLOOKUP($G60,'Visu totale'!$D$3:$DT$129,J$1,0)</f>
        <v>CHAMMAL_D</v>
      </c>
      <c r="K60" s="13" t="str">
        <f>VLOOKUP($G60,'Visu totale'!$D$3:$DT$129,K$1,0)</f>
        <v>CHAMMAL_D</v>
      </c>
      <c r="L60" s="13" t="str">
        <f>VLOOKUP($G60,'Visu totale'!$D$3:$DT$129,L$1,0)</f>
        <v>CHAMMAL_D</v>
      </c>
      <c r="M60" s="13">
        <f>VLOOKUP($G60,'Visu totale'!$D$3:$DT$129,M$1,0)</f>
        <v>18</v>
      </c>
      <c r="N60" s="13">
        <f>VLOOKUP($G60,'Visu totale'!$D$3:$DT$129,N$1,0)</f>
        <v>18</v>
      </c>
      <c r="O60" s="13" t="str">
        <f>VLOOKUP($G60,'Visu totale'!$D$3:$DT$129,O$1,0)</f>
        <v>NANCY_D</v>
      </c>
      <c r="P60" s="13" t="str">
        <f>VLOOKUP($G60,'Visu totale'!$D$3:$DT$129,P$1,0)</f>
        <v>NANCY_D</v>
      </c>
      <c r="Q60" s="13" t="str">
        <f>VLOOKUP($G60,'Visu totale'!$D$3:$DT$129,Q$1,0)</f>
        <v>NANCY_D</v>
      </c>
      <c r="R60" s="15" t="str">
        <f>VLOOKUP($G60,'Visu totale'!$D$3:$DT$129,R$1,0)</f>
        <v>NANCY_D</v>
      </c>
      <c r="S60" s="14">
        <f>VLOOKUP($G60,'Visu totale'!$D$3:$DT$129,S$1,0)</f>
        <v>18</v>
      </c>
      <c r="T60" s="13">
        <f>VLOOKUP($G60,'Visu totale'!$D$3:$DT$129,T$1,0)</f>
        <v>18</v>
      </c>
      <c r="U60" s="13" t="str">
        <f>VLOOKUP($G60,'Visu totale'!$D$3:$DT$129,U$1,0)</f>
        <v>NANCY_D</v>
      </c>
      <c r="V60" s="13" t="str">
        <f>VLOOKUP($G60,'Visu totale'!$D$3:$DT$129,V$1,0)</f>
        <v>NANCY_D</v>
      </c>
      <c r="W60" s="13" t="str">
        <f>VLOOKUP($G60,'Visu totale'!$D$3:$DT$129,W$1,0)</f>
        <v>NANCY_D</v>
      </c>
      <c r="X60" s="13" t="str">
        <f>VLOOKUP($G60,'Visu totale'!$D$3:$DT$129,X$1,0)</f>
        <v>NANCY_D</v>
      </c>
      <c r="Y60" s="13">
        <f>VLOOKUP($G60,'Visu totale'!$D$3:$DT$129,Y$1,0)</f>
        <v>18</v>
      </c>
      <c r="Z60" s="13">
        <f>VLOOKUP($G60,'Visu totale'!$D$3:$DT$129,Z$1,0)</f>
        <v>18</v>
      </c>
      <c r="AA60" s="13" t="str">
        <f>VLOOKUP($G60,'Visu totale'!$D$3:$DT$129,AA$1,0)</f>
        <v>NIAMEY_D</v>
      </c>
      <c r="AB60" s="13" t="str">
        <f>VLOOKUP($G60,'Visu totale'!$D$3:$DT$129,AB$1,0)</f>
        <v>NIAMEY_D</v>
      </c>
      <c r="AC60" s="13" t="str">
        <f>VLOOKUP($G60,'Visu totale'!$D$3:$DT$129,AC$1,0)</f>
        <v>NIAMEY_D</v>
      </c>
      <c r="AD60" s="15" t="str">
        <f>VLOOKUP($G60,'Visu totale'!$D$3:$DT$129,AD$1,0)</f>
        <v>NIAMEY_D</v>
      </c>
      <c r="AE60" s="14">
        <f>VLOOKUP($G60,'Visu totale'!$D$3:$DT$129,AE$1,0)</f>
        <v>18</v>
      </c>
      <c r="AF60" s="13">
        <f>VLOOKUP($G60,'Visu totale'!$D$3:$DT$129,AF$1,0)</f>
        <v>18</v>
      </c>
      <c r="AG60" s="13" t="str">
        <f>VLOOKUP($G60,'Visu totale'!$D$3:$DT$129,AG$1,0)</f>
        <v>NANCY_D</v>
      </c>
      <c r="AH60" s="13" t="str">
        <f>VLOOKUP($G60,'Visu totale'!$D$3:$DT$129,AH$1,0)</f>
        <v>NANCY_D</v>
      </c>
      <c r="AI60" s="13" t="str">
        <f>VLOOKUP($G60,'Visu totale'!$D$3:$DT$129,AI$1,0)</f>
        <v>NANCY_D</v>
      </c>
      <c r="AJ60" s="13" t="str">
        <f>VLOOKUP($G60,'Visu totale'!$D$3:$DT$129,AJ$1,0)</f>
        <v>NANCY_D</v>
      </c>
      <c r="AK60" s="13">
        <f>VLOOKUP($G60,'Visu totale'!$D$3:$DT$129,AK$1,0)</f>
        <v>18</v>
      </c>
      <c r="AL60" s="13">
        <f>VLOOKUP($G60,'Visu totale'!$D$3:$DT$129,AL$1,0)</f>
        <v>18</v>
      </c>
      <c r="AM60" s="13">
        <f>VLOOKUP($G60,'Visu totale'!$D$3:$DT$129,AM$1,0)</f>
        <v>18</v>
      </c>
      <c r="AN60" s="13">
        <f>VLOOKUP($G60,'Visu totale'!$D$3:$DT$129,AN$1,0)</f>
        <v>18</v>
      </c>
      <c r="AO60" s="13">
        <f>VLOOKUP($G60,'Visu totale'!$D$3:$DT$129,AO$1,0)</f>
        <v>18</v>
      </c>
      <c r="AP60" s="15">
        <f>VLOOKUP($G60,'Visu totale'!$D$3:$DT$129,AP$1,0)</f>
        <v>18</v>
      </c>
      <c r="AQ60" s="14">
        <f>VLOOKUP($G60,'Visu totale'!$D$3:$DT$129,AQ$1,0)</f>
        <v>18</v>
      </c>
      <c r="AR60" s="13">
        <f>VLOOKUP($G60,'Visu totale'!$D$3:$DT$129,AR$1,0)</f>
        <v>18</v>
      </c>
      <c r="AS60" s="13">
        <f>VLOOKUP($G60,'Visu totale'!$D$3:$DT$129,AS$1,0)</f>
        <v>0</v>
      </c>
      <c r="AT60" s="13">
        <f>VLOOKUP($G60,'Visu totale'!$D$3:$DT$129,AT$1,0)</f>
        <v>0</v>
      </c>
      <c r="AU60" s="13">
        <f>VLOOKUP($G60,'Visu totale'!$D$3:$DT$129,AU$1,0)</f>
        <v>0</v>
      </c>
      <c r="AV60" s="13">
        <f>VLOOKUP($G60,'Visu totale'!$D$3:$DT$129,AV$1,0)</f>
        <v>0</v>
      </c>
      <c r="AW60" s="13">
        <f>VLOOKUP($G60,'Visu totale'!$D$3:$DT$129,AW$1,0)</f>
        <v>0</v>
      </c>
      <c r="AX60" s="13">
        <f>VLOOKUP($G60,'Visu totale'!$D$3:$DT$129,AX$1,0)</f>
        <v>0</v>
      </c>
      <c r="AY60" s="13">
        <f>VLOOKUP($G60,'Visu totale'!$D$3:$DT$129,AY$1,0)</f>
        <v>0</v>
      </c>
      <c r="AZ60" s="13">
        <f>VLOOKUP($G60,'Visu totale'!$D$3:$DT$129,AZ$1,0)</f>
        <v>0</v>
      </c>
      <c r="BA60" s="13">
        <f>VLOOKUP($G60,'Visu totale'!$D$3:$DT$129,BA$1,0)</f>
        <v>0</v>
      </c>
      <c r="BB60" s="15">
        <f>VLOOKUP($G60,'Visu totale'!$D$3:$DT$129,BB$1,0)</f>
        <v>0</v>
      </c>
      <c r="BC60" s="14">
        <f>VLOOKUP($G60,'Visu totale'!$D$3:$DT$129,BC$1,0)</f>
        <v>0</v>
      </c>
      <c r="BD60" s="13" t="str">
        <f>VLOOKUP($G60,'Visu totale'!$D$3:$DT$129,BD$1,0)</f>
        <v>V15</v>
      </c>
      <c r="BE60" s="13" t="str">
        <f>VLOOKUP($G60,'Visu totale'!$D$3:$DT$129,BE$1,0)</f>
        <v>V15</v>
      </c>
      <c r="BF60" s="13" t="str">
        <f>VLOOKUP($G60,'Visu totale'!$D$3:$DT$129,BF$1,0)</f>
        <v>V15</v>
      </c>
      <c r="BG60" s="13" t="str">
        <f>VLOOKUP($G60,'Visu totale'!$D$3:$DT$129,BG$1,0)</f>
        <v>V15</v>
      </c>
      <c r="BH60" s="13" t="str">
        <f>VLOOKUP($G60,'Visu totale'!$D$3:$DT$129,BH$1,0)</f>
        <v>V15</v>
      </c>
      <c r="BI60" s="13" t="str">
        <f>VLOOKUP($G60,'Visu totale'!$D$3:$DT$129,BI$1,0)</f>
        <v>V15</v>
      </c>
      <c r="BJ60" s="13">
        <f>VLOOKUP($G60,'Visu totale'!$D$3:$DT$129,BJ$1,0)</f>
        <v>18</v>
      </c>
      <c r="BK60" s="13">
        <f>VLOOKUP($G60,'Visu totale'!$D$3:$DT$129,BK$1,0)</f>
        <v>18</v>
      </c>
      <c r="BL60" s="13" t="str">
        <f>VLOOKUP($G60,'Visu totale'!$D$3:$DT$129,BL$1,0)</f>
        <v>NDJAMENA_D</v>
      </c>
      <c r="BM60" s="13" t="str">
        <f>VLOOKUP($G60,'Visu totale'!$D$3:$DT$129,BM$1,0)</f>
        <v>NDJAMENA_D</v>
      </c>
      <c r="BN60" s="15" t="str">
        <f>VLOOKUP($G60,'Visu totale'!$D$3:$DT$129,BN$1,0)</f>
        <v>NDJAMENA_D</v>
      </c>
      <c r="BO60" s="14">
        <f>VLOOKUP($G60,'Visu totale'!$D$3:$DT$129,BO$1,0)</f>
        <v>18</v>
      </c>
      <c r="BP60" s="13">
        <f>VLOOKUP($G60,'Visu totale'!$D$3:$DT$129,BP$1,0)</f>
        <v>18</v>
      </c>
      <c r="BQ60" s="13">
        <f>VLOOKUP($G60,'Visu totale'!$D$3:$DT$129,BQ$1,0)</f>
        <v>18</v>
      </c>
      <c r="BR60" s="13">
        <f>VLOOKUP($G60,'Visu totale'!$D$3:$DT$129,BR$1,0)</f>
        <v>18</v>
      </c>
      <c r="BS60" s="13">
        <f>VLOOKUP($G60,'Visu totale'!$D$3:$DT$129,BS$1,0)</f>
        <v>18</v>
      </c>
      <c r="BT60" s="13">
        <f>VLOOKUP($G60,'Visu totale'!$D$3:$DT$129,BT$1,0)</f>
        <v>18</v>
      </c>
      <c r="BU60" s="13">
        <f>VLOOKUP($G60,'Visu totale'!$D$3:$DT$129,BU$1,0)</f>
        <v>0</v>
      </c>
      <c r="BV60" s="13">
        <f>VLOOKUP($G60,'Visu totale'!$D$3:$DT$129,BV$1,0)</f>
        <v>0</v>
      </c>
      <c r="BW60" s="13">
        <f>VLOOKUP($G60,'Visu totale'!$D$3:$DT$129,BW$1,0)</f>
        <v>0</v>
      </c>
      <c r="BX60" s="13">
        <f>VLOOKUP($G60,'Visu totale'!$D$3:$DT$129,BX$1,0)</f>
        <v>0</v>
      </c>
      <c r="BY60" s="13">
        <f>VLOOKUP($G60,'Visu totale'!$D$3:$DT$129,BY$1,0)</f>
        <v>0</v>
      </c>
      <c r="BZ60" s="15">
        <f>VLOOKUP($G60,'Visu totale'!$D$3:$DT$129,BZ$1,0)</f>
        <v>0</v>
      </c>
      <c r="CA60" s="14">
        <f>VLOOKUP($G60,'Visu totale'!$D$3:$DT$129,CA$1,0)</f>
        <v>0</v>
      </c>
      <c r="CB60" s="13">
        <f>VLOOKUP($G60,'Visu totale'!$D$3:$DT$129,CB$1,0)</f>
        <v>0</v>
      </c>
      <c r="CC60" s="13">
        <f>VLOOKUP($G60,'Visu totale'!$D$3:$DT$129,CC$1,0)</f>
        <v>0</v>
      </c>
      <c r="CD60" s="13">
        <f>VLOOKUP($G60,'Visu totale'!$D$3:$DT$129,CD$1,0)</f>
        <v>0</v>
      </c>
      <c r="CE60" s="13">
        <f>VLOOKUP($G60,'Visu totale'!$D$3:$DT$129,CE$1,0)</f>
        <v>0</v>
      </c>
      <c r="CF60" s="13">
        <f>VLOOKUP($G60,'Visu totale'!$D$3:$DT$129,CF$1,0)</f>
        <v>0</v>
      </c>
      <c r="CG60" s="13">
        <f>VLOOKUP($G60,'Visu totale'!$D$3:$DT$129,CG$1,0)</f>
        <v>0</v>
      </c>
      <c r="CH60" s="13">
        <f>VLOOKUP($G60,'Visu totale'!$D$3:$DT$129,CH$1,0)</f>
        <v>0</v>
      </c>
      <c r="CI60" s="13">
        <f>VLOOKUP($G60,'Visu totale'!$D$3:$DT$129,CI$1,0)</f>
        <v>0</v>
      </c>
      <c r="CJ60" s="13">
        <f>VLOOKUP($G60,'Visu totale'!$D$3:$DT$129,CJ$1,0)</f>
        <v>0</v>
      </c>
      <c r="CK60" s="13">
        <f>VLOOKUP($G60,'Visu totale'!$D$3:$DT$129,CK$1,0)</f>
        <v>0</v>
      </c>
      <c r="CL60" s="15" t="str">
        <f>VLOOKUP($G60,'Visu totale'!$D$3:$DT$129,CL$1,0)</f>
        <v>V20</v>
      </c>
      <c r="CM60" s="14" t="str">
        <f>VLOOKUP($G60,'Visu totale'!$D$3:$DT$129,CM$1,0)</f>
        <v>V20</v>
      </c>
      <c r="CN60" s="13" t="str">
        <f>VLOOKUP($G60,'Visu totale'!$D$3:$DT$129,CN$1,0)</f>
        <v>V20</v>
      </c>
      <c r="CO60" s="13" t="str">
        <f>VLOOKUP($G60,'Visu totale'!$D$3:$DT$129,CO$1,0)</f>
        <v>V20</v>
      </c>
      <c r="CP60" s="13" t="str">
        <f>VLOOKUP($G60,'Visu totale'!$D$3:$DT$129,CP$1,0)</f>
        <v>V20</v>
      </c>
      <c r="CQ60" s="13" t="str">
        <f>VLOOKUP($G60,'Visu totale'!$D$3:$DT$129,CQ$1,0)</f>
        <v>V20</v>
      </c>
      <c r="CR60" s="13">
        <f>VLOOKUP($G60,'Visu totale'!$D$3:$DT$129,CR$1,0)</f>
        <v>18</v>
      </c>
      <c r="CS60" s="13">
        <f>VLOOKUP($G60,'Visu totale'!$D$3:$DT$129,CS$1,0)</f>
        <v>18</v>
      </c>
      <c r="CT60" s="13">
        <f>VLOOKUP($G60,'Visu totale'!$D$3:$DT$129,CT$1,0)</f>
        <v>18</v>
      </c>
      <c r="CU60" s="13">
        <f>VLOOKUP($G60,'Visu totale'!$D$3:$DT$129,CU$1,0)</f>
        <v>18</v>
      </c>
      <c r="CV60" s="13">
        <f>VLOOKUP($G60,'Visu totale'!$D$3:$DT$129,CV$1,0)</f>
        <v>18</v>
      </c>
      <c r="CW60" s="13">
        <f>VLOOKUP($G60,'Visu totale'!$D$3:$DT$129,CW$1,0)</f>
        <v>18</v>
      </c>
      <c r="CX60" s="15">
        <f>VLOOKUP($G60,'Visu totale'!$D$3:$DT$129,CX$1,0)</f>
        <v>18</v>
      </c>
      <c r="CY60" s="14">
        <f>VLOOKUP($G60,'Visu totale'!$D$3:$DT$129,CY$1,0)</f>
        <v>0</v>
      </c>
      <c r="CZ60" s="13">
        <f>VLOOKUP($G60,'Visu totale'!$D$3:$DT$129,CZ$1,0)</f>
        <v>0</v>
      </c>
      <c r="DA60" s="13">
        <f>VLOOKUP($G60,'Visu totale'!$D$3:$DT$129,DA$1,0)</f>
        <v>0</v>
      </c>
      <c r="DB60" s="13">
        <f>VLOOKUP($G60,'Visu totale'!$D$3:$DT$129,DB$1,0)</f>
        <v>0</v>
      </c>
      <c r="DC60" s="13">
        <f>VLOOKUP($G60,'Visu totale'!$D$3:$DT$129,DC$1,0)</f>
        <v>0</v>
      </c>
      <c r="DD60" s="13">
        <f>VLOOKUP($G60,'Visu totale'!$D$3:$DT$129,DD$1,0)</f>
        <v>0</v>
      </c>
      <c r="DE60" s="13">
        <f>VLOOKUP($G60,'Visu totale'!$D$3:$DT$129,DE$1,0)</f>
        <v>0</v>
      </c>
      <c r="DF60" s="13">
        <f>VLOOKUP($G60,'Visu totale'!$D$3:$DT$129,DF$1,0)</f>
        <v>0</v>
      </c>
      <c r="DG60" s="13">
        <f>VLOOKUP($G60,'Visu totale'!$D$3:$DT$129,DG$1,0)</f>
        <v>0</v>
      </c>
      <c r="DH60" s="13">
        <f>VLOOKUP($G60,'Visu totale'!$D$3:$DT$129,DH$1,0)</f>
        <v>0</v>
      </c>
      <c r="DI60" s="13">
        <f>VLOOKUP($G60,'Visu totale'!$D$3:$DT$129,DI$1,0)</f>
        <v>0</v>
      </c>
      <c r="DJ60" s="15">
        <f>VLOOKUP($G60,'Visu totale'!$D$3:$DT$129,DJ$1,0)</f>
        <v>0</v>
      </c>
      <c r="DK60" s="14">
        <f>VLOOKUP($G60,'Visu totale'!$D$3:$DT$129,DK$1,0)</f>
        <v>0</v>
      </c>
      <c r="DL60" s="13">
        <f>VLOOKUP($G60,'Visu totale'!$D$3:$DT$129,DL$1,0)</f>
        <v>0</v>
      </c>
      <c r="DM60" s="13">
        <f>VLOOKUP($G60,'Visu totale'!$D$3:$DT$129,DM$1,0)</f>
        <v>0</v>
      </c>
      <c r="DN60" s="13">
        <f>VLOOKUP($G60,'Visu totale'!$D$3:$DT$129,DN$1,0)</f>
        <v>0</v>
      </c>
      <c r="DO60" s="13">
        <f>VLOOKUP($G60,'Visu totale'!$D$3:$DT$129,DO$1,0)</f>
        <v>0</v>
      </c>
      <c r="DP60" s="13">
        <f>VLOOKUP($G60,'Visu totale'!$D$3:$DT$129,DP$1,0)</f>
        <v>0</v>
      </c>
      <c r="DQ60" s="13">
        <f>VLOOKUP($G60,'Visu totale'!$D$3:$DT$129,DQ$1,0)</f>
        <v>0</v>
      </c>
      <c r="DR60" s="13">
        <f>VLOOKUP($G60,'Visu totale'!$D$3:$DT$129,DR$1,0)</f>
        <v>0</v>
      </c>
      <c r="DS60" s="13">
        <f>VLOOKUP($G60,'Visu totale'!$D$3:$DT$129,DS$1,0)</f>
        <v>0</v>
      </c>
      <c r="DT60" s="13">
        <f>VLOOKUP($G60,'Visu totale'!$D$3:$DT$129,DT$1,0)</f>
        <v>0</v>
      </c>
      <c r="DU60" s="13">
        <f>VLOOKUP($G60,'Visu totale'!$D$3:$DT$129,DU$1,0)</f>
        <v>0</v>
      </c>
      <c r="DV60" s="15">
        <f>VLOOKUP($G60,'Visu totale'!$D$3:$DT$129,DV$1,0)</f>
        <v>0</v>
      </c>
    </row>
    <row r="61" spans="1:126" x14ac:dyDescent="0.25">
      <c r="A61" s="13"/>
      <c r="B61" s="13"/>
      <c r="C61" s="13"/>
      <c r="D61" s="16"/>
      <c r="E61" s="14"/>
      <c r="F61" s="13"/>
      <c r="G61" s="17" t="s">
        <v>63</v>
      </c>
      <c r="H61" s="13">
        <f>VLOOKUP($G61,'Visu totale'!$D$3:$DT$129,H$1,0)</f>
        <v>18</v>
      </c>
      <c r="I61" s="13" t="str">
        <f>VLOOKUP($G61,'Visu totale'!$D$3:$DT$129,I$1,0)</f>
        <v>NANCY_D</v>
      </c>
      <c r="J61" s="13" t="str">
        <f>VLOOKUP($G61,'Visu totale'!$D$3:$DT$129,J$1,0)</f>
        <v>NANCY_D</v>
      </c>
      <c r="K61" s="13" t="str">
        <f>VLOOKUP($G61,'Visu totale'!$D$3:$DT$129,K$1,0)</f>
        <v>NANCY_D</v>
      </c>
      <c r="L61" s="13" t="str">
        <f>VLOOKUP($G61,'Visu totale'!$D$3:$DT$129,L$1,0)</f>
        <v>NANCY_D</v>
      </c>
      <c r="M61" s="13">
        <f>VLOOKUP($G61,'Visu totale'!$D$3:$DT$129,M$1,0)</f>
        <v>18</v>
      </c>
      <c r="N61" s="13">
        <f>VLOOKUP($G61,'Visu totale'!$D$3:$DT$129,N$1,0)</f>
        <v>18</v>
      </c>
      <c r="O61" s="13" t="str">
        <f>VLOOKUP($G61,'Visu totale'!$D$3:$DT$129,O$1,0)</f>
        <v>NANCY_D</v>
      </c>
      <c r="P61" s="13" t="str">
        <f>VLOOKUP($G61,'Visu totale'!$D$3:$DT$129,P$1,0)</f>
        <v>NANCY_D</v>
      </c>
      <c r="Q61" s="13" t="str">
        <f>VLOOKUP($G61,'Visu totale'!$D$3:$DT$129,Q$1,0)</f>
        <v>NANCY_D</v>
      </c>
      <c r="R61" s="15" t="str">
        <f>VLOOKUP($G61,'Visu totale'!$D$3:$DT$129,R$1,0)</f>
        <v>NANCY_D</v>
      </c>
      <c r="S61" s="14">
        <f>VLOOKUP($G61,'Visu totale'!$D$3:$DT$129,S$1,0)</f>
        <v>18</v>
      </c>
      <c r="T61" s="13">
        <f>VLOOKUP($G61,'Visu totale'!$D$3:$DT$129,T$1,0)</f>
        <v>18</v>
      </c>
      <c r="U61" s="13" t="str">
        <f>VLOOKUP($G61,'Visu totale'!$D$3:$DT$129,U$1,0)</f>
        <v>NANCY_D</v>
      </c>
      <c r="V61" s="13" t="str">
        <f>VLOOKUP($G61,'Visu totale'!$D$3:$DT$129,V$1,0)</f>
        <v>NANCY_D</v>
      </c>
      <c r="W61" s="13" t="str">
        <f>VLOOKUP($G61,'Visu totale'!$D$3:$DT$129,W$1,0)</f>
        <v>NANCY_D</v>
      </c>
      <c r="X61" s="13" t="str">
        <f>VLOOKUP($G61,'Visu totale'!$D$3:$DT$129,X$1,0)</f>
        <v>NANCY_D</v>
      </c>
      <c r="Y61" s="13" t="str">
        <f>VLOOKUP($G61,'Visu totale'!$D$3:$DT$129,Y$1,0)</f>
        <v>V15</v>
      </c>
      <c r="Z61" s="13" t="str">
        <f>VLOOKUP($G61,'Visu totale'!$D$3:$DT$129,Z$1,0)</f>
        <v>V15</v>
      </c>
      <c r="AA61" s="13" t="str">
        <f>VLOOKUP($G61,'Visu totale'!$D$3:$DT$129,AA$1,0)</f>
        <v>V15</v>
      </c>
      <c r="AB61" s="13" t="str">
        <f>VLOOKUP($G61,'Visu totale'!$D$3:$DT$129,AB$1,0)</f>
        <v>V15</v>
      </c>
      <c r="AC61" s="13" t="str">
        <f>VLOOKUP($G61,'Visu totale'!$D$3:$DT$129,AC$1,0)</f>
        <v>V15</v>
      </c>
      <c r="AD61" s="15" t="str">
        <f>VLOOKUP($G61,'Visu totale'!$D$3:$DT$129,AD$1,0)</f>
        <v>V15</v>
      </c>
      <c r="AE61" s="14">
        <f>VLOOKUP($G61,'Visu totale'!$D$3:$DT$129,AE$1,0)</f>
        <v>18</v>
      </c>
      <c r="AF61" s="13">
        <f>VLOOKUP($G61,'Visu totale'!$D$3:$DT$129,AF$1,0)</f>
        <v>18</v>
      </c>
      <c r="AG61" s="13" t="str">
        <f>VLOOKUP($G61,'Visu totale'!$D$3:$DT$129,AG$1,0)</f>
        <v>CHAMMAL_D</v>
      </c>
      <c r="AH61" s="13" t="str">
        <f>VLOOKUP($G61,'Visu totale'!$D$3:$DT$129,AH$1,0)</f>
        <v>CHAMMAL_D</v>
      </c>
      <c r="AI61" s="13" t="str">
        <f>VLOOKUP($G61,'Visu totale'!$D$3:$DT$129,AI$1,0)</f>
        <v>CHAMMAL_D</v>
      </c>
      <c r="AJ61" s="13" t="str">
        <f>VLOOKUP($G61,'Visu totale'!$D$3:$DT$129,AJ$1,0)</f>
        <v>CHAMMAL_D</v>
      </c>
      <c r="AK61" s="13">
        <f>VLOOKUP($G61,'Visu totale'!$D$3:$DT$129,AK$1,0)</f>
        <v>18</v>
      </c>
      <c r="AL61" s="13">
        <f>VLOOKUP($G61,'Visu totale'!$D$3:$DT$129,AL$1,0)</f>
        <v>18</v>
      </c>
      <c r="AM61" s="13" t="str">
        <f>VLOOKUP($G61,'Visu totale'!$D$3:$DT$129,AM$1,0)</f>
        <v>NDJAMENA_D</v>
      </c>
      <c r="AN61" s="13" t="str">
        <f>VLOOKUP($G61,'Visu totale'!$D$3:$DT$129,AN$1,0)</f>
        <v>NDJAMENA_D</v>
      </c>
      <c r="AO61" s="13" t="str">
        <f>VLOOKUP($G61,'Visu totale'!$D$3:$DT$129,AO$1,0)</f>
        <v>NDJAMENA_D</v>
      </c>
      <c r="AP61" s="15" t="str">
        <f>VLOOKUP($G61,'Visu totale'!$D$3:$DT$129,AP$1,0)</f>
        <v>NDJAMENA_D</v>
      </c>
      <c r="AQ61" s="14">
        <f>VLOOKUP($G61,'Visu totale'!$D$3:$DT$129,AQ$1,0)</f>
        <v>18</v>
      </c>
      <c r="AR61" s="13">
        <f>VLOOKUP($G61,'Visu totale'!$D$3:$DT$129,AR$1,0)</f>
        <v>18</v>
      </c>
      <c r="AS61" s="13" t="str">
        <f>VLOOKUP($G61,'Visu totale'!$D$3:$DT$129,AS$1,0)</f>
        <v>NANCY_D</v>
      </c>
      <c r="AT61" s="13" t="str">
        <f>VLOOKUP($G61,'Visu totale'!$D$3:$DT$129,AT$1,0)</f>
        <v>NANCY_D</v>
      </c>
      <c r="AU61" s="13" t="str">
        <f>VLOOKUP($G61,'Visu totale'!$D$3:$DT$129,AU$1,0)</f>
        <v>NANCY_D</v>
      </c>
      <c r="AV61" s="13" t="str">
        <f>VLOOKUP($G61,'Visu totale'!$D$3:$DT$129,AV$1,0)</f>
        <v>NANCY_D</v>
      </c>
      <c r="AW61" s="13">
        <f>VLOOKUP($G61,'Visu totale'!$D$3:$DT$129,AW$1,0)</f>
        <v>18</v>
      </c>
      <c r="AX61" s="13">
        <f>VLOOKUP($G61,'Visu totale'!$D$3:$DT$129,AX$1,0)</f>
        <v>18</v>
      </c>
      <c r="AY61" s="13">
        <f>VLOOKUP($G61,'Visu totale'!$D$3:$DT$129,AY$1,0)</f>
        <v>18</v>
      </c>
      <c r="AZ61" s="13">
        <f>VLOOKUP($G61,'Visu totale'!$D$3:$DT$129,AZ$1,0)</f>
        <v>18</v>
      </c>
      <c r="BA61" s="13">
        <f>VLOOKUP($G61,'Visu totale'!$D$3:$DT$129,BA$1,0)</f>
        <v>18</v>
      </c>
      <c r="BB61" s="15">
        <f>VLOOKUP($G61,'Visu totale'!$D$3:$DT$129,BB$1,0)</f>
        <v>18</v>
      </c>
      <c r="BC61" s="14">
        <f>VLOOKUP($G61,'Visu totale'!$D$3:$DT$129,BC$1,0)</f>
        <v>18</v>
      </c>
      <c r="BD61" s="13">
        <f>VLOOKUP($G61,'Visu totale'!$D$3:$DT$129,BD$1,0)</f>
        <v>18</v>
      </c>
      <c r="BE61" s="13">
        <f>VLOOKUP($G61,'Visu totale'!$D$3:$DT$129,BE$1,0)</f>
        <v>18</v>
      </c>
      <c r="BF61" s="13">
        <f>VLOOKUP($G61,'Visu totale'!$D$3:$DT$129,BF$1,0)</f>
        <v>18</v>
      </c>
      <c r="BG61" s="13">
        <f>VLOOKUP($G61,'Visu totale'!$D$3:$DT$129,BG$1,0)</f>
        <v>18</v>
      </c>
      <c r="BH61" s="13">
        <f>VLOOKUP($G61,'Visu totale'!$D$3:$DT$129,BH$1,0)</f>
        <v>0</v>
      </c>
      <c r="BI61" s="13">
        <f>VLOOKUP($G61,'Visu totale'!$D$3:$DT$129,BI$1,0)</f>
        <v>0</v>
      </c>
      <c r="BJ61" s="13">
        <f>VLOOKUP($G61,'Visu totale'!$D$3:$DT$129,BJ$1,0)</f>
        <v>0</v>
      </c>
      <c r="BK61" s="13">
        <f>VLOOKUP($G61,'Visu totale'!$D$3:$DT$129,BK$1,0)</f>
        <v>0</v>
      </c>
      <c r="BL61" s="13">
        <f>VLOOKUP($G61,'Visu totale'!$D$3:$DT$129,BL$1,0)</f>
        <v>0</v>
      </c>
      <c r="BM61" s="13">
        <f>VLOOKUP($G61,'Visu totale'!$D$3:$DT$129,BM$1,0)</f>
        <v>0</v>
      </c>
      <c r="BN61" s="15">
        <f>VLOOKUP($G61,'Visu totale'!$D$3:$DT$129,BN$1,0)</f>
        <v>0</v>
      </c>
      <c r="BO61" s="14" t="str">
        <f>VLOOKUP($G61,'Visu totale'!$D$3:$DT$129,BO$1,0)</f>
        <v>NANCY_D</v>
      </c>
      <c r="BP61" s="13">
        <f>VLOOKUP($G61,'Visu totale'!$D$3:$DT$129,BP$1,0)</f>
        <v>18</v>
      </c>
      <c r="BQ61" s="13">
        <f>VLOOKUP($G61,'Visu totale'!$D$3:$DT$129,BQ$1,0)</f>
        <v>18</v>
      </c>
      <c r="BR61" s="13" t="str">
        <f>VLOOKUP($G61,'Visu totale'!$D$3:$DT$129,BR$1,0)</f>
        <v>NANCY_D</v>
      </c>
      <c r="BS61" s="13" t="str">
        <f>VLOOKUP($G61,'Visu totale'!$D$3:$DT$129,BS$1,0)</f>
        <v>NANCY_D</v>
      </c>
      <c r="BT61" s="13" t="str">
        <f>VLOOKUP($G61,'Visu totale'!$D$3:$DT$129,BT$1,0)</f>
        <v>NANCY_D</v>
      </c>
      <c r="BU61" s="13" t="str">
        <f>VLOOKUP($G61,'Visu totale'!$D$3:$DT$129,BU$1,0)</f>
        <v>NANCY_D</v>
      </c>
      <c r="BV61" s="13">
        <f>VLOOKUP($G61,'Visu totale'!$D$3:$DT$129,BV$1,0)</f>
        <v>18</v>
      </c>
      <c r="BW61" s="13">
        <f>VLOOKUP($G61,'Visu totale'!$D$3:$DT$129,BW$1,0)</f>
        <v>18</v>
      </c>
      <c r="BX61" s="13" t="str">
        <f>VLOOKUP($G61,'Visu totale'!$D$3:$DT$129,BX$1,0)</f>
        <v>NANCY_D</v>
      </c>
      <c r="BY61" s="13" t="str">
        <f>VLOOKUP($G61,'Visu totale'!$D$3:$DT$129,BY$1,0)</f>
        <v>NANCY_D</v>
      </c>
      <c r="BZ61" s="15" t="str">
        <f>VLOOKUP($G61,'Visu totale'!$D$3:$DT$129,BZ$1,0)</f>
        <v>NANCY_D</v>
      </c>
      <c r="CA61" s="14" t="str">
        <f>VLOOKUP($G61,'Visu totale'!$D$3:$DT$129,CA$1,0)</f>
        <v>NANCY_D</v>
      </c>
      <c r="CB61" s="13">
        <f>VLOOKUP($G61,'Visu totale'!$D$3:$DT$129,CB$1,0)</f>
        <v>18</v>
      </c>
      <c r="CC61" s="13">
        <f>VLOOKUP($G61,'Visu totale'!$D$3:$DT$129,CC$1,0)</f>
        <v>18</v>
      </c>
      <c r="CD61" s="13" t="str">
        <f>VLOOKUP($G61,'Visu totale'!$D$3:$DT$129,CD$1,0)</f>
        <v>NANCY_D</v>
      </c>
      <c r="CE61" s="13" t="str">
        <f>VLOOKUP($G61,'Visu totale'!$D$3:$DT$129,CE$1,0)</f>
        <v>NANCY_D</v>
      </c>
      <c r="CF61" s="13" t="str">
        <f>VLOOKUP($G61,'Visu totale'!$D$3:$DT$129,CF$1,0)</f>
        <v>NANCY_D</v>
      </c>
      <c r="CG61" s="13" t="str">
        <f>VLOOKUP($G61,'Visu totale'!$D$3:$DT$129,CG$1,0)</f>
        <v>NANCY_D</v>
      </c>
      <c r="CH61" s="13">
        <f>VLOOKUP($G61,'Visu totale'!$D$3:$DT$129,CH$1,0)</f>
        <v>18</v>
      </c>
      <c r="CI61" s="13">
        <f>VLOOKUP($G61,'Visu totale'!$D$3:$DT$129,CI$1,0)</f>
        <v>18</v>
      </c>
      <c r="CJ61" s="13" t="str">
        <f>VLOOKUP($G61,'Visu totale'!$D$3:$DT$129,CJ$1,0)</f>
        <v>NANCY_D</v>
      </c>
      <c r="CK61" s="13" t="str">
        <f>VLOOKUP($G61,'Visu totale'!$D$3:$DT$129,CK$1,0)</f>
        <v>NANCY_D</v>
      </c>
      <c r="CL61" s="15" t="str">
        <f>VLOOKUP($G61,'Visu totale'!$D$3:$DT$129,CL$1,0)</f>
        <v>NANCY_D</v>
      </c>
      <c r="CM61" s="14" t="str">
        <f>VLOOKUP($G61,'Visu totale'!$D$3:$DT$129,CM$1,0)</f>
        <v>NANCY_D</v>
      </c>
      <c r="CN61" s="13">
        <f>VLOOKUP($G61,'Visu totale'!$D$3:$DT$129,CN$1,0)</f>
        <v>18</v>
      </c>
      <c r="CO61" s="13">
        <f>VLOOKUP($G61,'Visu totale'!$D$3:$DT$129,CO$1,0)</f>
        <v>18</v>
      </c>
      <c r="CP61" s="13" t="str">
        <f>VLOOKUP($G61,'Visu totale'!$D$3:$DT$129,CP$1,0)</f>
        <v>NANCY_D</v>
      </c>
      <c r="CQ61" s="13" t="str">
        <f>VLOOKUP($G61,'Visu totale'!$D$3:$DT$129,CQ$1,0)</f>
        <v>NANCY_D</v>
      </c>
      <c r="CR61" s="13" t="str">
        <f>VLOOKUP($G61,'Visu totale'!$D$3:$DT$129,CR$1,0)</f>
        <v>NANCY_D</v>
      </c>
      <c r="CS61" s="13" t="str">
        <f>VLOOKUP($G61,'Visu totale'!$D$3:$DT$129,CS$1,0)</f>
        <v>NANCY_D</v>
      </c>
      <c r="CT61" s="13">
        <f>VLOOKUP($G61,'Visu totale'!$D$3:$DT$129,CT$1,0)</f>
        <v>18</v>
      </c>
      <c r="CU61" s="13">
        <f>VLOOKUP($G61,'Visu totale'!$D$3:$DT$129,CU$1,0)</f>
        <v>18</v>
      </c>
      <c r="CV61" s="13">
        <f>VLOOKUP($G61,'Visu totale'!$D$3:$DT$129,CV$1,0)</f>
        <v>18</v>
      </c>
      <c r="CW61" s="13">
        <f>VLOOKUP($G61,'Visu totale'!$D$3:$DT$129,CW$1,0)</f>
        <v>18</v>
      </c>
      <c r="CX61" s="15">
        <f>VLOOKUP($G61,'Visu totale'!$D$3:$DT$129,CX$1,0)</f>
        <v>18</v>
      </c>
      <c r="CY61" s="14">
        <f>VLOOKUP($G61,'Visu totale'!$D$3:$DT$129,CY$1,0)</f>
        <v>0</v>
      </c>
      <c r="CZ61" s="13">
        <f>VLOOKUP($G61,'Visu totale'!$D$3:$DT$129,CZ$1,0)</f>
        <v>0</v>
      </c>
      <c r="DA61" s="13">
        <f>VLOOKUP($G61,'Visu totale'!$D$3:$DT$129,DA$1,0)</f>
        <v>0</v>
      </c>
      <c r="DB61" s="13">
        <f>VLOOKUP($G61,'Visu totale'!$D$3:$DT$129,DB$1,0)</f>
        <v>0</v>
      </c>
      <c r="DC61" s="13">
        <f>VLOOKUP($G61,'Visu totale'!$D$3:$DT$129,DC$1,0)</f>
        <v>0</v>
      </c>
      <c r="DD61" s="13">
        <f>VLOOKUP($G61,'Visu totale'!$D$3:$DT$129,DD$1,0)</f>
        <v>0</v>
      </c>
      <c r="DE61" s="13">
        <f>VLOOKUP($G61,'Visu totale'!$D$3:$DT$129,DE$1,0)</f>
        <v>0</v>
      </c>
      <c r="DF61" s="13">
        <f>VLOOKUP($G61,'Visu totale'!$D$3:$DT$129,DF$1,0)</f>
        <v>0</v>
      </c>
      <c r="DG61" s="13">
        <f>VLOOKUP($G61,'Visu totale'!$D$3:$DT$129,DG$1,0)</f>
        <v>0</v>
      </c>
      <c r="DH61" s="13">
        <f>VLOOKUP($G61,'Visu totale'!$D$3:$DT$129,DH$1,0)</f>
        <v>0</v>
      </c>
      <c r="DI61" s="13">
        <f>VLOOKUP($G61,'Visu totale'!$D$3:$DT$129,DI$1,0)</f>
        <v>0</v>
      </c>
      <c r="DJ61" s="15">
        <f>VLOOKUP($G61,'Visu totale'!$D$3:$DT$129,DJ$1,0)</f>
        <v>0</v>
      </c>
      <c r="DK61" s="14">
        <f>VLOOKUP($G61,'Visu totale'!$D$3:$DT$129,DK$1,0)</f>
        <v>0</v>
      </c>
      <c r="DL61" s="13">
        <f>VLOOKUP($G61,'Visu totale'!$D$3:$DT$129,DL$1,0)</f>
        <v>0</v>
      </c>
      <c r="DM61" s="13">
        <f>VLOOKUP($G61,'Visu totale'!$D$3:$DT$129,DM$1,0)</f>
        <v>0</v>
      </c>
      <c r="DN61" s="13">
        <f>VLOOKUP($G61,'Visu totale'!$D$3:$DT$129,DN$1,0)</f>
        <v>0</v>
      </c>
      <c r="DO61" s="13">
        <f>VLOOKUP($G61,'Visu totale'!$D$3:$DT$129,DO$1,0)</f>
        <v>0</v>
      </c>
      <c r="DP61" s="13">
        <f>VLOOKUP($G61,'Visu totale'!$D$3:$DT$129,DP$1,0)</f>
        <v>0</v>
      </c>
      <c r="DQ61" s="13">
        <f>VLOOKUP($G61,'Visu totale'!$D$3:$DT$129,DQ$1,0)</f>
        <v>0</v>
      </c>
      <c r="DR61" s="13">
        <f>VLOOKUP($G61,'Visu totale'!$D$3:$DT$129,DR$1,0)</f>
        <v>0</v>
      </c>
      <c r="DS61" s="13">
        <f>VLOOKUP($G61,'Visu totale'!$D$3:$DT$129,DS$1,0)</f>
        <v>0</v>
      </c>
      <c r="DT61" s="13">
        <f>VLOOKUP($G61,'Visu totale'!$D$3:$DT$129,DT$1,0)</f>
        <v>0</v>
      </c>
      <c r="DU61" s="13">
        <f>VLOOKUP($G61,'Visu totale'!$D$3:$DT$129,DU$1,0)</f>
        <v>0</v>
      </c>
      <c r="DV61" s="15">
        <f>VLOOKUP($G61,'Visu totale'!$D$3:$DT$129,DV$1,0)</f>
        <v>0</v>
      </c>
    </row>
    <row r="62" spans="1:126" x14ac:dyDescent="0.25">
      <c r="A62" s="13"/>
      <c r="B62" s="13"/>
      <c r="C62" s="13"/>
      <c r="D62" s="16"/>
      <c r="E62" s="14"/>
      <c r="F62" s="13"/>
      <c r="G62" s="17" t="s">
        <v>64</v>
      </c>
      <c r="H62" s="13">
        <f>VLOOKUP($G62,'Visu totale'!$D$3:$DT$129,H$1,0)</f>
        <v>18</v>
      </c>
      <c r="I62" s="13" t="str">
        <f>VLOOKUP($G62,'Visu totale'!$D$3:$DT$129,I$1,0)</f>
        <v>NANCY_D</v>
      </c>
      <c r="J62" s="13" t="str">
        <f>VLOOKUP($G62,'Visu totale'!$D$3:$DT$129,J$1,0)</f>
        <v>NANCY_D</v>
      </c>
      <c r="K62" s="13" t="str">
        <f>VLOOKUP($G62,'Visu totale'!$D$3:$DT$129,K$1,0)</f>
        <v>NANCY_D</v>
      </c>
      <c r="L62" s="13" t="str">
        <f>VLOOKUP($G62,'Visu totale'!$D$3:$DT$129,L$1,0)</f>
        <v>NANCY_D</v>
      </c>
      <c r="M62" s="13">
        <f>VLOOKUP($G62,'Visu totale'!$D$3:$DT$129,M$1,0)</f>
        <v>18</v>
      </c>
      <c r="N62" s="13">
        <f>VLOOKUP($G62,'Visu totale'!$D$3:$DT$129,N$1,0)</f>
        <v>18</v>
      </c>
      <c r="O62" s="13" t="str">
        <f>VLOOKUP($G62,'Visu totale'!$D$3:$DT$129,O$1,0)</f>
        <v>NANCY_D</v>
      </c>
      <c r="P62" s="13" t="str">
        <f>VLOOKUP($G62,'Visu totale'!$D$3:$DT$129,P$1,0)</f>
        <v>NANCY_D</v>
      </c>
      <c r="Q62" s="13" t="str">
        <f>VLOOKUP($G62,'Visu totale'!$D$3:$DT$129,Q$1,0)</f>
        <v>NANCY_D</v>
      </c>
      <c r="R62" s="15" t="str">
        <f>VLOOKUP($G62,'Visu totale'!$D$3:$DT$129,R$1,0)</f>
        <v>NANCY_D</v>
      </c>
      <c r="S62" s="14">
        <f>VLOOKUP($G62,'Visu totale'!$D$3:$DT$129,S$1,0)</f>
        <v>18</v>
      </c>
      <c r="T62" s="13" t="str">
        <f>VLOOKUP($G62,'Visu totale'!$D$3:$DT$129,T$1,0)</f>
        <v>V15</v>
      </c>
      <c r="U62" s="13" t="str">
        <f>VLOOKUP($G62,'Visu totale'!$D$3:$DT$129,U$1,0)</f>
        <v>V15</v>
      </c>
      <c r="V62" s="13" t="str">
        <f>VLOOKUP($G62,'Visu totale'!$D$3:$DT$129,V$1,0)</f>
        <v>V15</v>
      </c>
      <c r="W62" s="13" t="str">
        <f>VLOOKUP($G62,'Visu totale'!$D$3:$DT$129,W$1,0)</f>
        <v>V15</v>
      </c>
      <c r="X62" s="13" t="str">
        <f>VLOOKUP($G62,'Visu totale'!$D$3:$DT$129,X$1,0)</f>
        <v>V15</v>
      </c>
      <c r="Y62" s="13" t="str">
        <f>VLOOKUP($G62,'Visu totale'!$D$3:$DT$129,Y$1,0)</f>
        <v>V15</v>
      </c>
      <c r="Z62" s="13" t="str">
        <f>VLOOKUP($G62,'Visu totale'!$D$3:$DT$129,Z$1,0)</f>
        <v>V15</v>
      </c>
      <c r="AA62" s="13" t="str">
        <f>VLOOKUP($G62,'Visu totale'!$D$3:$DT$129,AA$1,0)</f>
        <v>V15</v>
      </c>
      <c r="AB62" s="13" t="str">
        <f>VLOOKUP($G62,'Visu totale'!$D$3:$DT$129,AB$1,0)</f>
        <v>V15</v>
      </c>
      <c r="AC62" s="13" t="str">
        <f>VLOOKUP($G62,'Visu totale'!$D$3:$DT$129,AC$1,0)</f>
        <v>V15</v>
      </c>
      <c r="AD62" s="15" t="str">
        <f>VLOOKUP($G62,'Visu totale'!$D$3:$DT$129,AD$1,0)</f>
        <v>V15</v>
      </c>
      <c r="AE62" s="14" t="str">
        <f>VLOOKUP($G62,'Visu totale'!$D$3:$DT$129,AE$1,0)</f>
        <v>V15</v>
      </c>
      <c r="AF62" s="13">
        <f>VLOOKUP($G62,'Visu totale'!$D$3:$DT$129,AF$1,0)</f>
        <v>18</v>
      </c>
      <c r="AG62" s="13">
        <f>VLOOKUP($G62,'Visu totale'!$D$3:$DT$129,AG$1,0)</f>
        <v>18</v>
      </c>
      <c r="AH62" s="13" t="str">
        <f>VLOOKUP($G62,'Visu totale'!$D$3:$DT$129,AH$1,0)</f>
        <v>CHAMMAL_D</v>
      </c>
      <c r="AI62" s="13" t="str">
        <f>VLOOKUP($G62,'Visu totale'!$D$3:$DT$129,AI$1,0)</f>
        <v>CHAMMAL_D</v>
      </c>
      <c r="AJ62" s="13" t="str">
        <f>VLOOKUP($G62,'Visu totale'!$D$3:$DT$129,AJ$1,0)</f>
        <v>CHAMMAL_D</v>
      </c>
      <c r="AK62" s="13">
        <f>VLOOKUP($G62,'Visu totale'!$D$3:$DT$129,AK$1,0)</f>
        <v>18</v>
      </c>
      <c r="AL62" s="13">
        <f>VLOOKUP($G62,'Visu totale'!$D$3:$DT$129,AL$1,0)</f>
        <v>18</v>
      </c>
      <c r="AM62" s="13" t="str">
        <f>VLOOKUP($G62,'Visu totale'!$D$3:$DT$129,AM$1,0)</f>
        <v>CHAMMAL_D</v>
      </c>
      <c r="AN62" s="13" t="str">
        <f>VLOOKUP($G62,'Visu totale'!$D$3:$DT$129,AN$1,0)</f>
        <v>CHAMMAL_D</v>
      </c>
      <c r="AO62" s="13" t="str">
        <f>VLOOKUP($G62,'Visu totale'!$D$3:$DT$129,AO$1,0)</f>
        <v>CHAMMAL_D</v>
      </c>
      <c r="AP62" s="15" t="str">
        <f>VLOOKUP($G62,'Visu totale'!$D$3:$DT$129,AP$1,0)</f>
        <v>CHAMMAL_D</v>
      </c>
      <c r="AQ62" s="14">
        <f>VLOOKUP($G62,'Visu totale'!$D$3:$DT$129,AQ$1,0)</f>
        <v>18</v>
      </c>
      <c r="AR62" s="13">
        <f>VLOOKUP($G62,'Visu totale'!$D$3:$DT$129,AR$1,0)</f>
        <v>18</v>
      </c>
      <c r="AS62" s="13" t="str">
        <f>VLOOKUP($G62,'Visu totale'!$D$3:$DT$129,AS$1,0)</f>
        <v>NANCY_D</v>
      </c>
      <c r="AT62" s="13" t="str">
        <f>VLOOKUP($G62,'Visu totale'!$D$3:$DT$129,AT$1,0)</f>
        <v>NANCY_D</v>
      </c>
      <c r="AU62" s="13" t="str">
        <f>VLOOKUP($G62,'Visu totale'!$D$3:$DT$129,AU$1,0)</f>
        <v>NANCY_D</v>
      </c>
      <c r="AV62" s="13" t="str">
        <f>VLOOKUP($G62,'Visu totale'!$D$3:$DT$129,AV$1,0)</f>
        <v>NANCY_D</v>
      </c>
      <c r="AW62" s="13">
        <f>VLOOKUP($G62,'Visu totale'!$D$3:$DT$129,AW$1,0)</f>
        <v>18</v>
      </c>
      <c r="AX62" s="13">
        <f>VLOOKUP($G62,'Visu totale'!$D$3:$DT$129,AX$1,0)</f>
        <v>18</v>
      </c>
      <c r="AY62" s="13" t="str">
        <f>VLOOKUP($G62,'Visu totale'!$D$3:$DT$129,AY$1,0)</f>
        <v>NANCY_D</v>
      </c>
      <c r="AZ62" s="13" t="str">
        <f>VLOOKUP($G62,'Visu totale'!$D$3:$DT$129,AZ$1,0)</f>
        <v>NANCY_D</v>
      </c>
      <c r="BA62" s="13" t="str">
        <f>VLOOKUP($G62,'Visu totale'!$D$3:$DT$129,BA$1,0)</f>
        <v>NANCY_D</v>
      </c>
      <c r="BB62" s="15" t="str">
        <f>VLOOKUP($G62,'Visu totale'!$D$3:$DT$129,BB$1,0)</f>
        <v>NANCY_D</v>
      </c>
      <c r="BC62" s="14">
        <f>VLOOKUP($G62,'Visu totale'!$D$3:$DT$129,BC$1,0)</f>
        <v>18</v>
      </c>
      <c r="BD62" s="13">
        <f>VLOOKUP($G62,'Visu totale'!$D$3:$DT$129,BD$1,0)</f>
        <v>18</v>
      </c>
      <c r="BE62" s="13">
        <f>VLOOKUP($G62,'Visu totale'!$D$3:$DT$129,BE$1,0)</f>
        <v>18</v>
      </c>
      <c r="BF62" s="13">
        <f>VLOOKUP($G62,'Visu totale'!$D$3:$DT$129,BF$1,0)</f>
        <v>18</v>
      </c>
      <c r="BG62" s="13">
        <f>VLOOKUP($G62,'Visu totale'!$D$3:$DT$129,BG$1,0)</f>
        <v>18</v>
      </c>
      <c r="BH62" s="13">
        <f>VLOOKUP($G62,'Visu totale'!$D$3:$DT$129,BH$1,0)</f>
        <v>18</v>
      </c>
      <c r="BI62" s="13">
        <f>VLOOKUP($G62,'Visu totale'!$D$3:$DT$129,BI$1,0)</f>
        <v>18</v>
      </c>
      <c r="BJ62" s="13">
        <f>VLOOKUP($G62,'Visu totale'!$D$3:$DT$129,BJ$1,0)</f>
        <v>18</v>
      </c>
      <c r="BK62" s="13">
        <f>VLOOKUP($G62,'Visu totale'!$D$3:$DT$129,BK$1,0)</f>
        <v>18</v>
      </c>
      <c r="BL62" s="13">
        <f>VLOOKUP($G62,'Visu totale'!$D$3:$DT$129,BL$1,0)</f>
        <v>0</v>
      </c>
      <c r="BM62" s="13">
        <f>VLOOKUP($G62,'Visu totale'!$D$3:$DT$129,BM$1,0)</f>
        <v>0</v>
      </c>
      <c r="BN62" s="15">
        <f>VLOOKUP($G62,'Visu totale'!$D$3:$DT$129,BN$1,0)</f>
        <v>0</v>
      </c>
      <c r="BO62" s="14">
        <f>VLOOKUP($G62,'Visu totale'!$D$3:$DT$129,BO$1,0)</f>
        <v>18</v>
      </c>
      <c r="BP62" s="13">
        <f>VLOOKUP($G62,'Visu totale'!$D$3:$DT$129,BP$1,0)</f>
        <v>18</v>
      </c>
      <c r="BQ62" s="13" t="str">
        <f>VLOOKUP($G62,'Visu totale'!$D$3:$DT$129,BQ$1,0)</f>
        <v>NANCY_D</v>
      </c>
      <c r="BR62" s="13" t="str">
        <f>VLOOKUP($G62,'Visu totale'!$D$3:$DT$129,BR$1,0)</f>
        <v>NANCY_D</v>
      </c>
      <c r="BS62" s="13" t="str">
        <f>VLOOKUP($G62,'Visu totale'!$D$3:$DT$129,BS$1,0)</f>
        <v>NANCY_D</v>
      </c>
      <c r="BT62" s="13" t="str">
        <f>VLOOKUP($G62,'Visu totale'!$D$3:$DT$129,BT$1,0)</f>
        <v>NANCY_D</v>
      </c>
      <c r="BU62" s="13">
        <f>VLOOKUP($G62,'Visu totale'!$D$3:$DT$129,BU$1,0)</f>
        <v>18</v>
      </c>
      <c r="BV62" s="13">
        <f>VLOOKUP($G62,'Visu totale'!$D$3:$DT$129,BV$1,0)</f>
        <v>18</v>
      </c>
      <c r="BW62" s="13" t="str">
        <f>VLOOKUP($G62,'Visu totale'!$D$3:$DT$129,BW$1,0)</f>
        <v>NANCY_D</v>
      </c>
      <c r="BX62" s="13" t="str">
        <f>VLOOKUP($G62,'Visu totale'!$D$3:$DT$129,BX$1,0)</f>
        <v>NANCY_D</v>
      </c>
      <c r="BY62" s="13" t="str">
        <f>VLOOKUP($G62,'Visu totale'!$D$3:$DT$129,BY$1,0)</f>
        <v>NANCY_D</v>
      </c>
      <c r="BZ62" s="15" t="str">
        <f>VLOOKUP($G62,'Visu totale'!$D$3:$DT$129,BZ$1,0)</f>
        <v>NANCY_D</v>
      </c>
      <c r="CA62" s="14">
        <f>VLOOKUP($G62,'Visu totale'!$D$3:$DT$129,CA$1,0)</f>
        <v>18</v>
      </c>
      <c r="CB62" s="13">
        <f>VLOOKUP($G62,'Visu totale'!$D$3:$DT$129,CB$1,0)</f>
        <v>18</v>
      </c>
      <c r="CC62" s="13" t="str">
        <f>VLOOKUP($G62,'Visu totale'!$D$3:$DT$129,CC$1,0)</f>
        <v>NANCY_D</v>
      </c>
      <c r="CD62" s="13" t="str">
        <f>VLOOKUP($G62,'Visu totale'!$D$3:$DT$129,CD$1,0)</f>
        <v>NANCY_D</v>
      </c>
      <c r="CE62" s="13" t="str">
        <f>VLOOKUP($G62,'Visu totale'!$D$3:$DT$129,CE$1,0)</f>
        <v>NANCY_D</v>
      </c>
      <c r="CF62" s="13" t="str">
        <f>VLOOKUP($G62,'Visu totale'!$D$3:$DT$129,CF$1,0)</f>
        <v>NANCY_D</v>
      </c>
      <c r="CG62" s="13">
        <f>VLOOKUP($G62,'Visu totale'!$D$3:$DT$129,CG$1,0)</f>
        <v>18</v>
      </c>
      <c r="CH62" s="13">
        <f>VLOOKUP($G62,'Visu totale'!$D$3:$DT$129,CH$1,0)</f>
        <v>18</v>
      </c>
      <c r="CI62" s="13" t="str">
        <f>VLOOKUP($G62,'Visu totale'!$D$3:$DT$129,CI$1,0)</f>
        <v>NANCY_D</v>
      </c>
      <c r="CJ62" s="13" t="str">
        <f>VLOOKUP($G62,'Visu totale'!$D$3:$DT$129,CJ$1,0)</f>
        <v>NANCY_D</v>
      </c>
      <c r="CK62" s="13" t="str">
        <f>VLOOKUP($G62,'Visu totale'!$D$3:$DT$129,CK$1,0)</f>
        <v>NANCY_D</v>
      </c>
      <c r="CL62" s="15" t="str">
        <f>VLOOKUP($G62,'Visu totale'!$D$3:$DT$129,CL$1,0)</f>
        <v>NANCY_D</v>
      </c>
      <c r="CM62" s="14">
        <f>VLOOKUP($G62,'Visu totale'!$D$3:$DT$129,CM$1,0)</f>
        <v>18</v>
      </c>
      <c r="CN62" s="13">
        <f>VLOOKUP($G62,'Visu totale'!$D$3:$DT$129,CN$1,0)</f>
        <v>18</v>
      </c>
      <c r="CO62" s="13" t="str">
        <f>VLOOKUP($G62,'Visu totale'!$D$3:$DT$129,CO$1,0)</f>
        <v>NANCY_D</v>
      </c>
      <c r="CP62" s="13" t="str">
        <f>VLOOKUP($G62,'Visu totale'!$D$3:$DT$129,CP$1,0)</f>
        <v>NANCY_D</v>
      </c>
      <c r="CQ62" s="13" t="str">
        <f>VLOOKUP($G62,'Visu totale'!$D$3:$DT$129,CQ$1,0)</f>
        <v>NANCY_D</v>
      </c>
      <c r="CR62" s="13" t="str">
        <f>VLOOKUP($G62,'Visu totale'!$D$3:$DT$129,CR$1,0)</f>
        <v>NANCY_D</v>
      </c>
      <c r="CS62" s="13">
        <f>VLOOKUP($G62,'Visu totale'!$D$3:$DT$129,CS$1,0)</f>
        <v>18</v>
      </c>
      <c r="CT62" s="13">
        <f>VLOOKUP($G62,'Visu totale'!$D$3:$DT$129,CT$1,0)</f>
        <v>18</v>
      </c>
      <c r="CU62" s="13">
        <f>VLOOKUP($G62,'Visu totale'!$D$3:$DT$129,CU$1,0)</f>
        <v>18</v>
      </c>
      <c r="CV62" s="13">
        <f>VLOOKUP($G62,'Visu totale'!$D$3:$DT$129,CV$1,0)</f>
        <v>18</v>
      </c>
      <c r="CW62" s="13">
        <f>VLOOKUP($G62,'Visu totale'!$D$3:$DT$129,CW$1,0)</f>
        <v>18</v>
      </c>
      <c r="CX62" s="15">
        <f>VLOOKUP($G62,'Visu totale'!$D$3:$DT$129,CX$1,0)</f>
        <v>18</v>
      </c>
      <c r="CY62" s="14">
        <f>VLOOKUP($G62,'Visu totale'!$D$3:$DT$129,CY$1,0)</f>
        <v>0</v>
      </c>
      <c r="CZ62" s="13">
        <f>VLOOKUP($G62,'Visu totale'!$D$3:$DT$129,CZ$1,0)</f>
        <v>0</v>
      </c>
      <c r="DA62" s="13">
        <f>VLOOKUP($G62,'Visu totale'!$D$3:$DT$129,DA$1,0)</f>
        <v>0</v>
      </c>
      <c r="DB62" s="13">
        <f>VLOOKUP($G62,'Visu totale'!$D$3:$DT$129,DB$1,0)</f>
        <v>0</v>
      </c>
      <c r="DC62" s="13">
        <f>VLOOKUP($G62,'Visu totale'!$D$3:$DT$129,DC$1,0)</f>
        <v>0</v>
      </c>
      <c r="DD62" s="13">
        <f>VLOOKUP($G62,'Visu totale'!$D$3:$DT$129,DD$1,0)</f>
        <v>0</v>
      </c>
      <c r="DE62" s="13">
        <f>VLOOKUP($G62,'Visu totale'!$D$3:$DT$129,DE$1,0)</f>
        <v>0</v>
      </c>
      <c r="DF62" s="13">
        <f>VLOOKUP($G62,'Visu totale'!$D$3:$DT$129,DF$1,0)</f>
        <v>0</v>
      </c>
      <c r="DG62" s="13">
        <f>VLOOKUP($G62,'Visu totale'!$D$3:$DT$129,DG$1,0)</f>
        <v>0</v>
      </c>
      <c r="DH62" s="13">
        <f>VLOOKUP($G62,'Visu totale'!$D$3:$DT$129,DH$1,0)</f>
        <v>0</v>
      </c>
      <c r="DI62" s="13">
        <f>VLOOKUP($G62,'Visu totale'!$D$3:$DT$129,DI$1,0)</f>
        <v>0</v>
      </c>
      <c r="DJ62" s="15">
        <f>VLOOKUP($G62,'Visu totale'!$D$3:$DT$129,DJ$1,0)</f>
        <v>0</v>
      </c>
      <c r="DK62" s="14">
        <f>VLOOKUP($G62,'Visu totale'!$D$3:$DT$129,DK$1,0)</f>
        <v>0</v>
      </c>
      <c r="DL62" s="13">
        <f>VLOOKUP($G62,'Visu totale'!$D$3:$DT$129,DL$1,0)</f>
        <v>0</v>
      </c>
      <c r="DM62" s="13">
        <f>VLOOKUP($G62,'Visu totale'!$D$3:$DT$129,DM$1,0)</f>
        <v>0</v>
      </c>
      <c r="DN62" s="13">
        <f>VLOOKUP($G62,'Visu totale'!$D$3:$DT$129,DN$1,0)</f>
        <v>0</v>
      </c>
      <c r="DO62" s="13">
        <f>VLOOKUP($G62,'Visu totale'!$D$3:$DT$129,DO$1,0)</f>
        <v>0</v>
      </c>
      <c r="DP62" s="13">
        <f>VLOOKUP($G62,'Visu totale'!$D$3:$DT$129,DP$1,0)</f>
        <v>0</v>
      </c>
      <c r="DQ62" s="13">
        <f>VLOOKUP($G62,'Visu totale'!$D$3:$DT$129,DQ$1,0)</f>
        <v>0</v>
      </c>
      <c r="DR62" s="13">
        <f>VLOOKUP($G62,'Visu totale'!$D$3:$DT$129,DR$1,0)</f>
        <v>0</v>
      </c>
      <c r="DS62" s="13">
        <f>VLOOKUP($G62,'Visu totale'!$D$3:$DT$129,DS$1,0)</f>
        <v>0</v>
      </c>
      <c r="DT62" s="13">
        <f>VLOOKUP($G62,'Visu totale'!$D$3:$DT$129,DT$1,0)</f>
        <v>0</v>
      </c>
      <c r="DU62" s="13">
        <f>VLOOKUP($G62,'Visu totale'!$D$3:$DT$129,DU$1,0)</f>
        <v>0</v>
      </c>
      <c r="DV62" s="15">
        <f>VLOOKUP($G62,'Visu totale'!$D$3:$DT$129,DV$1,0)</f>
        <v>0</v>
      </c>
    </row>
    <row r="63" spans="1:126" x14ac:dyDescent="0.25">
      <c r="A63" s="13"/>
      <c r="B63" s="13"/>
      <c r="C63" s="13"/>
      <c r="D63" s="16"/>
      <c r="E63" s="14"/>
      <c r="F63" s="13"/>
      <c r="G63" s="17" t="s">
        <v>65</v>
      </c>
      <c r="H63" s="13">
        <f>VLOOKUP($G63,'Visu totale'!$D$3:$DT$129,H$1,0)</f>
        <v>18</v>
      </c>
      <c r="I63" s="13">
        <f>VLOOKUP($G63,'Visu totale'!$D$3:$DT$129,I$1,0)</f>
        <v>18</v>
      </c>
      <c r="J63" s="13">
        <f>VLOOKUP($G63,'Visu totale'!$D$3:$DT$129,J$1,0)</f>
        <v>18</v>
      </c>
      <c r="K63" s="13">
        <f>VLOOKUP($G63,'Visu totale'!$D$3:$DT$129,K$1,0)</f>
        <v>18</v>
      </c>
      <c r="L63" s="13">
        <f>VLOOKUP($G63,'Visu totale'!$D$3:$DT$129,L$1,0)</f>
        <v>18</v>
      </c>
      <c r="M63" s="13">
        <f>VLOOKUP($G63,'Visu totale'!$D$3:$DT$129,M$1,0)</f>
        <v>18</v>
      </c>
      <c r="N63" s="13">
        <f>VLOOKUP($G63,'Visu totale'!$D$3:$DT$129,N$1,0)</f>
        <v>18</v>
      </c>
      <c r="O63" s="13">
        <f>VLOOKUP($G63,'Visu totale'!$D$3:$DT$129,O$1,0)</f>
        <v>18</v>
      </c>
      <c r="P63" s="13" t="str">
        <f>VLOOKUP($G63,'Visu totale'!$D$3:$DT$129,P$1,0)</f>
        <v>V10</v>
      </c>
      <c r="Q63" s="13" t="str">
        <f>VLOOKUP($G63,'Visu totale'!$D$3:$DT$129,Q$1,0)</f>
        <v>V10</v>
      </c>
      <c r="R63" s="15" t="str">
        <f>VLOOKUP($G63,'Visu totale'!$D$3:$DT$129,R$1,0)</f>
        <v>V10</v>
      </c>
      <c r="S63" s="14" t="str">
        <f>VLOOKUP($G63,'Visu totale'!$D$3:$DT$129,S$1,0)</f>
        <v>V10</v>
      </c>
      <c r="T63" s="13" t="str">
        <f>VLOOKUP($G63,'Visu totale'!$D$3:$DT$129,T$1,0)</f>
        <v>V10</v>
      </c>
      <c r="U63" s="13" t="str">
        <f>VLOOKUP($G63,'Visu totale'!$D$3:$DT$129,U$1,0)</f>
        <v>V10</v>
      </c>
      <c r="V63" s="13" t="str">
        <f>VLOOKUP($G63,'Visu totale'!$D$3:$DT$129,V$1,0)</f>
        <v>V10</v>
      </c>
      <c r="W63" s="13" t="str">
        <f>VLOOKUP($G63,'Visu totale'!$D$3:$DT$129,W$1,0)</f>
        <v>V10</v>
      </c>
      <c r="X63" s="13" t="str">
        <f>VLOOKUP($G63,'Visu totale'!$D$3:$DT$129,X$1,0)</f>
        <v>V10</v>
      </c>
      <c r="Y63" s="13" t="str">
        <f>VLOOKUP($G63,'Visu totale'!$D$3:$DT$129,Y$1,0)</f>
        <v>V10</v>
      </c>
      <c r="Z63" s="13" t="str">
        <f>VLOOKUP($G63,'Visu totale'!$D$3:$DT$129,Z$1,0)</f>
        <v>V10</v>
      </c>
      <c r="AA63" s="13" t="str">
        <f>VLOOKUP($G63,'Visu totale'!$D$3:$DT$129,AA$1,0)</f>
        <v>V10</v>
      </c>
      <c r="AB63" s="13">
        <f>VLOOKUP($G63,'Visu totale'!$D$3:$DT$129,AB$1,0)</f>
        <v>18</v>
      </c>
      <c r="AC63" s="13">
        <f>VLOOKUP($G63,'Visu totale'!$D$3:$DT$129,AC$1,0)</f>
        <v>18</v>
      </c>
      <c r="AD63" s="15" t="str">
        <f>VLOOKUP($G63,'Visu totale'!$D$3:$DT$129,AD$1,0)</f>
        <v>NANCY_D</v>
      </c>
      <c r="AE63" s="14" t="str">
        <f>VLOOKUP($G63,'Visu totale'!$D$3:$DT$129,AE$1,0)</f>
        <v>NANCY_D</v>
      </c>
      <c r="AF63" s="13" t="str">
        <f>VLOOKUP($G63,'Visu totale'!$D$3:$DT$129,AF$1,0)</f>
        <v>NANCY_D</v>
      </c>
      <c r="AG63" s="13" t="str">
        <f>VLOOKUP($G63,'Visu totale'!$D$3:$DT$129,AG$1,0)</f>
        <v>NANCY_D</v>
      </c>
      <c r="AH63" s="13">
        <f>VLOOKUP($G63,'Visu totale'!$D$3:$DT$129,AH$1,0)</f>
        <v>18</v>
      </c>
      <c r="AI63" s="13">
        <f>VLOOKUP($G63,'Visu totale'!$D$3:$DT$129,AI$1,0)</f>
        <v>18</v>
      </c>
      <c r="AJ63" s="13" t="str">
        <f>VLOOKUP($G63,'Visu totale'!$D$3:$DT$129,AJ$1,0)</f>
        <v>NANCY_D</v>
      </c>
      <c r="AK63" s="13">
        <f>VLOOKUP($G63,'Visu totale'!$D$3:$DT$129,AK$1,0)</f>
        <v>18</v>
      </c>
      <c r="AL63" s="13">
        <f>VLOOKUP($G63,'Visu totale'!$D$3:$DT$129,AL$1,0)</f>
        <v>18</v>
      </c>
      <c r="AM63" s="13" t="str">
        <f>VLOOKUP($G63,'Visu totale'!$D$3:$DT$129,AM$1,0)</f>
        <v>CHAMMAL_D</v>
      </c>
      <c r="AN63" s="13" t="str">
        <f>VLOOKUP($G63,'Visu totale'!$D$3:$DT$129,AN$1,0)</f>
        <v>CHAMMAL_D</v>
      </c>
      <c r="AO63" s="13" t="str">
        <f>VLOOKUP($G63,'Visu totale'!$D$3:$DT$129,AO$1,0)</f>
        <v>CHAMMAL_D</v>
      </c>
      <c r="AP63" s="15" t="str">
        <f>VLOOKUP($G63,'Visu totale'!$D$3:$DT$129,AP$1,0)</f>
        <v>CHAMMAL_D</v>
      </c>
      <c r="AQ63" s="14">
        <f>VLOOKUP($G63,'Visu totale'!$D$3:$DT$129,AQ$1,0)</f>
        <v>18</v>
      </c>
      <c r="AR63" s="13">
        <f>VLOOKUP($G63,'Visu totale'!$D$3:$DT$129,AR$1,0)</f>
        <v>18</v>
      </c>
      <c r="AS63" s="13" t="str">
        <f>VLOOKUP($G63,'Visu totale'!$D$3:$DT$129,AS$1,0)</f>
        <v>CHAMMAL_D</v>
      </c>
      <c r="AT63" s="13" t="str">
        <f>VLOOKUP($G63,'Visu totale'!$D$3:$DT$129,AT$1,0)</f>
        <v>CHAMMAL_D</v>
      </c>
      <c r="AU63" s="13" t="str">
        <f>VLOOKUP($G63,'Visu totale'!$D$3:$DT$129,AU$1,0)</f>
        <v>CHAMMAL_D</v>
      </c>
      <c r="AV63" s="13" t="str">
        <f>VLOOKUP($G63,'Visu totale'!$D$3:$DT$129,AV$1,0)</f>
        <v>CHAMMAL_D</v>
      </c>
      <c r="AW63" s="13">
        <f>VLOOKUP($G63,'Visu totale'!$D$3:$DT$129,AW$1,0)</f>
        <v>18</v>
      </c>
      <c r="AX63" s="13">
        <f>VLOOKUP($G63,'Visu totale'!$D$3:$DT$129,AX$1,0)</f>
        <v>18</v>
      </c>
      <c r="AY63" s="13">
        <f>VLOOKUP($G63,'Visu totale'!$D$3:$DT$129,AY$1,0)</f>
        <v>18</v>
      </c>
      <c r="AZ63" s="13">
        <f>VLOOKUP($G63,'Visu totale'!$D$3:$DT$129,AZ$1,0)</f>
        <v>18</v>
      </c>
      <c r="BA63" s="13">
        <f>VLOOKUP($G63,'Visu totale'!$D$3:$DT$129,BA$1,0)</f>
        <v>18</v>
      </c>
      <c r="BB63" s="15">
        <f>VLOOKUP($G63,'Visu totale'!$D$3:$DT$129,BB$1,0)</f>
        <v>18</v>
      </c>
      <c r="BC63" s="14">
        <f>VLOOKUP($G63,'Visu totale'!$D$3:$DT$129,BC$1,0)</f>
        <v>18</v>
      </c>
      <c r="BD63" s="13">
        <f>VLOOKUP($G63,'Visu totale'!$D$3:$DT$129,BD$1,0)</f>
        <v>0</v>
      </c>
      <c r="BE63" s="13">
        <f>VLOOKUP($G63,'Visu totale'!$D$3:$DT$129,BE$1,0)</f>
        <v>0</v>
      </c>
      <c r="BF63" s="13">
        <f>VLOOKUP($G63,'Visu totale'!$D$3:$DT$129,BF$1,0)</f>
        <v>0</v>
      </c>
      <c r="BG63" s="13">
        <f>VLOOKUP($G63,'Visu totale'!$D$3:$DT$129,BG$1,0)</f>
        <v>0</v>
      </c>
      <c r="BH63" s="13">
        <f>VLOOKUP($G63,'Visu totale'!$D$3:$DT$129,BH$1,0)</f>
        <v>0</v>
      </c>
      <c r="BI63" s="13">
        <f>VLOOKUP($G63,'Visu totale'!$D$3:$DT$129,BI$1,0)</f>
        <v>0</v>
      </c>
      <c r="BJ63" s="13">
        <f>VLOOKUP($G63,'Visu totale'!$D$3:$DT$129,BJ$1,0)</f>
        <v>0</v>
      </c>
      <c r="BK63" s="13">
        <f>VLOOKUP($G63,'Visu totale'!$D$3:$DT$129,BK$1,0)</f>
        <v>0</v>
      </c>
      <c r="BL63" s="13">
        <f>VLOOKUP($G63,'Visu totale'!$D$3:$DT$129,BL$1,0)</f>
        <v>0</v>
      </c>
      <c r="BM63" s="13">
        <f>VLOOKUP($G63,'Visu totale'!$D$3:$DT$129,BM$1,0)</f>
        <v>0</v>
      </c>
      <c r="BN63" s="15">
        <f>VLOOKUP($G63,'Visu totale'!$D$3:$DT$129,BN$1,0)</f>
        <v>0</v>
      </c>
      <c r="BO63" s="14">
        <f>VLOOKUP($G63,'Visu totale'!$D$3:$DT$129,BO$1,0)</f>
        <v>18</v>
      </c>
      <c r="BP63" s="13">
        <f>VLOOKUP($G63,'Visu totale'!$D$3:$DT$129,BP$1,0)</f>
        <v>18</v>
      </c>
      <c r="BQ63" s="13" t="str">
        <f>VLOOKUP($G63,'Visu totale'!$D$3:$DT$129,BQ$1,0)</f>
        <v>MARSAN_D</v>
      </c>
      <c r="BR63" s="13" t="str">
        <f>VLOOKUP($G63,'Visu totale'!$D$3:$DT$129,BR$1,0)</f>
        <v>MARSAN_D</v>
      </c>
      <c r="BS63" s="13" t="str">
        <f>VLOOKUP($G63,'Visu totale'!$D$3:$DT$129,BS$1,0)</f>
        <v>MARSAN_D</v>
      </c>
      <c r="BT63" s="13" t="str">
        <f>VLOOKUP($G63,'Visu totale'!$D$3:$DT$129,BT$1,0)</f>
        <v>MARSAN_D</v>
      </c>
      <c r="BU63" s="13">
        <f>VLOOKUP($G63,'Visu totale'!$D$3:$DT$129,BU$1,0)</f>
        <v>18</v>
      </c>
      <c r="BV63" s="13">
        <f>VLOOKUP($G63,'Visu totale'!$D$3:$DT$129,BV$1,0)</f>
        <v>18</v>
      </c>
      <c r="BW63" s="13" t="str">
        <f>VLOOKUP($G63,'Visu totale'!$D$3:$DT$129,BW$1,0)</f>
        <v>MARSAN_D</v>
      </c>
      <c r="BX63" s="13" t="str">
        <f>VLOOKUP($G63,'Visu totale'!$D$3:$DT$129,BX$1,0)</f>
        <v>MARSAN_D</v>
      </c>
      <c r="BY63" s="13" t="str">
        <f>VLOOKUP($G63,'Visu totale'!$D$3:$DT$129,BY$1,0)</f>
        <v>MARSAN_D</v>
      </c>
      <c r="BZ63" s="15" t="str">
        <f>VLOOKUP($G63,'Visu totale'!$D$3:$DT$129,BZ$1,0)</f>
        <v>MARSAN_D</v>
      </c>
      <c r="CA63" s="14">
        <f>VLOOKUP($G63,'Visu totale'!$D$3:$DT$129,CA$1,0)</f>
        <v>18</v>
      </c>
      <c r="CB63" s="13">
        <f>VLOOKUP($G63,'Visu totale'!$D$3:$DT$129,CB$1,0)</f>
        <v>18</v>
      </c>
      <c r="CC63" s="13" t="str">
        <f>VLOOKUP($G63,'Visu totale'!$D$3:$DT$129,CC$1,0)</f>
        <v>MARSAN_D</v>
      </c>
      <c r="CD63" s="13" t="str">
        <f>VLOOKUP($G63,'Visu totale'!$D$3:$DT$129,CD$1,0)</f>
        <v>MARSAN_D</v>
      </c>
      <c r="CE63" s="13" t="str">
        <f>VLOOKUP($G63,'Visu totale'!$D$3:$DT$129,CE$1,0)</f>
        <v>MARSAN_D</v>
      </c>
      <c r="CF63" s="13" t="str">
        <f>VLOOKUP($G63,'Visu totale'!$D$3:$DT$129,CF$1,0)</f>
        <v>MARSAN_D</v>
      </c>
      <c r="CG63" s="13">
        <f>VLOOKUP($G63,'Visu totale'!$D$3:$DT$129,CG$1,0)</f>
        <v>18</v>
      </c>
      <c r="CH63" s="13">
        <f>VLOOKUP($G63,'Visu totale'!$D$3:$DT$129,CH$1,0)</f>
        <v>18</v>
      </c>
      <c r="CI63" s="13" t="str">
        <f>VLOOKUP($G63,'Visu totale'!$D$3:$DT$129,CI$1,0)</f>
        <v>MARSAN_D</v>
      </c>
      <c r="CJ63" s="13" t="str">
        <f>VLOOKUP($G63,'Visu totale'!$D$3:$DT$129,CJ$1,0)</f>
        <v>MARSAN_D</v>
      </c>
      <c r="CK63" s="13" t="str">
        <f>VLOOKUP($G63,'Visu totale'!$D$3:$DT$129,CK$1,0)</f>
        <v>MARSAN_D</v>
      </c>
      <c r="CL63" s="15" t="str">
        <f>VLOOKUP($G63,'Visu totale'!$D$3:$DT$129,CL$1,0)</f>
        <v>MARSAN_D</v>
      </c>
      <c r="CM63" s="14">
        <f>VLOOKUP($G63,'Visu totale'!$D$3:$DT$129,CM$1,0)</f>
        <v>18</v>
      </c>
      <c r="CN63" s="13">
        <f>VLOOKUP($G63,'Visu totale'!$D$3:$DT$129,CN$1,0)</f>
        <v>18</v>
      </c>
      <c r="CO63" s="13">
        <f>VLOOKUP($G63,'Visu totale'!$D$3:$DT$129,CO$1,0)</f>
        <v>18</v>
      </c>
      <c r="CP63" s="13">
        <f>VLOOKUP($G63,'Visu totale'!$D$3:$DT$129,CP$1,0)</f>
        <v>18</v>
      </c>
      <c r="CQ63" s="13">
        <f>VLOOKUP($G63,'Visu totale'!$D$3:$DT$129,CQ$1,0)</f>
        <v>18</v>
      </c>
      <c r="CR63" s="13">
        <f>VLOOKUP($G63,'Visu totale'!$D$3:$DT$129,CR$1,0)</f>
        <v>18</v>
      </c>
      <c r="CS63" s="13">
        <f>VLOOKUP($G63,'Visu totale'!$D$3:$DT$129,CS$1,0)</f>
        <v>0</v>
      </c>
      <c r="CT63" s="13">
        <f>VLOOKUP($G63,'Visu totale'!$D$3:$DT$129,CT$1,0)</f>
        <v>18</v>
      </c>
      <c r="CU63" s="13">
        <f>VLOOKUP($G63,'Visu totale'!$D$3:$DT$129,CU$1,0)</f>
        <v>18</v>
      </c>
      <c r="CV63" s="13">
        <f>VLOOKUP($G63,'Visu totale'!$D$3:$DT$129,CV$1,0)</f>
        <v>18</v>
      </c>
      <c r="CW63" s="13">
        <f>VLOOKUP($G63,'Visu totale'!$D$3:$DT$129,CW$1,0)</f>
        <v>18</v>
      </c>
      <c r="CX63" s="15">
        <f>VLOOKUP($G63,'Visu totale'!$D$3:$DT$129,CX$1,0)</f>
        <v>18</v>
      </c>
      <c r="CY63" s="14">
        <f>VLOOKUP($G63,'Visu totale'!$D$3:$DT$129,CY$1,0)</f>
        <v>0</v>
      </c>
      <c r="CZ63" s="13">
        <f>VLOOKUP($G63,'Visu totale'!$D$3:$DT$129,CZ$1,0)</f>
        <v>0</v>
      </c>
      <c r="DA63" s="13">
        <f>VLOOKUP($G63,'Visu totale'!$D$3:$DT$129,DA$1,0)</f>
        <v>0</v>
      </c>
      <c r="DB63" s="13">
        <f>VLOOKUP($G63,'Visu totale'!$D$3:$DT$129,DB$1,0)</f>
        <v>0</v>
      </c>
      <c r="DC63" s="13">
        <f>VLOOKUP($G63,'Visu totale'!$D$3:$DT$129,DC$1,0)</f>
        <v>0</v>
      </c>
      <c r="DD63" s="13">
        <f>VLOOKUP($G63,'Visu totale'!$D$3:$DT$129,DD$1,0)</f>
        <v>0</v>
      </c>
      <c r="DE63" s="13">
        <f>VLOOKUP($G63,'Visu totale'!$D$3:$DT$129,DE$1,0)</f>
        <v>0</v>
      </c>
      <c r="DF63" s="13">
        <f>VLOOKUP($G63,'Visu totale'!$D$3:$DT$129,DF$1,0)</f>
        <v>0</v>
      </c>
      <c r="DG63" s="13">
        <f>VLOOKUP($G63,'Visu totale'!$D$3:$DT$129,DG$1,0)</f>
        <v>0</v>
      </c>
      <c r="DH63" s="13">
        <f>VLOOKUP($G63,'Visu totale'!$D$3:$DT$129,DH$1,0)</f>
        <v>0</v>
      </c>
      <c r="DI63" s="13">
        <f>VLOOKUP($G63,'Visu totale'!$D$3:$DT$129,DI$1,0)</f>
        <v>0</v>
      </c>
      <c r="DJ63" s="15">
        <f>VLOOKUP($G63,'Visu totale'!$D$3:$DT$129,DJ$1,0)</f>
        <v>0</v>
      </c>
      <c r="DK63" s="14">
        <f>VLOOKUP($G63,'Visu totale'!$D$3:$DT$129,DK$1,0)</f>
        <v>0</v>
      </c>
      <c r="DL63" s="13">
        <f>VLOOKUP($G63,'Visu totale'!$D$3:$DT$129,DL$1,0)</f>
        <v>0</v>
      </c>
      <c r="DM63" s="13">
        <f>VLOOKUP($G63,'Visu totale'!$D$3:$DT$129,DM$1,0)</f>
        <v>0</v>
      </c>
      <c r="DN63" s="13">
        <f>VLOOKUP($G63,'Visu totale'!$D$3:$DT$129,DN$1,0)</f>
        <v>0</v>
      </c>
      <c r="DO63" s="13">
        <f>VLOOKUP($G63,'Visu totale'!$D$3:$DT$129,DO$1,0)</f>
        <v>0</v>
      </c>
      <c r="DP63" s="13">
        <f>VLOOKUP($G63,'Visu totale'!$D$3:$DT$129,DP$1,0)</f>
        <v>0</v>
      </c>
      <c r="DQ63" s="13">
        <f>VLOOKUP($G63,'Visu totale'!$D$3:$DT$129,DQ$1,0)</f>
        <v>0</v>
      </c>
      <c r="DR63" s="13">
        <f>VLOOKUP($G63,'Visu totale'!$D$3:$DT$129,DR$1,0)</f>
        <v>0</v>
      </c>
      <c r="DS63" s="13">
        <f>VLOOKUP($G63,'Visu totale'!$D$3:$DT$129,DS$1,0)</f>
        <v>0</v>
      </c>
      <c r="DT63" s="13">
        <f>VLOOKUP($G63,'Visu totale'!$D$3:$DT$129,DT$1,0)</f>
        <v>0</v>
      </c>
      <c r="DU63" s="13">
        <f>VLOOKUP($G63,'Visu totale'!$D$3:$DT$129,DU$1,0)</f>
        <v>0</v>
      </c>
      <c r="DV63" s="15">
        <f>VLOOKUP($G63,'Visu totale'!$D$3:$DT$129,DV$1,0)</f>
        <v>0</v>
      </c>
    </row>
    <row r="64" spans="1:126" x14ac:dyDescent="0.25">
      <c r="A64" s="13"/>
      <c r="B64" s="13"/>
      <c r="C64" s="13"/>
      <c r="D64" s="16"/>
      <c r="E64" s="14"/>
      <c r="F64" s="13"/>
      <c r="G64" s="17" t="s">
        <v>66</v>
      </c>
      <c r="H64" s="13">
        <f>VLOOKUP($G64,'Visu totale'!$D$3:$DT$129,H$1,0)</f>
        <v>18</v>
      </c>
      <c r="I64" s="13" t="str">
        <f>VLOOKUP($G64,'Visu totale'!$D$3:$DT$129,I$1,0)</f>
        <v>V15</v>
      </c>
      <c r="J64" s="13" t="str">
        <f>VLOOKUP($G64,'Visu totale'!$D$3:$DT$129,J$1,0)</f>
        <v>V15</v>
      </c>
      <c r="K64" s="13" t="str">
        <f>VLOOKUP($G64,'Visu totale'!$D$3:$DT$129,K$1,0)</f>
        <v>V15</v>
      </c>
      <c r="L64" s="13" t="str">
        <f>VLOOKUP($G64,'Visu totale'!$D$3:$DT$129,L$1,0)</f>
        <v>V15</v>
      </c>
      <c r="M64" s="13" t="str">
        <f>VLOOKUP($G64,'Visu totale'!$D$3:$DT$129,M$1,0)</f>
        <v>V15</v>
      </c>
      <c r="N64" s="13" t="str">
        <f>VLOOKUP($G64,'Visu totale'!$D$3:$DT$129,N$1,0)</f>
        <v>V15</v>
      </c>
      <c r="O64" s="13" t="str">
        <f>VLOOKUP($G64,'Visu totale'!$D$3:$DT$129,O$1,0)</f>
        <v>V15</v>
      </c>
      <c r="P64" s="13">
        <f>VLOOKUP($G64,'Visu totale'!$D$3:$DT$129,P$1,0)</f>
        <v>18</v>
      </c>
      <c r="Q64" s="13">
        <f>VLOOKUP($G64,'Visu totale'!$D$3:$DT$129,Q$1,0)</f>
        <v>18</v>
      </c>
      <c r="R64" s="15" t="str">
        <f>VLOOKUP($G64,'Visu totale'!$D$3:$DT$129,R$1,0)</f>
        <v>NIAMEY_D</v>
      </c>
      <c r="S64" s="14" t="str">
        <f>VLOOKUP($G64,'Visu totale'!$D$3:$DT$129,S$1,0)</f>
        <v>NIAMEY_D</v>
      </c>
      <c r="T64" s="13" t="str">
        <f>VLOOKUP($G64,'Visu totale'!$D$3:$DT$129,T$1,0)</f>
        <v>NIAMEY_D</v>
      </c>
      <c r="U64" s="13" t="str">
        <f>VLOOKUP($G64,'Visu totale'!$D$3:$DT$129,U$1,0)</f>
        <v>NIAMEY_D</v>
      </c>
      <c r="V64" s="13">
        <f>VLOOKUP($G64,'Visu totale'!$D$3:$DT$129,V$1,0)</f>
        <v>18</v>
      </c>
      <c r="W64" s="13">
        <f>VLOOKUP($G64,'Visu totale'!$D$3:$DT$129,W$1,0)</f>
        <v>18</v>
      </c>
      <c r="X64" s="13" t="str">
        <f>VLOOKUP($G64,'Visu totale'!$D$3:$DT$129,X$1,0)</f>
        <v>CHAMMAL_D</v>
      </c>
      <c r="Y64" s="13" t="str">
        <f>VLOOKUP($G64,'Visu totale'!$D$3:$DT$129,Y$1,0)</f>
        <v>CHAMMAL_D</v>
      </c>
      <c r="Z64" s="13" t="str">
        <f>VLOOKUP($G64,'Visu totale'!$D$3:$DT$129,Z$1,0)</f>
        <v>CHAMMAL_D</v>
      </c>
      <c r="AA64" s="13" t="str">
        <f>VLOOKUP($G64,'Visu totale'!$D$3:$DT$129,AA$1,0)</f>
        <v>CHAMMAL_D</v>
      </c>
      <c r="AB64" s="13">
        <f>VLOOKUP($G64,'Visu totale'!$D$3:$DT$129,AB$1,0)</f>
        <v>18</v>
      </c>
      <c r="AC64" s="13">
        <f>VLOOKUP($G64,'Visu totale'!$D$3:$DT$129,AC$1,0)</f>
        <v>18</v>
      </c>
      <c r="AD64" s="15" t="str">
        <f>VLOOKUP($G64,'Visu totale'!$D$3:$DT$129,AD$1,0)</f>
        <v>NANCY_D</v>
      </c>
      <c r="AE64" s="14" t="str">
        <f>VLOOKUP($G64,'Visu totale'!$D$3:$DT$129,AE$1,0)</f>
        <v>NANCY_D</v>
      </c>
      <c r="AF64" s="13" t="str">
        <f>VLOOKUP($G64,'Visu totale'!$D$3:$DT$129,AF$1,0)</f>
        <v>NANCY_D</v>
      </c>
      <c r="AG64" s="13" t="str">
        <f>VLOOKUP($G64,'Visu totale'!$D$3:$DT$129,AG$1,0)</f>
        <v>NANCY_D</v>
      </c>
      <c r="AH64" s="13">
        <f>VLOOKUP($G64,'Visu totale'!$D$3:$DT$129,AH$1,0)</f>
        <v>18</v>
      </c>
      <c r="AI64" s="13">
        <f>VLOOKUP($G64,'Visu totale'!$D$3:$DT$129,AI$1,0)</f>
        <v>18</v>
      </c>
      <c r="AJ64" s="13" t="str">
        <f>VLOOKUP($G64,'Visu totale'!$D$3:$DT$129,AJ$1,0)</f>
        <v>NANCY_D</v>
      </c>
      <c r="AK64" s="13">
        <f>VLOOKUP($G64,'Visu totale'!$D$3:$DT$129,AK$1,0)</f>
        <v>18</v>
      </c>
      <c r="AL64" s="13">
        <f>VLOOKUP($G64,'Visu totale'!$D$3:$DT$129,AL$1,0)</f>
        <v>18</v>
      </c>
      <c r="AM64" s="13" t="str">
        <f>VLOOKUP($G64,'Visu totale'!$D$3:$DT$129,AM$1,0)</f>
        <v>NIAMEY_D</v>
      </c>
      <c r="AN64" s="13" t="str">
        <f>VLOOKUP($G64,'Visu totale'!$D$3:$DT$129,AN$1,0)</f>
        <v>NIAMEY_D</v>
      </c>
      <c r="AO64" s="13" t="str">
        <f>VLOOKUP($G64,'Visu totale'!$D$3:$DT$129,AO$1,0)</f>
        <v>NIAMEY_D</v>
      </c>
      <c r="AP64" s="15" t="str">
        <f>VLOOKUP($G64,'Visu totale'!$D$3:$DT$129,AP$1,0)</f>
        <v>NIAMEY_D</v>
      </c>
      <c r="AQ64" s="14">
        <f>VLOOKUP($G64,'Visu totale'!$D$3:$DT$129,AQ$1,0)</f>
        <v>18</v>
      </c>
      <c r="AR64" s="13">
        <f>VLOOKUP($G64,'Visu totale'!$D$3:$DT$129,AR$1,0)</f>
        <v>18</v>
      </c>
      <c r="AS64" s="13">
        <f>VLOOKUP($G64,'Visu totale'!$D$3:$DT$129,AS$1,0)</f>
        <v>18</v>
      </c>
      <c r="AT64" s="13">
        <f>VLOOKUP($G64,'Visu totale'!$D$3:$DT$129,AT$1,0)</f>
        <v>18</v>
      </c>
      <c r="AU64" s="13">
        <f>VLOOKUP($G64,'Visu totale'!$D$3:$DT$129,AU$1,0)</f>
        <v>18</v>
      </c>
      <c r="AV64" s="13">
        <f>VLOOKUP($G64,'Visu totale'!$D$3:$DT$129,AV$1,0)</f>
        <v>0</v>
      </c>
      <c r="AW64" s="13">
        <f>VLOOKUP($G64,'Visu totale'!$D$3:$DT$129,AW$1,0)</f>
        <v>0</v>
      </c>
      <c r="AX64" s="13">
        <f>VLOOKUP($G64,'Visu totale'!$D$3:$DT$129,AX$1,0)</f>
        <v>0</v>
      </c>
      <c r="AY64" s="13">
        <f>VLOOKUP($G64,'Visu totale'!$D$3:$DT$129,AY$1,0)</f>
        <v>0</v>
      </c>
      <c r="AZ64" s="13">
        <f>VLOOKUP($G64,'Visu totale'!$D$3:$DT$129,AZ$1,0)</f>
        <v>0</v>
      </c>
      <c r="BA64" s="13">
        <f>VLOOKUP($G64,'Visu totale'!$D$3:$DT$129,BA$1,0)</f>
        <v>0</v>
      </c>
      <c r="BB64" s="15">
        <f>VLOOKUP($G64,'Visu totale'!$D$3:$DT$129,BB$1,0)</f>
        <v>0</v>
      </c>
      <c r="BC64" s="14">
        <f>VLOOKUP($G64,'Visu totale'!$D$3:$DT$129,BC$1,0)</f>
        <v>0</v>
      </c>
      <c r="BD64" s="13">
        <f>VLOOKUP($G64,'Visu totale'!$D$3:$DT$129,BD$1,0)</f>
        <v>0</v>
      </c>
      <c r="BE64" s="13">
        <f>VLOOKUP($G64,'Visu totale'!$D$3:$DT$129,BE$1,0)</f>
        <v>0</v>
      </c>
      <c r="BF64" s="13">
        <f>VLOOKUP($G64,'Visu totale'!$D$3:$DT$129,BF$1,0)</f>
        <v>0</v>
      </c>
      <c r="BG64" s="13">
        <f>VLOOKUP($G64,'Visu totale'!$D$3:$DT$129,BG$1,0)</f>
        <v>0</v>
      </c>
      <c r="BH64" s="13">
        <f>VLOOKUP($G64,'Visu totale'!$D$3:$DT$129,BH$1,0)</f>
        <v>0</v>
      </c>
      <c r="BI64" s="13">
        <f>VLOOKUP($G64,'Visu totale'!$D$3:$DT$129,BI$1,0)</f>
        <v>0</v>
      </c>
      <c r="BJ64" s="13" t="str">
        <f>VLOOKUP($G64,'Visu totale'!$D$3:$DT$129,BJ$1,0)</f>
        <v>V20</v>
      </c>
      <c r="BK64" s="13" t="str">
        <f>VLOOKUP($G64,'Visu totale'!$D$3:$DT$129,BK$1,0)</f>
        <v>V20</v>
      </c>
      <c r="BL64" s="13" t="str">
        <f>VLOOKUP($G64,'Visu totale'!$D$3:$DT$129,BL$1,0)</f>
        <v>V20</v>
      </c>
      <c r="BM64" s="13" t="str">
        <f>VLOOKUP($G64,'Visu totale'!$D$3:$DT$129,BM$1,0)</f>
        <v>V20</v>
      </c>
      <c r="BN64" s="15" t="str">
        <f>VLOOKUP($G64,'Visu totale'!$D$3:$DT$129,BN$1,0)</f>
        <v>V20</v>
      </c>
      <c r="BO64" s="14" t="str">
        <f>VLOOKUP($G64,'Visu totale'!$D$3:$DT$129,BO$1,0)</f>
        <v>V20</v>
      </c>
      <c r="BP64" s="13">
        <f>VLOOKUP($G64,'Visu totale'!$D$3:$DT$129,BP$1,0)</f>
        <v>18</v>
      </c>
      <c r="BQ64" s="13">
        <f>VLOOKUP($G64,'Visu totale'!$D$3:$DT$129,BQ$1,0)</f>
        <v>18</v>
      </c>
      <c r="BR64" s="13" t="str">
        <f>VLOOKUP($G64,'Visu totale'!$D$3:$DT$129,BR$1,0)</f>
        <v>NANCY_D</v>
      </c>
      <c r="BS64" s="13" t="str">
        <f>VLOOKUP($G64,'Visu totale'!$D$3:$DT$129,BS$1,0)</f>
        <v>NANCY_D</v>
      </c>
      <c r="BT64" s="13" t="str">
        <f>VLOOKUP($G64,'Visu totale'!$D$3:$DT$129,BT$1,0)</f>
        <v>NANCY_D</v>
      </c>
      <c r="BU64" s="13" t="str">
        <f>VLOOKUP($G64,'Visu totale'!$D$3:$DT$129,BU$1,0)</f>
        <v>NANCY_D</v>
      </c>
      <c r="BV64" s="13">
        <f>VLOOKUP($G64,'Visu totale'!$D$3:$DT$129,BV$1,0)</f>
        <v>18</v>
      </c>
      <c r="BW64" s="13">
        <f>VLOOKUP($G64,'Visu totale'!$D$3:$DT$129,BW$1,0)</f>
        <v>18</v>
      </c>
      <c r="BX64" s="13" t="str">
        <f>VLOOKUP($G64,'Visu totale'!$D$3:$DT$129,BX$1,0)</f>
        <v>NANCY_D</v>
      </c>
      <c r="BY64" s="13" t="str">
        <f>VLOOKUP($G64,'Visu totale'!$D$3:$DT$129,BY$1,0)</f>
        <v>NANCY_D</v>
      </c>
      <c r="BZ64" s="15" t="str">
        <f>VLOOKUP($G64,'Visu totale'!$D$3:$DT$129,BZ$1,0)</f>
        <v>NANCY_D</v>
      </c>
      <c r="CA64" s="14" t="str">
        <f>VLOOKUP($G64,'Visu totale'!$D$3:$DT$129,CA$1,0)</f>
        <v>NANCY_D</v>
      </c>
      <c r="CB64" s="13">
        <f>VLOOKUP($G64,'Visu totale'!$D$3:$DT$129,CB$1,0)</f>
        <v>18</v>
      </c>
      <c r="CC64" s="13">
        <f>VLOOKUP($G64,'Visu totale'!$D$3:$DT$129,CC$1,0)</f>
        <v>18</v>
      </c>
      <c r="CD64" s="13" t="str">
        <f>VLOOKUP($G64,'Visu totale'!$D$3:$DT$129,CD$1,0)</f>
        <v>NANCY_D</v>
      </c>
      <c r="CE64" s="13" t="str">
        <f>VLOOKUP($G64,'Visu totale'!$D$3:$DT$129,CE$1,0)</f>
        <v>NANCY_D</v>
      </c>
      <c r="CF64" s="13" t="str">
        <f>VLOOKUP($G64,'Visu totale'!$D$3:$DT$129,CF$1,0)</f>
        <v>NANCY_D</v>
      </c>
      <c r="CG64" s="13" t="str">
        <f>VLOOKUP($G64,'Visu totale'!$D$3:$DT$129,CG$1,0)</f>
        <v>NANCY_D</v>
      </c>
      <c r="CH64" s="13">
        <f>VLOOKUP($G64,'Visu totale'!$D$3:$DT$129,CH$1,0)</f>
        <v>18</v>
      </c>
      <c r="CI64" s="13">
        <f>VLOOKUP($G64,'Visu totale'!$D$3:$DT$129,CI$1,0)</f>
        <v>18</v>
      </c>
      <c r="CJ64" s="13" t="str">
        <f>VLOOKUP($G64,'Visu totale'!$D$3:$DT$129,CJ$1,0)</f>
        <v>NANCY_D</v>
      </c>
      <c r="CK64" s="13" t="str">
        <f>VLOOKUP($G64,'Visu totale'!$D$3:$DT$129,CK$1,0)</f>
        <v>NANCY_D</v>
      </c>
      <c r="CL64" s="15" t="str">
        <f>VLOOKUP($G64,'Visu totale'!$D$3:$DT$129,CL$1,0)</f>
        <v>NANCY_D</v>
      </c>
      <c r="CM64" s="14" t="str">
        <f>VLOOKUP($G64,'Visu totale'!$D$3:$DT$129,CM$1,0)</f>
        <v>NANCY_D</v>
      </c>
      <c r="CN64" s="13">
        <f>VLOOKUP($G64,'Visu totale'!$D$3:$DT$129,CN$1,0)</f>
        <v>18</v>
      </c>
      <c r="CO64" s="13">
        <f>VLOOKUP($G64,'Visu totale'!$D$3:$DT$129,CO$1,0)</f>
        <v>18</v>
      </c>
      <c r="CP64" s="13" t="str">
        <f>VLOOKUP($G64,'Visu totale'!$D$3:$DT$129,CP$1,0)</f>
        <v>NANCY_D</v>
      </c>
      <c r="CQ64" s="13" t="str">
        <f>VLOOKUP($G64,'Visu totale'!$D$3:$DT$129,CQ$1,0)</f>
        <v>NANCY_D</v>
      </c>
      <c r="CR64" s="13" t="str">
        <f>VLOOKUP($G64,'Visu totale'!$D$3:$DT$129,CR$1,0)</f>
        <v>NANCY_D</v>
      </c>
      <c r="CS64" s="13" t="str">
        <f>VLOOKUP($G64,'Visu totale'!$D$3:$DT$129,CS$1,0)</f>
        <v>NANCY_D</v>
      </c>
      <c r="CT64" s="13">
        <f>VLOOKUP($G64,'Visu totale'!$D$3:$DT$129,CT$1,0)</f>
        <v>18</v>
      </c>
      <c r="CU64" s="13">
        <f>VLOOKUP($G64,'Visu totale'!$D$3:$DT$129,CU$1,0)</f>
        <v>18</v>
      </c>
      <c r="CV64" s="13">
        <f>VLOOKUP($G64,'Visu totale'!$D$3:$DT$129,CV$1,0)</f>
        <v>18</v>
      </c>
      <c r="CW64" s="13">
        <f>VLOOKUP($G64,'Visu totale'!$D$3:$DT$129,CW$1,0)</f>
        <v>18</v>
      </c>
      <c r="CX64" s="15">
        <f>VLOOKUP($G64,'Visu totale'!$D$3:$DT$129,CX$1,0)</f>
        <v>18</v>
      </c>
      <c r="CY64" s="14">
        <f>VLOOKUP($G64,'Visu totale'!$D$3:$DT$129,CY$1,0)</f>
        <v>0</v>
      </c>
      <c r="CZ64" s="13">
        <f>VLOOKUP($G64,'Visu totale'!$D$3:$DT$129,CZ$1,0)</f>
        <v>0</v>
      </c>
      <c r="DA64" s="13">
        <f>VLOOKUP($G64,'Visu totale'!$D$3:$DT$129,DA$1,0)</f>
        <v>0</v>
      </c>
      <c r="DB64" s="13">
        <f>VLOOKUP($G64,'Visu totale'!$D$3:$DT$129,DB$1,0)</f>
        <v>0</v>
      </c>
      <c r="DC64" s="13">
        <f>VLOOKUP($G64,'Visu totale'!$D$3:$DT$129,DC$1,0)</f>
        <v>0</v>
      </c>
      <c r="DD64" s="13">
        <f>VLOOKUP($G64,'Visu totale'!$D$3:$DT$129,DD$1,0)</f>
        <v>0</v>
      </c>
      <c r="DE64" s="13">
        <f>VLOOKUP($G64,'Visu totale'!$D$3:$DT$129,DE$1,0)</f>
        <v>0</v>
      </c>
      <c r="DF64" s="13">
        <f>VLOOKUP($G64,'Visu totale'!$D$3:$DT$129,DF$1,0)</f>
        <v>0</v>
      </c>
      <c r="DG64" s="13">
        <f>VLOOKUP($G64,'Visu totale'!$D$3:$DT$129,DG$1,0)</f>
        <v>0</v>
      </c>
      <c r="DH64" s="13">
        <f>VLOOKUP($G64,'Visu totale'!$D$3:$DT$129,DH$1,0)</f>
        <v>0</v>
      </c>
      <c r="DI64" s="13">
        <f>VLOOKUP($G64,'Visu totale'!$D$3:$DT$129,DI$1,0)</f>
        <v>0</v>
      </c>
      <c r="DJ64" s="15">
        <f>VLOOKUP($G64,'Visu totale'!$D$3:$DT$129,DJ$1,0)</f>
        <v>0</v>
      </c>
      <c r="DK64" s="14">
        <f>VLOOKUP($G64,'Visu totale'!$D$3:$DT$129,DK$1,0)</f>
        <v>0</v>
      </c>
      <c r="DL64" s="13">
        <f>VLOOKUP($G64,'Visu totale'!$D$3:$DT$129,DL$1,0)</f>
        <v>0</v>
      </c>
      <c r="DM64" s="13">
        <f>VLOOKUP($G64,'Visu totale'!$D$3:$DT$129,DM$1,0)</f>
        <v>0</v>
      </c>
      <c r="DN64" s="13">
        <f>VLOOKUP($G64,'Visu totale'!$D$3:$DT$129,DN$1,0)</f>
        <v>0</v>
      </c>
      <c r="DO64" s="13">
        <f>VLOOKUP($G64,'Visu totale'!$D$3:$DT$129,DO$1,0)</f>
        <v>0</v>
      </c>
      <c r="DP64" s="13">
        <f>VLOOKUP($G64,'Visu totale'!$D$3:$DT$129,DP$1,0)</f>
        <v>0</v>
      </c>
      <c r="DQ64" s="13">
        <f>VLOOKUP($G64,'Visu totale'!$D$3:$DT$129,DQ$1,0)</f>
        <v>0</v>
      </c>
      <c r="DR64" s="13">
        <f>VLOOKUP($G64,'Visu totale'!$D$3:$DT$129,DR$1,0)</f>
        <v>0</v>
      </c>
      <c r="DS64" s="13">
        <f>VLOOKUP($G64,'Visu totale'!$D$3:$DT$129,DS$1,0)</f>
        <v>0</v>
      </c>
      <c r="DT64" s="13">
        <f>VLOOKUP($G64,'Visu totale'!$D$3:$DT$129,DT$1,0)</f>
        <v>0</v>
      </c>
      <c r="DU64" s="13">
        <f>VLOOKUP($G64,'Visu totale'!$D$3:$DT$129,DU$1,0)</f>
        <v>0</v>
      </c>
      <c r="DV64" s="15">
        <f>VLOOKUP($G64,'Visu totale'!$D$3:$DT$129,DV$1,0)</f>
        <v>0</v>
      </c>
    </row>
    <row r="65" spans="1:126" x14ac:dyDescent="0.25">
      <c r="A65" s="13"/>
      <c r="B65" s="13"/>
      <c r="C65" s="13"/>
      <c r="D65" s="16"/>
      <c r="E65" s="14"/>
      <c r="F65" s="13"/>
      <c r="G65" s="17" t="s">
        <v>67</v>
      </c>
      <c r="H65" s="13">
        <f>VLOOKUP($G65,'Visu totale'!$D$3:$DT$129,H$1,0)</f>
        <v>18</v>
      </c>
      <c r="I65" s="13" t="str">
        <f>VLOOKUP($G65,'Visu totale'!$D$3:$DT$129,I$1,0)</f>
        <v>NANCY_D</v>
      </c>
      <c r="J65" s="13" t="str">
        <f>VLOOKUP($G65,'Visu totale'!$D$3:$DT$129,J$1,0)</f>
        <v>NANCY_D</v>
      </c>
      <c r="K65" s="13" t="str">
        <f>VLOOKUP($G65,'Visu totale'!$D$3:$DT$129,K$1,0)</f>
        <v>NANCY_D</v>
      </c>
      <c r="L65" s="13" t="str">
        <f>VLOOKUP($G65,'Visu totale'!$D$3:$DT$129,L$1,0)</f>
        <v>NANCY_D</v>
      </c>
      <c r="M65" s="13" t="str">
        <f>VLOOKUP($G65,'Visu totale'!$D$3:$DT$129,M$1,0)</f>
        <v>V15</v>
      </c>
      <c r="N65" s="13" t="str">
        <f>VLOOKUP($G65,'Visu totale'!$D$3:$DT$129,N$1,0)</f>
        <v>V15</v>
      </c>
      <c r="O65" s="13" t="str">
        <f>VLOOKUP($G65,'Visu totale'!$D$3:$DT$129,O$1,0)</f>
        <v>V15</v>
      </c>
      <c r="P65" s="13" t="str">
        <f>VLOOKUP($G65,'Visu totale'!$D$3:$DT$129,P$1,0)</f>
        <v>V15</v>
      </c>
      <c r="Q65" s="13" t="str">
        <f>VLOOKUP($G65,'Visu totale'!$D$3:$DT$129,Q$1,0)</f>
        <v>V15</v>
      </c>
      <c r="R65" s="15" t="str">
        <f>VLOOKUP($G65,'Visu totale'!$D$3:$DT$129,R$1,0)</f>
        <v>V15</v>
      </c>
      <c r="S65" s="14">
        <f>VLOOKUP($G65,'Visu totale'!$D$3:$DT$129,S$1,0)</f>
        <v>18</v>
      </c>
      <c r="T65" s="13">
        <f>VLOOKUP($G65,'Visu totale'!$D$3:$DT$129,T$1,0)</f>
        <v>18</v>
      </c>
      <c r="U65" s="13" t="str">
        <f>VLOOKUP($G65,'Visu totale'!$D$3:$DT$129,U$1,0)</f>
        <v>NANCY_D</v>
      </c>
      <c r="V65" s="13" t="str">
        <f>VLOOKUP($G65,'Visu totale'!$D$3:$DT$129,V$1,0)</f>
        <v>NANCY_D</v>
      </c>
      <c r="W65" s="13" t="str">
        <f>VLOOKUP($G65,'Visu totale'!$D$3:$DT$129,W$1,0)</f>
        <v>NANCY_D</v>
      </c>
      <c r="X65" s="13" t="str">
        <f>VLOOKUP($G65,'Visu totale'!$D$3:$DT$129,X$1,0)</f>
        <v>NANCY_D</v>
      </c>
      <c r="Y65" s="13">
        <f>VLOOKUP($G65,'Visu totale'!$D$3:$DT$129,Y$1,0)</f>
        <v>18</v>
      </c>
      <c r="Z65" s="13">
        <f>VLOOKUP($G65,'Visu totale'!$D$3:$DT$129,Z$1,0)</f>
        <v>18</v>
      </c>
      <c r="AA65" s="13" t="str">
        <f>VLOOKUP($G65,'Visu totale'!$D$3:$DT$129,AA$1,0)</f>
        <v>NANCY_D</v>
      </c>
      <c r="AB65" s="13" t="str">
        <f>VLOOKUP($G65,'Visu totale'!$D$3:$DT$129,AB$1,0)</f>
        <v>NANCY_D</v>
      </c>
      <c r="AC65" s="13" t="str">
        <f>VLOOKUP($G65,'Visu totale'!$D$3:$DT$129,AC$1,0)</f>
        <v>NANCY_D</v>
      </c>
      <c r="AD65" s="15" t="str">
        <f>VLOOKUP($G65,'Visu totale'!$D$3:$DT$129,AD$1,0)</f>
        <v>NANCY_D</v>
      </c>
      <c r="AE65" s="14">
        <f>VLOOKUP($G65,'Visu totale'!$D$3:$DT$129,AE$1,0)</f>
        <v>18</v>
      </c>
      <c r="AF65" s="13">
        <f>VLOOKUP($G65,'Visu totale'!$D$3:$DT$129,AF$1,0)</f>
        <v>18</v>
      </c>
      <c r="AG65" s="13" t="str">
        <f>VLOOKUP($G65,'Visu totale'!$D$3:$DT$129,AG$1,0)</f>
        <v>NANCY_D</v>
      </c>
      <c r="AH65" s="13" t="str">
        <f>VLOOKUP($G65,'Visu totale'!$D$3:$DT$129,AH$1,0)</f>
        <v>NANCY_D</v>
      </c>
      <c r="AI65" s="13" t="str">
        <f>VLOOKUP($G65,'Visu totale'!$D$3:$DT$129,AI$1,0)</f>
        <v>NANCY_D</v>
      </c>
      <c r="AJ65" s="13" t="str">
        <f>VLOOKUP($G65,'Visu totale'!$D$3:$DT$129,AJ$1,0)</f>
        <v>NANCY_D</v>
      </c>
      <c r="AK65" s="13">
        <f>VLOOKUP($G65,'Visu totale'!$D$3:$DT$129,AK$1,0)</f>
        <v>18</v>
      </c>
      <c r="AL65" s="13">
        <f>VLOOKUP($G65,'Visu totale'!$D$3:$DT$129,AL$1,0)</f>
        <v>18</v>
      </c>
      <c r="AM65" s="13" t="str">
        <f>VLOOKUP($G65,'Visu totale'!$D$3:$DT$129,AM$1,0)</f>
        <v>NANCY_D</v>
      </c>
      <c r="AN65" s="13" t="str">
        <f>VLOOKUP($G65,'Visu totale'!$D$3:$DT$129,AN$1,0)</f>
        <v>NANCY_D</v>
      </c>
      <c r="AO65" s="13" t="str">
        <f>VLOOKUP($G65,'Visu totale'!$D$3:$DT$129,AO$1,0)</f>
        <v>NANCY_D</v>
      </c>
      <c r="AP65" s="15" t="str">
        <f>VLOOKUP($G65,'Visu totale'!$D$3:$DT$129,AP$1,0)</f>
        <v>NANCY_D</v>
      </c>
      <c r="AQ65" s="14">
        <f>VLOOKUP($G65,'Visu totale'!$D$3:$DT$129,AQ$1,0)</f>
        <v>18</v>
      </c>
      <c r="AR65" s="13">
        <f>VLOOKUP($G65,'Visu totale'!$D$3:$DT$129,AR$1,0)</f>
        <v>18</v>
      </c>
      <c r="AS65" s="13" t="str">
        <f>VLOOKUP($G65,'Visu totale'!$D$3:$DT$129,AS$1,0)</f>
        <v>NANCY_D</v>
      </c>
      <c r="AT65" s="13" t="str">
        <f>VLOOKUP($G65,'Visu totale'!$D$3:$DT$129,AT$1,0)</f>
        <v>NANCY_D</v>
      </c>
      <c r="AU65" s="13" t="str">
        <f>VLOOKUP($G65,'Visu totale'!$D$3:$DT$129,AU$1,0)</f>
        <v>NANCY_D</v>
      </c>
      <c r="AV65" s="13" t="str">
        <f>VLOOKUP($G65,'Visu totale'!$D$3:$DT$129,AV$1,0)</f>
        <v>NANCY_D</v>
      </c>
      <c r="AW65" s="13">
        <f>VLOOKUP($G65,'Visu totale'!$D$3:$DT$129,AW$1,0)</f>
        <v>18</v>
      </c>
      <c r="AX65" s="13">
        <f>VLOOKUP($G65,'Visu totale'!$D$3:$DT$129,AX$1,0)</f>
        <v>18</v>
      </c>
      <c r="AY65" s="13" t="str">
        <f>VLOOKUP($G65,'Visu totale'!$D$3:$DT$129,AY$1,0)</f>
        <v>NANCY_D</v>
      </c>
      <c r="AZ65" s="13" t="str">
        <f>VLOOKUP($G65,'Visu totale'!$D$3:$DT$129,AZ$1,0)</f>
        <v>NANCY_D</v>
      </c>
      <c r="BA65" s="13" t="str">
        <f>VLOOKUP($G65,'Visu totale'!$D$3:$DT$129,BA$1,0)</f>
        <v>NANCY_D</v>
      </c>
      <c r="BB65" s="15" t="str">
        <f>VLOOKUP($G65,'Visu totale'!$D$3:$DT$129,BB$1,0)</f>
        <v>NANCY_D</v>
      </c>
      <c r="BC65" s="14">
        <f>VLOOKUP($G65,'Visu totale'!$D$3:$DT$129,BC$1,0)</f>
        <v>18</v>
      </c>
      <c r="BD65" s="13">
        <f>VLOOKUP($G65,'Visu totale'!$D$3:$DT$129,BD$1,0)</f>
        <v>18</v>
      </c>
      <c r="BE65" s="13" t="str">
        <f>VLOOKUP($G65,'Visu totale'!$D$3:$DT$129,BE$1,0)</f>
        <v>NANCY_D</v>
      </c>
      <c r="BF65" s="13" t="str">
        <f>VLOOKUP($G65,'Visu totale'!$D$3:$DT$129,BF$1,0)</f>
        <v>NANCY_D</v>
      </c>
      <c r="BG65" s="13" t="str">
        <f>VLOOKUP($G65,'Visu totale'!$D$3:$DT$129,BG$1,0)</f>
        <v>NANCY_D</v>
      </c>
      <c r="BH65" s="13" t="str">
        <f>VLOOKUP($G65,'Visu totale'!$D$3:$DT$129,BH$1,0)</f>
        <v>NANCY_D</v>
      </c>
      <c r="BI65" s="13">
        <f>VLOOKUP($G65,'Visu totale'!$D$3:$DT$129,BI$1,0)</f>
        <v>18</v>
      </c>
      <c r="BJ65" s="13">
        <f>VLOOKUP($G65,'Visu totale'!$D$3:$DT$129,BJ$1,0)</f>
        <v>18</v>
      </c>
      <c r="BK65" s="13" t="str">
        <f>VLOOKUP($G65,'Visu totale'!$D$3:$DT$129,BK$1,0)</f>
        <v>NANCY_D</v>
      </c>
      <c r="BL65" s="13" t="str">
        <f>VLOOKUP($G65,'Visu totale'!$D$3:$DT$129,BL$1,0)</f>
        <v>NANCY_D</v>
      </c>
      <c r="BM65" s="13" t="str">
        <f>VLOOKUP($G65,'Visu totale'!$D$3:$DT$129,BM$1,0)</f>
        <v>NANCY_D</v>
      </c>
      <c r="BN65" s="15" t="str">
        <f>VLOOKUP($G65,'Visu totale'!$D$3:$DT$129,BN$1,0)</f>
        <v>NANCY_D</v>
      </c>
      <c r="BO65" s="14">
        <f>VLOOKUP($G65,'Visu totale'!$D$3:$DT$129,BO$1,0)</f>
        <v>18</v>
      </c>
      <c r="BP65" s="13">
        <f>VLOOKUP($G65,'Visu totale'!$D$3:$DT$129,BP$1,0)</f>
        <v>18</v>
      </c>
      <c r="BQ65" s="13" t="str">
        <f>VLOOKUP($G65,'Visu totale'!$D$3:$DT$129,BQ$1,0)</f>
        <v>NANCY_D</v>
      </c>
      <c r="BR65" s="13" t="str">
        <f>VLOOKUP($G65,'Visu totale'!$D$3:$DT$129,BR$1,0)</f>
        <v>NANCY_D</v>
      </c>
      <c r="BS65" s="13" t="str">
        <f>VLOOKUP($G65,'Visu totale'!$D$3:$DT$129,BS$1,0)</f>
        <v>NANCY_D</v>
      </c>
      <c r="BT65" s="13" t="str">
        <f>VLOOKUP($G65,'Visu totale'!$D$3:$DT$129,BT$1,0)</f>
        <v>NANCY_D</v>
      </c>
      <c r="BU65" s="13">
        <f>VLOOKUP($G65,'Visu totale'!$D$3:$DT$129,BU$1,0)</f>
        <v>18</v>
      </c>
      <c r="BV65" s="13">
        <f>VLOOKUP($G65,'Visu totale'!$D$3:$DT$129,BV$1,0)</f>
        <v>18</v>
      </c>
      <c r="BW65" s="13" t="str">
        <f>VLOOKUP($G65,'Visu totale'!$D$3:$DT$129,BW$1,0)</f>
        <v>NANCY_D</v>
      </c>
      <c r="BX65" s="13" t="str">
        <f>VLOOKUP($G65,'Visu totale'!$D$3:$DT$129,BX$1,0)</f>
        <v>NANCY_D</v>
      </c>
      <c r="BY65" s="13" t="str">
        <f>VLOOKUP($G65,'Visu totale'!$D$3:$DT$129,BY$1,0)</f>
        <v>NANCY_D</v>
      </c>
      <c r="BZ65" s="15" t="str">
        <f>VLOOKUP($G65,'Visu totale'!$D$3:$DT$129,BZ$1,0)</f>
        <v>NANCY_D</v>
      </c>
      <c r="CA65" s="14">
        <f>VLOOKUP($G65,'Visu totale'!$D$3:$DT$129,CA$1,0)</f>
        <v>18</v>
      </c>
      <c r="CB65" s="13">
        <f>VLOOKUP($G65,'Visu totale'!$D$3:$DT$129,CB$1,0)</f>
        <v>18</v>
      </c>
      <c r="CC65" s="13" t="str">
        <f>VLOOKUP($G65,'Visu totale'!$D$3:$DT$129,CC$1,0)</f>
        <v>NANCY_D</v>
      </c>
      <c r="CD65" s="13" t="str">
        <f>VLOOKUP($G65,'Visu totale'!$D$3:$DT$129,CD$1,0)</f>
        <v>NANCY_D</v>
      </c>
      <c r="CE65" s="13" t="str">
        <f>VLOOKUP($G65,'Visu totale'!$D$3:$DT$129,CE$1,0)</f>
        <v>NANCY_D</v>
      </c>
      <c r="CF65" s="13" t="str">
        <f>VLOOKUP($G65,'Visu totale'!$D$3:$DT$129,CF$1,0)</f>
        <v>NANCY_D</v>
      </c>
      <c r="CG65" s="13">
        <f>VLOOKUP($G65,'Visu totale'!$D$3:$DT$129,CG$1,0)</f>
        <v>18</v>
      </c>
      <c r="CH65" s="13">
        <f>VLOOKUP($G65,'Visu totale'!$D$3:$DT$129,CH$1,0)</f>
        <v>18</v>
      </c>
      <c r="CI65" s="13" t="str">
        <f>VLOOKUP($G65,'Visu totale'!$D$3:$DT$129,CI$1,0)</f>
        <v>NANCY_D</v>
      </c>
      <c r="CJ65" s="13" t="str">
        <f>VLOOKUP($G65,'Visu totale'!$D$3:$DT$129,CJ$1,0)</f>
        <v>NANCY_D</v>
      </c>
      <c r="CK65" s="13" t="str">
        <f>VLOOKUP($G65,'Visu totale'!$D$3:$DT$129,CK$1,0)</f>
        <v>NANCY_D</v>
      </c>
      <c r="CL65" s="15" t="str">
        <f>VLOOKUP($G65,'Visu totale'!$D$3:$DT$129,CL$1,0)</f>
        <v>NANCY_D</v>
      </c>
      <c r="CM65" s="14">
        <f>VLOOKUP($G65,'Visu totale'!$D$3:$DT$129,CM$1,0)</f>
        <v>18</v>
      </c>
      <c r="CN65" s="13">
        <f>VLOOKUP($G65,'Visu totale'!$D$3:$DT$129,CN$1,0)</f>
        <v>18</v>
      </c>
      <c r="CO65" s="13" t="str">
        <f>VLOOKUP($G65,'Visu totale'!$D$3:$DT$129,CO$1,0)</f>
        <v>NANCY_D</v>
      </c>
      <c r="CP65" s="13" t="str">
        <f>VLOOKUP($G65,'Visu totale'!$D$3:$DT$129,CP$1,0)</f>
        <v>NANCY_D</v>
      </c>
      <c r="CQ65" s="13" t="str">
        <f>VLOOKUP($G65,'Visu totale'!$D$3:$DT$129,CQ$1,0)</f>
        <v>NANCY_D</v>
      </c>
      <c r="CR65" s="13" t="str">
        <f>VLOOKUP($G65,'Visu totale'!$D$3:$DT$129,CR$1,0)</f>
        <v>NANCY_D</v>
      </c>
      <c r="CS65" s="13">
        <f>VLOOKUP($G65,'Visu totale'!$D$3:$DT$129,CS$1,0)</f>
        <v>18</v>
      </c>
      <c r="CT65" s="13">
        <f>VLOOKUP($G65,'Visu totale'!$D$3:$DT$129,CT$1,0)</f>
        <v>18</v>
      </c>
      <c r="CU65" s="13">
        <f>VLOOKUP($G65,'Visu totale'!$D$3:$DT$129,CU$1,0)</f>
        <v>18</v>
      </c>
      <c r="CV65" s="13">
        <f>VLOOKUP($G65,'Visu totale'!$D$3:$DT$129,CV$1,0)</f>
        <v>18</v>
      </c>
      <c r="CW65" s="13">
        <f>VLOOKUP($G65,'Visu totale'!$D$3:$DT$129,CW$1,0)</f>
        <v>18</v>
      </c>
      <c r="CX65" s="15">
        <f>VLOOKUP($G65,'Visu totale'!$D$3:$DT$129,CX$1,0)</f>
        <v>18</v>
      </c>
      <c r="CY65" s="14">
        <f>VLOOKUP($G65,'Visu totale'!$D$3:$DT$129,CY$1,0)</f>
        <v>0</v>
      </c>
      <c r="CZ65" s="13">
        <f>VLOOKUP($G65,'Visu totale'!$D$3:$DT$129,CZ$1,0)</f>
        <v>0</v>
      </c>
      <c r="DA65" s="13">
        <f>VLOOKUP($G65,'Visu totale'!$D$3:$DT$129,DA$1,0)</f>
        <v>0</v>
      </c>
      <c r="DB65" s="13">
        <f>VLOOKUP($G65,'Visu totale'!$D$3:$DT$129,DB$1,0)</f>
        <v>0</v>
      </c>
      <c r="DC65" s="13">
        <f>VLOOKUP($G65,'Visu totale'!$D$3:$DT$129,DC$1,0)</f>
        <v>0</v>
      </c>
      <c r="DD65" s="13">
        <f>VLOOKUP($G65,'Visu totale'!$D$3:$DT$129,DD$1,0)</f>
        <v>0</v>
      </c>
      <c r="DE65" s="13">
        <f>VLOOKUP($G65,'Visu totale'!$D$3:$DT$129,DE$1,0)</f>
        <v>0</v>
      </c>
      <c r="DF65" s="13">
        <f>VLOOKUP($G65,'Visu totale'!$D$3:$DT$129,DF$1,0)</f>
        <v>0</v>
      </c>
      <c r="DG65" s="13">
        <f>VLOOKUP($G65,'Visu totale'!$D$3:$DT$129,DG$1,0)</f>
        <v>0</v>
      </c>
      <c r="DH65" s="13">
        <f>VLOOKUP($G65,'Visu totale'!$D$3:$DT$129,DH$1,0)</f>
        <v>0</v>
      </c>
      <c r="DI65" s="13">
        <f>VLOOKUP($G65,'Visu totale'!$D$3:$DT$129,DI$1,0)</f>
        <v>0</v>
      </c>
      <c r="DJ65" s="15">
        <f>VLOOKUP($G65,'Visu totale'!$D$3:$DT$129,DJ$1,0)</f>
        <v>0</v>
      </c>
      <c r="DK65" s="14">
        <f>VLOOKUP($G65,'Visu totale'!$D$3:$DT$129,DK$1,0)</f>
        <v>0</v>
      </c>
      <c r="DL65" s="13">
        <f>VLOOKUP($G65,'Visu totale'!$D$3:$DT$129,DL$1,0)</f>
        <v>0</v>
      </c>
      <c r="DM65" s="13">
        <f>VLOOKUP($G65,'Visu totale'!$D$3:$DT$129,DM$1,0)</f>
        <v>0</v>
      </c>
      <c r="DN65" s="13">
        <f>VLOOKUP($G65,'Visu totale'!$D$3:$DT$129,DN$1,0)</f>
        <v>0</v>
      </c>
      <c r="DO65" s="13">
        <f>VLOOKUP($G65,'Visu totale'!$D$3:$DT$129,DO$1,0)</f>
        <v>0</v>
      </c>
      <c r="DP65" s="13">
        <f>VLOOKUP($G65,'Visu totale'!$D$3:$DT$129,DP$1,0)</f>
        <v>0</v>
      </c>
      <c r="DQ65" s="13">
        <f>VLOOKUP($G65,'Visu totale'!$D$3:$DT$129,DQ$1,0)</f>
        <v>0</v>
      </c>
      <c r="DR65" s="13">
        <f>VLOOKUP($G65,'Visu totale'!$D$3:$DT$129,DR$1,0)</f>
        <v>0</v>
      </c>
      <c r="DS65" s="13">
        <f>VLOOKUP($G65,'Visu totale'!$D$3:$DT$129,DS$1,0)</f>
        <v>0</v>
      </c>
      <c r="DT65" s="13">
        <f>VLOOKUP($G65,'Visu totale'!$D$3:$DT$129,DT$1,0)</f>
        <v>0</v>
      </c>
      <c r="DU65" s="13">
        <f>VLOOKUP($G65,'Visu totale'!$D$3:$DT$129,DU$1,0)</f>
        <v>0</v>
      </c>
      <c r="DV65" s="15">
        <f>VLOOKUP($G65,'Visu totale'!$D$3:$DT$129,DV$1,0)</f>
        <v>0</v>
      </c>
    </row>
    <row r="66" spans="1:126" x14ac:dyDescent="0.25">
      <c r="A66" s="13"/>
      <c r="B66" s="13"/>
      <c r="C66" s="13"/>
      <c r="D66" s="16"/>
      <c r="E66" s="14"/>
      <c r="F66" s="13"/>
      <c r="G66" s="17" t="s">
        <v>68</v>
      </c>
      <c r="H66" s="13" t="str">
        <f>VLOOKUP($G66,'Visu totale'!$D$3:$DT$129,H$1,0)</f>
        <v>MARSAN_D</v>
      </c>
      <c r="I66" s="13" t="str">
        <f>VLOOKUP($G66,'Visu totale'!$D$3:$DT$129,I$1,0)</f>
        <v>MARSAN_D</v>
      </c>
      <c r="J66" s="13" t="str">
        <f>VLOOKUP($G66,'Visu totale'!$D$3:$DT$129,J$1,0)</f>
        <v>MARSAN_D</v>
      </c>
      <c r="K66" s="13" t="str">
        <f>VLOOKUP($G66,'Visu totale'!$D$3:$DT$129,K$1,0)</f>
        <v>MARSAN_D</v>
      </c>
      <c r="L66" s="13">
        <f>VLOOKUP($G66,'Visu totale'!$D$3:$DT$129,L$1,0)</f>
        <v>18</v>
      </c>
      <c r="M66" s="13">
        <f>VLOOKUP($G66,'Visu totale'!$D$3:$DT$129,M$1,0)</f>
        <v>18</v>
      </c>
      <c r="N66" s="13" t="str">
        <f>VLOOKUP($G66,'Visu totale'!$D$3:$DT$129,N$1,0)</f>
        <v>CHAMMAL_D</v>
      </c>
      <c r="O66" s="13" t="str">
        <f>VLOOKUP($G66,'Visu totale'!$D$3:$DT$129,O$1,0)</f>
        <v>CHAMMAL_D</v>
      </c>
      <c r="P66" s="13" t="str">
        <f>VLOOKUP($G66,'Visu totale'!$D$3:$DT$129,P$1,0)</f>
        <v>CHAMMAL_D</v>
      </c>
      <c r="Q66" s="13" t="str">
        <f>VLOOKUP($G66,'Visu totale'!$D$3:$DT$129,Q$1,0)</f>
        <v>CHAMMAL_D</v>
      </c>
      <c r="R66" s="15">
        <f>VLOOKUP($G66,'Visu totale'!$D$3:$DT$129,R$1,0)</f>
        <v>18</v>
      </c>
      <c r="S66" s="14">
        <f>VLOOKUP($G66,'Visu totale'!$D$3:$DT$129,S$1,0)</f>
        <v>18</v>
      </c>
      <c r="T66" s="13" t="str">
        <f>VLOOKUP($G66,'Visu totale'!$D$3:$DT$129,T$1,0)</f>
        <v>CHAMMAL_D</v>
      </c>
      <c r="U66" s="13" t="str">
        <f>VLOOKUP($G66,'Visu totale'!$D$3:$DT$129,U$1,0)</f>
        <v>CHAMMAL_D</v>
      </c>
      <c r="V66" s="13" t="str">
        <f>VLOOKUP($G66,'Visu totale'!$D$3:$DT$129,V$1,0)</f>
        <v>CHAMMAL_D</v>
      </c>
      <c r="W66" s="13" t="str">
        <f>VLOOKUP($G66,'Visu totale'!$D$3:$DT$129,W$1,0)</f>
        <v>CHAMMAL_D</v>
      </c>
      <c r="X66" s="13">
        <f>VLOOKUP($G66,'Visu totale'!$D$3:$DT$129,X$1,0)</f>
        <v>18</v>
      </c>
      <c r="Y66" s="13">
        <f>VLOOKUP($G66,'Visu totale'!$D$3:$DT$129,Y$1,0)</f>
        <v>18</v>
      </c>
      <c r="Z66" s="13">
        <f>VLOOKUP($G66,'Visu totale'!$D$3:$DT$129,Z$1,0)</f>
        <v>18</v>
      </c>
      <c r="AA66" s="13">
        <f>VLOOKUP($G66,'Visu totale'!$D$3:$DT$129,AA$1,0)</f>
        <v>18</v>
      </c>
      <c r="AB66" s="13">
        <f>VLOOKUP($G66,'Visu totale'!$D$3:$DT$129,AB$1,0)</f>
        <v>18</v>
      </c>
      <c r="AC66" s="13">
        <f>VLOOKUP($G66,'Visu totale'!$D$3:$DT$129,AC$1,0)</f>
        <v>18</v>
      </c>
      <c r="AD66" s="15">
        <f>VLOOKUP($G66,'Visu totale'!$D$3:$DT$129,AD$1,0)</f>
        <v>18</v>
      </c>
      <c r="AE66" s="14">
        <f>VLOOKUP($G66,'Visu totale'!$D$3:$DT$129,AE$1,0)</f>
        <v>0</v>
      </c>
      <c r="AF66" s="13" t="str">
        <f>VLOOKUP($G66,'Visu totale'!$D$3:$DT$129,AF$1,0)</f>
        <v>V15</v>
      </c>
      <c r="AG66" s="13" t="str">
        <f>VLOOKUP($G66,'Visu totale'!$D$3:$DT$129,AG$1,0)</f>
        <v>V15</v>
      </c>
      <c r="AH66" s="13" t="str">
        <f>VLOOKUP($G66,'Visu totale'!$D$3:$DT$129,AH$1,0)</f>
        <v>V15</v>
      </c>
      <c r="AI66" s="13" t="str">
        <f>VLOOKUP($G66,'Visu totale'!$D$3:$DT$129,AI$1,0)</f>
        <v>V15</v>
      </c>
      <c r="AJ66" s="13" t="str">
        <f>VLOOKUP($G66,'Visu totale'!$D$3:$DT$129,AJ$1,0)</f>
        <v>V15</v>
      </c>
      <c r="AK66" s="13">
        <f>VLOOKUP($G66,'Visu totale'!$D$3:$DT$129,AK$1,0)</f>
        <v>18</v>
      </c>
      <c r="AL66" s="13">
        <f>VLOOKUP($G66,'Visu totale'!$D$3:$DT$129,AL$1,0)</f>
        <v>18</v>
      </c>
      <c r="AM66" s="13" t="str">
        <f>VLOOKUP($G66,'Visu totale'!$D$3:$DT$129,AM$1,0)</f>
        <v>CHAMMAL_D</v>
      </c>
      <c r="AN66" s="13" t="str">
        <f>VLOOKUP($G66,'Visu totale'!$D$3:$DT$129,AN$1,0)</f>
        <v>CHAMMAL_D</v>
      </c>
      <c r="AO66" s="13" t="str">
        <f>VLOOKUP($G66,'Visu totale'!$D$3:$DT$129,AO$1,0)</f>
        <v>CHAMMAL_D</v>
      </c>
      <c r="AP66" s="15" t="str">
        <f>VLOOKUP($G66,'Visu totale'!$D$3:$DT$129,AP$1,0)</f>
        <v>CHAMMAL_D</v>
      </c>
      <c r="AQ66" s="14">
        <f>VLOOKUP($G66,'Visu totale'!$D$3:$DT$129,AQ$1,0)</f>
        <v>18</v>
      </c>
      <c r="AR66" s="13">
        <f>VLOOKUP($G66,'Visu totale'!$D$3:$DT$129,AR$1,0)</f>
        <v>18</v>
      </c>
      <c r="AS66" s="13" t="str">
        <f>VLOOKUP($G66,'Visu totale'!$D$3:$DT$129,AS$1,0)</f>
        <v>CHAMMAL_D</v>
      </c>
      <c r="AT66" s="13" t="str">
        <f>VLOOKUP($G66,'Visu totale'!$D$3:$DT$129,AT$1,0)</f>
        <v>CHAMMAL_D</v>
      </c>
      <c r="AU66" s="13" t="str">
        <f>VLOOKUP($G66,'Visu totale'!$D$3:$DT$129,AU$1,0)</f>
        <v>CHAMMAL_D</v>
      </c>
      <c r="AV66" s="13" t="str">
        <f>VLOOKUP($G66,'Visu totale'!$D$3:$DT$129,AV$1,0)</f>
        <v>CHAMMAL_D</v>
      </c>
      <c r="AW66" s="13">
        <f>VLOOKUP($G66,'Visu totale'!$D$3:$DT$129,AW$1,0)</f>
        <v>18</v>
      </c>
      <c r="AX66" s="13">
        <f>VLOOKUP($G66,'Visu totale'!$D$3:$DT$129,AX$1,0)</f>
        <v>18</v>
      </c>
      <c r="AY66" s="13" t="str">
        <f>VLOOKUP($G66,'Visu totale'!$D$3:$DT$129,AY$1,0)</f>
        <v>MARSAN_D</v>
      </c>
      <c r="AZ66" s="13" t="str">
        <f>VLOOKUP($G66,'Visu totale'!$D$3:$DT$129,AZ$1,0)</f>
        <v>MARSAN_D</v>
      </c>
      <c r="BA66" s="13" t="str">
        <f>VLOOKUP($G66,'Visu totale'!$D$3:$DT$129,BA$1,0)</f>
        <v>MARSAN_D</v>
      </c>
      <c r="BB66" s="15" t="str">
        <f>VLOOKUP($G66,'Visu totale'!$D$3:$DT$129,BB$1,0)</f>
        <v>MARSAN_D</v>
      </c>
      <c r="BC66" s="14">
        <f>VLOOKUP($G66,'Visu totale'!$D$3:$DT$129,BC$1,0)</f>
        <v>18</v>
      </c>
      <c r="BD66" s="13">
        <f>VLOOKUP($G66,'Visu totale'!$D$3:$DT$129,BD$1,0)</f>
        <v>18</v>
      </c>
      <c r="BE66" s="13">
        <f>VLOOKUP($G66,'Visu totale'!$D$3:$DT$129,BE$1,0)</f>
        <v>18</v>
      </c>
      <c r="BF66" s="13">
        <f>VLOOKUP($G66,'Visu totale'!$D$3:$DT$129,BF$1,0)</f>
        <v>18</v>
      </c>
      <c r="BG66" s="13">
        <f>VLOOKUP($G66,'Visu totale'!$D$3:$DT$129,BG$1,0)</f>
        <v>18</v>
      </c>
      <c r="BH66" s="13">
        <f>VLOOKUP($G66,'Visu totale'!$D$3:$DT$129,BH$1,0)</f>
        <v>18</v>
      </c>
      <c r="BI66" s="13">
        <f>VLOOKUP($G66,'Visu totale'!$D$3:$DT$129,BI$1,0)</f>
        <v>18</v>
      </c>
      <c r="BJ66" s="13">
        <f>VLOOKUP($G66,'Visu totale'!$D$3:$DT$129,BJ$1,0)</f>
        <v>18</v>
      </c>
      <c r="BK66" s="13">
        <f>VLOOKUP($G66,'Visu totale'!$D$3:$DT$129,BK$1,0)</f>
        <v>18</v>
      </c>
      <c r="BL66" s="13">
        <f>VLOOKUP($G66,'Visu totale'!$D$3:$DT$129,BL$1,0)</f>
        <v>18</v>
      </c>
      <c r="BM66" s="13">
        <f>VLOOKUP($G66,'Visu totale'!$D$3:$DT$129,BM$1,0)</f>
        <v>18</v>
      </c>
      <c r="BN66" s="15">
        <f>VLOOKUP($G66,'Visu totale'!$D$3:$DT$129,BN$1,0)</f>
        <v>0</v>
      </c>
      <c r="BO66" s="14" t="str">
        <f>VLOOKUP($G66,'Visu totale'!$D$3:$DT$129,BO$1,0)</f>
        <v>NANCY_D</v>
      </c>
      <c r="BP66" s="13" t="str">
        <f>VLOOKUP($G66,'Visu totale'!$D$3:$DT$129,BP$1,0)</f>
        <v>NANCY_D</v>
      </c>
      <c r="BQ66" s="13" t="str">
        <f>VLOOKUP($G66,'Visu totale'!$D$3:$DT$129,BQ$1,0)</f>
        <v>NANCY_D</v>
      </c>
      <c r="BR66" s="13" t="str">
        <f>VLOOKUP($G66,'Visu totale'!$D$3:$DT$129,BR$1,0)</f>
        <v>NANCY_D</v>
      </c>
      <c r="BS66" s="13">
        <f>VLOOKUP($G66,'Visu totale'!$D$3:$DT$129,BS$1,0)</f>
        <v>18</v>
      </c>
      <c r="BT66" s="13">
        <f>VLOOKUP($G66,'Visu totale'!$D$3:$DT$129,BT$1,0)</f>
        <v>18</v>
      </c>
      <c r="BU66" s="13" t="str">
        <f>VLOOKUP($G66,'Visu totale'!$D$3:$DT$129,BU$1,0)</f>
        <v>NANCY_D</v>
      </c>
      <c r="BV66" s="13" t="str">
        <f>VLOOKUP($G66,'Visu totale'!$D$3:$DT$129,BV$1,0)</f>
        <v>NANCY_D</v>
      </c>
      <c r="BW66" s="13" t="str">
        <f>VLOOKUP($G66,'Visu totale'!$D$3:$DT$129,BW$1,0)</f>
        <v>NANCY_D</v>
      </c>
      <c r="BX66" s="13" t="str">
        <f>VLOOKUP($G66,'Visu totale'!$D$3:$DT$129,BX$1,0)</f>
        <v>NANCY_D</v>
      </c>
      <c r="BY66" s="13">
        <f>VLOOKUP($G66,'Visu totale'!$D$3:$DT$129,BY$1,0)</f>
        <v>18</v>
      </c>
      <c r="BZ66" s="15">
        <f>VLOOKUP($G66,'Visu totale'!$D$3:$DT$129,BZ$1,0)</f>
        <v>18</v>
      </c>
      <c r="CA66" s="14" t="str">
        <f>VLOOKUP($G66,'Visu totale'!$D$3:$DT$129,CA$1,0)</f>
        <v>NANCY_D</v>
      </c>
      <c r="CB66" s="13" t="str">
        <f>VLOOKUP($G66,'Visu totale'!$D$3:$DT$129,CB$1,0)</f>
        <v>NANCY_D</v>
      </c>
      <c r="CC66" s="13" t="str">
        <f>VLOOKUP($G66,'Visu totale'!$D$3:$DT$129,CC$1,0)</f>
        <v>NANCY_D</v>
      </c>
      <c r="CD66" s="13" t="str">
        <f>VLOOKUP($G66,'Visu totale'!$D$3:$DT$129,CD$1,0)</f>
        <v>NANCY_D</v>
      </c>
      <c r="CE66" s="13">
        <f>VLOOKUP($G66,'Visu totale'!$D$3:$DT$129,CE$1,0)</f>
        <v>18</v>
      </c>
      <c r="CF66" s="13">
        <f>VLOOKUP($G66,'Visu totale'!$D$3:$DT$129,CF$1,0)</f>
        <v>18</v>
      </c>
      <c r="CG66" s="13">
        <f>VLOOKUP($G66,'Visu totale'!$D$3:$DT$129,CG$1,0)</f>
        <v>18</v>
      </c>
      <c r="CH66" s="13">
        <f>VLOOKUP($G66,'Visu totale'!$D$3:$DT$129,CH$1,0)</f>
        <v>18</v>
      </c>
      <c r="CI66" s="13">
        <f>VLOOKUP($G66,'Visu totale'!$D$3:$DT$129,CI$1,0)</f>
        <v>18</v>
      </c>
      <c r="CJ66" s="13">
        <f>VLOOKUP($G66,'Visu totale'!$D$3:$DT$129,CJ$1,0)</f>
        <v>18</v>
      </c>
      <c r="CK66" s="13">
        <f>VLOOKUP($G66,'Visu totale'!$D$3:$DT$129,CK$1,0)</f>
        <v>18</v>
      </c>
      <c r="CL66" s="15">
        <f>VLOOKUP($G66,'Visu totale'!$D$3:$DT$129,CL$1,0)</f>
        <v>18</v>
      </c>
      <c r="CM66" s="14">
        <f>VLOOKUP($G66,'Visu totale'!$D$3:$DT$129,CM$1,0)</f>
        <v>0</v>
      </c>
      <c r="CN66" s="13">
        <f>VLOOKUP($G66,'Visu totale'!$D$3:$DT$129,CN$1,0)</f>
        <v>0</v>
      </c>
      <c r="CO66" s="13">
        <f>VLOOKUP($G66,'Visu totale'!$D$3:$DT$129,CO$1,0)</f>
        <v>0</v>
      </c>
      <c r="CP66" s="13">
        <f>VLOOKUP($G66,'Visu totale'!$D$3:$DT$129,CP$1,0)</f>
        <v>0</v>
      </c>
      <c r="CQ66" s="13">
        <f>VLOOKUP($G66,'Visu totale'!$D$3:$DT$129,CQ$1,0)</f>
        <v>0</v>
      </c>
      <c r="CR66" s="13">
        <f>VLOOKUP($G66,'Visu totale'!$D$3:$DT$129,CR$1,0)</f>
        <v>0</v>
      </c>
      <c r="CS66" s="13">
        <f>VLOOKUP($G66,'Visu totale'!$D$3:$DT$129,CS$1,0)</f>
        <v>0</v>
      </c>
      <c r="CT66" s="13">
        <f>VLOOKUP($G66,'Visu totale'!$D$3:$DT$129,CT$1,0)</f>
        <v>18</v>
      </c>
      <c r="CU66" s="13">
        <f>VLOOKUP($G66,'Visu totale'!$D$3:$DT$129,CU$1,0)</f>
        <v>18</v>
      </c>
      <c r="CV66" s="13">
        <f>VLOOKUP($G66,'Visu totale'!$D$3:$DT$129,CV$1,0)</f>
        <v>18</v>
      </c>
      <c r="CW66" s="13">
        <f>VLOOKUP($G66,'Visu totale'!$D$3:$DT$129,CW$1,0)</f>
        <v>18</v>
      </c>
      <c r="CX66" s="15">
        <f>VLOOKUP($G66,'Visu totale'!$D$3:$DT$129,CX$1,0)</f>
        <v>18</v>
      </c>
      <c r="CY66" s="14">
        <f>VLOOKUP($G66,'Visu totale'!$D$3:$DT$129,CY$1,0)</f>
        <v>0</v>
      </c>
      <c r="CZ66" s="13">
        <f>VLOOKUP($G66,'Visu totale'!$D$3:$DT$129,CZ$1,0)</f>
        <v>0</v>
      </c>
      <c r="DA66" s="13">
        <f>VLOOKUP($G66,'Visu totale'!$D$3:$DT$129,DA$1,0)</f>
        <v>0</v>
      </c>
      <c r="DB66" s="13">
        <f>VLOOKUP($G66,'Visu totale'!$D$3:$DT$129,DB$1,0)</f>
        <v>0</v>
      </c>
      <c r="DC66" s="13">
        <f>VLOOKUP($G66,'Visu totale'!$D$3:$DT$129,DC$1,0)</f>
        <v>0</v>
      </c>
      <c r="DD66" s="13">
        <f>VLOOKUP($G66,'Visu totale'!$D$3:$DT$129,DD$1,0)</f>
        <v>0</v>
      </c>
      <c r="DE66" s="13">
        <f>VLOOKUP($G66,'Visu totale'!$D$3:$DT$129,DE$1,0)</f>
        <v>0</v>
      </c>
      <c r="DF66" s="13">
        <f>VLOOKUP($G66,'Visu totale'!$D$3:$DT$129,DF$1,0)</f>
        <v>0</v>
      </c>
      <c r="DG66" s="13">
        <f>VLOOKUP($G66,'Visu totale'!$D$3:$DT$129,DG$1,0)</f>
        <v>0</v>
      </c>
      <c r="DH66" s="13">
        <f>VLOOKUP($G66,'Visu totale'!$D$3:$DT$129,DH$1,0)</f>
        <v>0</v>
      </c>
      <c r="DI66" s="13">
        <f>VLOOKUP($G66,'Visu totale'!$D$3:$DT$129,DI$1,0)</f>
        <v>0</v>
      </c>
      <c r="DJ66" s="15">
        <f>VLOOKUP($G66,'Visu totale'!$D$3:$DT$129,DJ$1,0)</f>
        <v>0</v>
      </c>
      <c r="DK66" s="14">
        <f>VLOOKUP($G66,'Visu totale'!$D$3:$DT$129,DK$1,0)</f>
        <v>0</v>
      </c>
      <c r="DL66" s="13">
        <f>VLOOKUP($G66,'Visu totale'!$D$3:$DT$129,DL$1,0)</f>
        <v>0</v>
      </c>
      <c r="DM66" s="13">
        <f>VLOOKUP($G66,'Visu totale'!$D$3:$DT$129,DM$1,0)</f>
        <v>0</v>
      </c>
      <c r="DN66" s="13">
        <f>VLOOKUP($G66,'Visu totale'!$D$3:$DT$129,DN$1,0)</f>
        <v>0</v>
      </c>
      <c r="DO66" s="13">
        <f>VLOOKUP($G66,'Visu totale'!$D$3:$DT$129,DO$1,0)</f>
        <v>0</v>
      </c>
      <c r="DP66" s="13">
        <f>VLOOKUP($G66,'Visu totale'!$D$3:$DT$129,DP$1,0)</f>
        <v>0</v>
      </c>
      <c r="DQ66" s="13">
        <f>VLOOKUP($G66,'Visu totale'!$D$3:$DT$129,DQ$1,0)</f>
        <v>0</v>
      </c>
      <c r="DR66" s="13">
        <f>VLOOKUP($G66,'Visu totale'!$D$3:$DT$129,DR$1,0)</f>
        <v>0</v>
      </c>
      <c r="DS66" s="13">
        <f>VLOOKUP($G66,'Visu totale'!$D$3:$DT$129,DS$1,0)</f>
        <v>0</v>
      </c>
      <c r="DT66" s="13">
        <f>VLOOKUP($G66,'Visu totale'!$D$3:$DT$129,DT$1,0)</f>
        <v>0</v>
      </c>
      <c r="DU66" s="13">
        <f>VLOOKUP($G66,'Visu totale'!$D$3:$DT$129,DU$1,0)</f>
        <v>0</v>
      </c>
      <c r="DV66" s="15">
        <f>VLOOKUP($G66,'Visu totale'!$D$3:$DT$129,DV$1,0)</f>
        <v>0</v>
      </c>
    </row>
    <row r="67" spans="1:126" x14ac:dyDescent="0.25">
      <c r="A67" s="13"/>
      <c r="B67" s="13"/>
      <c r="C67" s="13"/>
      <c r="D67" s="16"/>
      <c r="E67" s="14"/>
      <c r="F67" s="13"/>
      <c r="G67" s="17" t="s">
        <v>69</v>
      </c>
      <c r="H67" s="13">
        <f>VLOOKUP($G67,'Visu totale'!$D$3:$DT$129,H$1,0)</f>
        <v>18</v>
      </c>
      <c r="I67" s="13" t="str">
        <f>VLOOKUP($G67,'Visu totale'!$D$3:$DT$129,I$1,0)</f>
        <v>V15</v>
      </c>
      <c r="J67" s="13" t="str">
        <f>VLOOKUP($G67,'Visu totale'!$D$3:$DT$129,J$1,0)</f>
        <v>V15</v>
      </c>
      <c r="K67" s="13" t="str">
        <f>VLOOKUP($G67,'Visu totale'!$D$3:$DT$129,K$1,0)</f>
        <v>V15</v>
      </c>
      <c r="L67" s="13" t="str">
        <f>VLOOKUP($G67,'Visu totale'!$D$3:$DT$129,L$1,0)</f>
        <v>V15</v>
      </c>
      <c r="M67" s="13" t="str">
        <f>VLOOKUP($G67,'Visu totale'!$D$3:$DT$129,M$1,0)</f>
        <v>V15</v>
      </c>
      <c r="N67" s="13" t="str">
        <f>VLOOKUP($G67,'Visu totale'!$D$3:$DT$129,N$1,0)</f>
        <v>V15</v>
      </c>
      <c r="O67" s="13" t="str">
        <f>VLOOKUP($G67,'Visu totale'!$D$3:$DT$129,O$1,0)</f>
        <v>V15</v>
      </c>
      <c r="P67" s="13">
        <f>VLOOKUP($G67,'Visu totale'!$D$3:$DT$129,P$1,0)</f>
        <v>18</v>
      </c>
      <c r="Q67" s="13">
        <f>VLOOKUP($G67,'Visu totale'!$D$3:$DT$129,Q$1,0)</f>
        <v>18</v>
      </c>
      <c r="R67" s="15" t="str">
        <f>VLOOKUP($G67,'Visu totale'!$D$3:$DT$129,R$1,0)</f>
        <v>CHAMMAL_D</v>
      </c>
      <c r="S67" s="14" t="str">
        <f>VLOOKUP($G67,'Visu totale'!$D$3:$DT$129,S$1,0)</f>
        <v>CHAMMAL_D</v>
      </c>
      <c r="T67" s="13" t="str">
        <f>VLOOKUP($G67,'Visu totale'!$D$3:$DT$129,T$1,0)</f>
        <v>CHAMMAL_D</v>
      </c>
      <c r="U67" s="13" t="str">
        <f>VLOOKUP($G67,'Visu totale'!$D$3:$DT$129,U$1,0)</f>
        <v>CHAMMAL_D</v>
      </c>
      <c r="V67" s="13">
        <f>VLOOKUP($G67,'Visu totale'!$D$3:$DT$129,V$1,0)</f>
        <v>18</v>
      </c>
      <c r="W67" s="13">
        <f>VLOOKUP($G67,'Visu totale'!$D$3:$DT$129,W$1,0)</f>
        <v>18</v>
      </c>
      <c r="X67" s="13" t="str">
        <f>VLOOKUP($G67,'Visu totale'!$D$3:$DT$129,X$1,0)</f>
        <v>CHAMMAL_D</v>
      </c>
      <c r="Y67" s="13" t="str">
        <f>VLOOKUP($G67,'Visu totale'!$D$3:$DT$129,Y$1,0)</f>
        <v>CHAMMAL_D</v>
      </c>
      <c r="Z67" s="13" t="str">
        <f>VLOOKUP($G67,'Visu totale'!$D$3:$DT$129,Z$1,0)</f>
        <v>CHAMMAL_D</v>
      </c>
      <c r="AA67" s="13" t="str">
        <f>VLOOKUP($G67,'Visu totale'!$D$3:$DT$129,AA$1,0)</f>
        <v>CHAMMAL_D</v>
      </c>
      <c r="AB67" s="13">
        <f>VLOOKUP($G67,'Visu totale'!$D$3:$DT$129,AB$1,0)</f>
        <v>18</v>
      </c>
      <c r="AC67" s="13">
        <f>VLOOKUP($G67,'Visu totale'!$D$3:$DT$129,AC$1,0)</f>
        <v>18</v>
      </c>
      <c r="AD67" s="15" t="str">
        <f>VLOOKUP($G67,'Visu totale'!$D$3:$DT$129,AD$1,0)</f>
        <v>NANCY_D</v>
      </c>
      <c r="AE67" s="14" t="str">
        <f>VLOOKUP($G67,'Visu totale'!$D$3:$DT$129,AE$1,0)</f>
        <v>NANCY_D</v>
      </c>
      <c r="AF67" s="13" t="str">
        <f>VLOOKUP($G67,'Visu totale'!$D$3:$DT$129,AF$1,0)</f>
        <v>NANCY_D</v>
      </c>
      <c r="AG67" s="13" t="str">
        <f>VLOOKUP($G67,'Visu totale'!$D$3:$DT$129,AG$1,0)</f>
        <v>NANCY_D</v>
      </c>
      <c r="AH67" s="13">
        <f>VLOOKUP($G67,'Visu totale'!$D$3:$DT$129,AH$1,0)</f>
        <v>18</v>
      </c>
      <c r="AI67" s="13">
        <f>VLOOKUP($G67,'Visu totale'!$D$3:$DT$129,AI$1,0)</f>
        <v>18</v>
      </c>
      <c r="AJ67" s="13">
        <f>VLOOKUP($G67,'Visu totale'!$D$3:$DT$129,AJ$1,0)</f>
        <v>18</v>
      </c>
      <c r="AK67" s="13">
        <f>VLOOKUP($G67,'Visu totale'!$D$3:$DT$129,AK$1,0)</f>
        <v>18</v>
      </c>
      <c r="AL67" s="13">
        <f>VLOOKUP($G67,'Visu totale'!$D$3:$DT$129,AL$1,0)</f>
        <v>18</v>
      </c>
      <c r="AM67" s="13">
        <f>VLOOKUP($G67,'Visu totale'!$D$3:$DT$129,AM$1,0)</f>
        <v>18</v>
      </c>
      <c r="AN67" s="13">
        <f>VLOOKUP($G67,'Visu totale'!$D$3:$DT$129,AN$1,0)</f>
        <v>18</v>
      </c>
      <c r="AO67" s="13">
        <f>VLOOKUP($G67,'Visu totale'!$D$3:$DT$129,AO$1,0)</f>
        <v>18</v>
      </c>
      <c r="AP67" s="15">
        <f>VLOOKUP($G67,'Visu totale'!$D$3:$DT$129,AP$1,0)</f>
        <v>18</v>
      </c>
      <c r="AQ67" s="14">
        <f>VLOOKUP($G67,'Visu totale'!$D$3:$DT$129,AQ$1,0)</f>
        <v>18</v>
      </c>
      <c r="AR67" s="13">
        <f>VLOOKUP($G67,'Visu totale'!$D$3:$DT$129,AR$1,0)</f>
        <v>18</v>
      </c>
      <c r="AS67" s="13">
        <f>VLOOKUP($G67,'Visu totale'!$D$3:$DT$129,AS$1,0)</f>
        <v>0</v>
      </c>
      <c r="AT67" s="13">
        <f>VLOOKUP($G67,'Visu totale'!$D$3:$DT$129,AT$1,0)</f>
        <v>0</v>
      </c>
      <c r="AU67" s="13">
        <f>VLOOKUP($G67,'Visu totale'!$D$3:$DT$129,AU$1,0)</f>
        <v>0</v>
      </c>
      <c r="AV67" s="13">
        <f>VLOOKUP($G67,'Visu totale'!$D$3:$DT$129,AV$1,0)</f>
        <v>0</v>
      </c>
      <c r="AW67" s="13">
        <f>VLOOKUP($G67,'Visu totale'!$D$3:$DT$129,AW$1,0)</f>
        <v>0</v>
      </c>
      <c r="AX67" s="13">
        <f>VLOOKUP($G67,'Visu totale'!$D$3:$DT$129,AX$1,0)</f>
        <v>0</v>
      </c>
      <c r="AY67" s="13">
        <f>VLOOKUP($G67,'Visu totale'!$D$3:$DT$129,AY$1,0)</f>
        <v>0</v>
      </c>
      <c r="AZ67" s="13">
        <f>VLOOKUP($G67,'Visu totale'!$D$3:$DT$129,AZ$1,0)</f>
        <v>0</v>
      </c>
      <c r="BA67" s="13">
        <f>VLOOKUP($G67,'Visu totale'!$D$3:$DT$129,BA$1,0)</f>
        <v>0</v>
      </c>
      <c r="BB67" s="15">
        <f>VLOOKUP($G67,'Visu totale'!$D$3:$DT$129,BB$1,0)</f>
        <v>0</v>
      </c>
      <c r="BC67" s="14">
        <f>VLOOKUP($G67,'Visu totale'!$D$3:$DT$129,BC$1,0)</f>
        <v>0</v>
      </c>
      <c r="BD67" s="13">
        <f>VLOOKUP($G67,'Visu totale'!$D$3:$DT$129,BD$1,0)</f>
        <v>0</v>
      </c>
      <c r="BE67" s="13">
        <f>VLOOKUP($G67,'Visu totale'!$D$3:$DT$129,BE$1,0)</f>
        <v>0</v>
      </c>
      <c r="BF67" s="13">
        <f>VLOOKUP($G67,'Visu totale'!$D$3:$DT$129,BF$1,0)</f>
        <v>0</v>
      </c>
      <c r="BG67" s="13">
        <f>VLOOKUP($G67,'Visu totale'!$D$3:$DT$129,BG$1,0)</f>
        <v>0</v>
      </c>
      <c r="BH67" s="13">
        <f>VLOOKUP($G67,'Visu totale'!$D$3:$DT$129,BH$1,0)</f>
        <v>0</v>
      </c>
      <c r="BI67" s="13">
        <f>VLOOKUP($G67,'Visu totale'!$D$3:$DT$129,BI$1,0)</f>
        <v>0</v>
      </c>
      <c r="BJ67" s="13">
        <f>VLOOKUP($G67,'Visu totale'!$D$3:$DT$129,BJ$1,0)</f>
        <v>0</v>
      </c>
      <c r="BK67" s="13" t="str">
        <f>VLOOKUP($G67,'Visu totale'!$D$3:$DT$129,BK$1,0)</f>
        <v>V20</v>
      </c>
      <c r="BL67" s="13" t="str">
        <f>VLOOKUP($G67,'Visu totale'!$D$3:$DT$129,BL$1,0)</f>
        <v>V20</v>
      </c>
      <c r="BM67" s="13" t="str">
        <f>VLOOKUP($G67,'Visu totale'!$D$3:$DT$129,BM$1,0)</f>
        <v>V20</v>
      </c>
      <c r="BN67" s="15" t="str">
        <f>VLOOKUP($G67,'Visu totale'!$D$3:$DT$129,BN$1,0)</f>
        <v>V20</v>
      </c>
      <c r="BO67" s="14">
        <f>VLOOKUP($G67,'Visu totale'!$D$3:$DT$129,BO$1,0)</f>
        <v>18</v>
      </c>
      <c r="BP67" s="13" t="str">
        <f>VLOOKUP($G67,'Visu totale'!$D$3:$DT$129,BP$1,0)</f>
        <v>V15</v>
      </c>
      <c r="BQ67" s="13" t="str">
        <f>VLOOKUP($G67,'Visu totale'!$D$3:$DT$129,BQ$1,0)</f>
        <v>V15</v>
      </c>
      <c r="BR67" s="13" t="str">
        <f>VLOOKUP($G67,'Visu totale'!$D$3:$DT$129,BR$1,0)</f>
        <v>V15</v>
      </c>
      <c r="BS67" s="13" t="str">
        <f>VLOOKUP($G67,'Visu totale'!$D$3:$DT$129,BS$1,0)</f>
        <v>V15</v>
      </c>
      <c r="BT67" s="13" t="str">
        <f>VLOOKUP($G67,'Visu totale'!$D$3:$DT$129,BT$1,0)</f>
        <v>V15</v>
      </c>
      <c r="BU67" s="13" t="str">
        <f>VLOOKUP($G67,'Visu totale'!$D$3:$DT$129,BU$1,0)</f>
        <v>V15</v>
      </c>
      <c r="BV67" s="13">
        <f>VLOOKUP($G67,'Visu totale'!$D$3:$DT$129,BV$1,0)</f>
        <v>18</v>
      </c>
      <c r="BW67" s="13">
        <f>VLOOKUP($G67,'Visu totale'!$D$3:$DT$129,BW$1,0)</f>
        <v>18</v>
      </c>
      <c r="BX67" s="13" t="str">
        <f>VLOOKUP($G67,'Visu totale'!$D$3:$DT$129,BX$1,0)</f>
        <v>NANCY_D</v>
      </c>
      <c r="BY67" s="13" t="str">
        <f>VLOOKUP($G67,'Visu totale'!$D$3:$DT$129,BY$1,0)</f>
        <v>NANCY_D</v>
      </c>
      <c r="BZ67" s="15" t="str">
        <f>VLOOKUP($G67,'Visu totale'!$D$3:$DT$129,BZ$1,0)</f>
        <v>NANCY_D</v>
      </c>
      <c r="CA67" s="14" t="str">
        <f>VLOOKUP($G67,'Visu totale'!$D$3:$DT$129,CA$1,0)</f>
        <v>NANCY_D</v>
      </c>
      <c r="CB67" s="13">
        <f>VLOOKUP($G67,'Visu totale'!$D$3:$DT$129,CB$1,0)</f>
        <v>18</v>
      </c>
      <c r="CC67" s="13">
        <f>VLOOKUP($G67,'Visu totale'!$D$3:$DT$129,CC$1,0)</f>
        <v>18</v>
      </c>
      <c r="CD67" s="13" t="str">
        <f>VLOOKUP($G67,'Visu totale'!$D$3:$DT$129,CD$1,0)</f>
        <v>NANCY_D</v>
      </c>
      <c r="CE67" s="13" t="str">
        <f>VLOOKUP($G67,'Visu totale'!$D$3:$DT$129,CE$1,0)</f>
        <v>NANCY_D</v>
      </c>
      <c r="CF67" s="13" t="str">
        <f>VLOOKUP($G67,'Visu totale'!$D$3:$DT$129,CF$1,0)</f>
        <v>NANCY_D</v>
      </c>
      <c r="CG67" s="13" t="str">
        <f>VLOOKUP($G67,'Visu totale'!$D$3:$DT$129,CG$1,0)</f>
        <v>NANCY_D</v>
      </c>
      <c r="CH67" s="13">
        <f>VLOOKUP($G67,'Visu totale'!$D$3:$DT$129,CH$1,0)</f>
        <v>18</v>
      </c>
      <c r="CI67" s="13">
        <f>VLOOKUP($G67,'Visu totale'!$D$3:$DT$129,CI$1,0)</f>
        <v>18</v>
      </c>
      <c r="CJ67" s="13" t="str">
        <f>VLOOKUP($G67,'Visu totale'!$D$3:$DT$129,CJ$1,0)</f>
        <v>NANCY_D</v>
      </c>
      <c r="CK67" s="13" t="str">
        <f>VLOOKUP($G67,'Visu totale'!$D$3:$DT$129,CK$1,0)</f>
        <v>NANCY_D</v>
      </c>
      <c r="CL67" s="15" t="str">
        <f>VLOOKUP($G67,'Visu totale'!$D$3:$DT$129,CL$1,0)</f>
        <v>NANCY_D</v>
      </c>
      <c r="CM67" s="14" t="str">
        <f>VLOOKUP($G67,'Visu totale'!$D$3:$DT$129,CM$1,0)</f>
        <v>NANCY_D</v>
      </c>
      <c r="CN67" s="13">
        <f>VLOOKUP($G67,'Visu totale'!$D$3:$DT$129,CN$1,0)</f>
        <v>18</v>
      </c>
      <c r="CO67" s="13">
        <f>VLOOKUP($G67,'Visu totale'!$D$3:$DT$129,CO$1,0)</f>
        <v>18</v>
      </c>
      <c r="CP67" s="13" t="str">
        <f>VLOOKUP($G67,'Visu totale'!$D$3:$DT$129,CP$1,0)</f>
        <v>NANCY_D</v>
      </c>
      <c r="CQ67" s="13" t="str">
        <f>VLOOKUP($G67,'Visu totale'!$D$3:$DT$129,CQ$1,0)</f>
        <v>NANCY_D</v>
      </c>
      <c r="CR67" s="13" t="str">
        <f>VLOOKUP($G67,'Visu totale'!$D$3:$DT$129,CR$1,0)</f>
        <v>NANCY_D</v>
      </c>
      <c r="CS67" s="13" t="str">
        <f>VLOOKUP($G67,'Visu totale'!$D$3:$DT$129,CS$1,0)</f>
        <v>NANCY_D</v>
      </c>
      <c r="CT67" s="13">
        <f>VLOOKUP($G67,'Visu totale'!$D$3:$DT$129,CT$1,0)</f>
        <v>18</v>
      </c>
      <c r="CU67" s="13">
        <f>VLOOKUP($G67,'Visu totale'!$D$3:$DT$129,CU$1,0)</f>
        <v>18</v>
      </c>
      <c r="CV67" s="13">
        <f>VLOOKUP($G67,'Visu totale'!$D$3:$DT$129,CV$1,0)</f>
        <v>18</v>
      </c>
      <c r="CW67" s="13">
        <f>VLOOKUP($G67,'Visu totale'!$D$3:$DT$129,CW$1,0)</f>
        <v>18</v>
      </c>
      <c r="CX67" s="15">
        <f>VLOOKUP($G67,'Visu totale'!$D$3:$DT$129,CX$1,0)</f>
        <v>18</v>
      </c>
      <c r="CY67" s="14">
        <f>VLOOKUP($G67,'Visu totale'!$D$3:$DT$129,CY$1,0)</f>
        <v>0</v>
      </c>
      <c r="CZ67" s="13">
        <f>VLOOKUP($G67,'Visu totale'!$D$3:$DT$129,CZ$1,0)</f>
        <v>0</v>
      </c>
      <c r="DA67" s="13">
        <f>VLOOKUP($G67,'Visu totale'!$D$3:$DT$129,DA$1,0)</f>
        <v>0</v>
      </c>
      <c r="DB67" s="13">
        <f>VLOOKUP($G67,'Visu totale'!$D$3:$DT$129,DB$1,0)</f>
        <v>0</v>
      </c>
      <c r="DC67" s="13">
        <f>VLOOKUP($G67,'Visu totale'!$D$3:$DT$129,DC$1,0)</f>
        <v>0</v>
      </c>
      <c r="DD67" s="13">
        <f>VLOOKUP($G67,'Visu totale'!$D$3:$DT$129,DD$1,0)</f>
        <v>0</v>
      </c>
      <c r="DE67" s="13">
        <f>VLOOKUP($G67,'Visu totale'!$D$3:$DT$129,DE$1,0)</f>
        <v>0</v>
      </c>
      <c r="DF67" s="13">
        <f>VLOOKUP($G67,'Visu totale'!$D$3:$DT$129,DF$1,0)</f>
        <v>0</v>
      </c>
      <c r="DG67" s="13">
        <f>VLOOKUP($G67,'Visu totale'!$D$3:$DT$129,DG$1,0)</f>
        <v>0</v>
      </c>
      <c r="DH67" s="13">
        <f>VLOOKUP($G67,'Visu totale'!$D$3:$DT$129,DH$1,0)</f>
        <v>0</v>
      </c>
      <c r="DI67" s="13">
        <f>VLOOKUP($G67,'Visu totale'!$D$3:$DT$129,DI$1,0)</f>
        <v>0</v>
      </c>
      <c r="DJ67" s="15">
        <f>VLOOKUP($G67,'Visu totale'!$D$3:$DT$129,DJ$1,0)</f>
        <v>0</v>
      </c>
      <c r="DK67" s="14">
        <f>VLOOKUP($G67,'Visu totale'!$D$3:$DT$129,DK$1,0)</f>
        <v>0</v>
      </c>
      <c r="DL67" s="13">
        <f>VLOOKUP($G67,'Visu totale'!$D$3:$DT$129,DL$1,0)</f>
        <v>0</v>
      </c>
      <c r="DM67" s="13">
        <f>VLOOKUP($G67,'Visu totale'!$D$3:$DT$129,DM$1,0)</f>
        <v>0</v>
      </c>
      <c r="DN67" s="13">
        <f>VLOOKUP($G67,'Visu totale'!$D$3:$DT$129,DN$1,0)</f>
        <v>0</v>
      </c>
      <c r="DO67" s="13">
        <f>VLOOKUP($G67,'Visu totale'!$D$3:$DT$129,DO$1,0)</f>
        <v>0</v>
      </c>
      <c r="DP67" s="13">
        <f>VLOOKUP($G67,'Visu totale'!$D$3:$DT$129,DP$1,0)</f>
        <v>0</v>
      </c>
      <c r="DQ67" s="13">
        <f>VLOOKUP($G67,'Visu totale'!$D$3:$DT$129,DQ$1,0)</f>
        <v>0</v>
      </c>
      <c r="DR67" s="13">
        <f>VLOOKUP($G67,'Visu totale'!$D$3:$DT$129,DR$1,0)</f>
        <v>0</v>
      </c>
      <c r="DS67" s="13">
        <f>VLOOKUP($G67,'Visu totale'!$D$3:$DT$129,DS$1,0)</f>
        <v>0</v>
      </c>
      <c r="DT67" s="13">
        <f>VLOOKUP($G67,'Visu totale'!$D$3:$DT$129,DT$1,0)</f>
        <v>0</v>
      </c>
      <c r="DU67" s="13">
        <f>VLOOKUP($G67,'Visu totale'!$D$3:$DT$129,DU$1,0)</f>
        <v>0</v>
      </c>
      <c r="DV67" s="15">
        <f>VLOOKUP($G67,'Visu totale'!$D$3:$DT$129,DV$1,0)</f>
        <v>0</v>
      </c>
    </row>
    <row r="68" spans="1:126" x14ac:dyDescent="0.25">
      <c r="A68" s="13"/>
      <c r="B68" s="13"/>
      <c r="C68" s="13"/>
      <c r="D68" s="16"/>
      <c r="E68" s="14"/>
      <c r="F68" s="13"/>
      <c r="G68" s="17" t="s">
        <v>70</v>
      </c>
      <c r="H68" s="13">
        <f>VLOOKUP($G68,'Visu totale'!$D$3:$DT$129,H$1,0)</f>
        <v>18</v>
      </c>
      <c r="I68" s="13" t="str">
        <f>VLOOKUP($G68,'Visu totale'!$D$3:$DT$129,I$1,0)</f>
        <v>NANCY_D</v>
      </c>
      <c r="J68" s="13" t="str">
        <f>VLOOKUP($G68,'Visu totale'!$D$3:$DT$129,J$1,0)</f>
        <v>NANCY_D</v>
      </c>
      <c r="K68" s="13" t="str">
        <f>VLOOKUP($G68,'Visu totale'!$D$3:$DT$129,K$1,0)</f>
        <v>NANCY_D</v>
      </c>
      <c r="L68" s="13" t="str">
        <f>VLOOKUP($G68,'Visu totale'!$D$3:$DT$129,L$1,0)</f>
        <v>NANCY_D</v>
      </c>
      <c r="M68" s="13" t="str">
        <f>VLOOKUP($G68,'Visu totale'!$D$3:$DT$129,M$1,0)</f>
        <v>V15</v>
      </c>
      <c r="N68" s="13" t="str">
        <f>VLOOKUP($G68,'Visu totale'!$D$3:$DT$129,N$1,0)</f>
        <v>V15</v>
      </c>
      <c r="O68" s="13" t="str">
        <f>VLOOKUP($G68,'Visu totale'!$D$3:$DT$129,O$1,0)</f>
        <v>V15</v>
      </c>
      <c r="P68" s="13" t="str">
        <f>VLOOKUP($G68,'Visu totale'!$D$3:$DT$129,P$1,0)</f>
        <v>V15</v>
      </c>
      <c r="Q68" s="13" t="str">
        <f>VLOOKUP($G68,'Visu totale'!$D$3:$DT$129,Q$1,0)</f>
        <v>V15</v>
      </c>
      <c r="R68" s="15" t="str">
        <f>VLOOKUP($G68,'Visu totale'!$D$3:$DT$129,R$1,0)</f>
        <v>V15</v>
      </c>
      <c r="S68" s="14" t="str">
        <f>VLOOKUP($G68,'Visu totale'!$D$3:$DT$129,S$1,0)</f>
        <v>V15</v>
      </c>
      <c r="T68" s="13">
        <f>VLOOKUP($G68,'Visu totale'!$D$3:$DT$129,T$1,0)</f>
        <v>18</v>
      </c>
      <c r="U68" s="13">
        <f>VLOOKUP($G68,'Visu totale'!$D$3:$DT$129,U$1,0)</f>
        <v>18</v>
      </c>
      <c r="V68" s="13" t="str">
        <f>VLOOKUP($G68,'Visu totale'!$D$3:$DT$129,V$1,0)</f>
        <v>NANCY_D</v>
      </c>
      <c r="W68" s="13" t="str">
        <f>VLOOKUP($G68,'Visu totale'!$D$3:$DT$129,W$1,0)</f>
        <v>NANCY_D</v>
      </c>
      <c r="X68" s="13" t="str">
        <f>VLOOKUP($G68,'Visu totale'!$D$3:$DT$129,X$1,0)</f>
        <v>NANCY_D</v>
      </c>
      <c r="Y68" s="13" t="str">
        <f>VLOOKUP($G68,'Visu totale'!$D$3:$DT$129,Y$1,0)</f>
        <v>NANCY_D</v>
      </c>
      <c r="Z68" s="13">
        <f>VLOOKUP($G68,'Visu totale'!$D$3:$DT$129,Z$1,0)</f>
        <v>18</v>
      </c>
      <c r="AA68" s="13">
        <f>VLOOKUP($G68,'Visu totale'!$D$3:$DT$129,AA$1,0)</f>
        <v>18</v>
      </c>
      <c r="AB68" s="13" t="str">
        <f>VLOOKUP($G68,'Visu totale'!$D$3:$DT$129,AB$1,0)</f>
        <v>NANCY_D</v>
      </c>
      <c r="AC68" s="13" t="str">
        <f>VLOOKUP($G68,'Visu totale'!$D$3:$DT$129,AC$1,0)</f>
        <v>NANCY_D</v>
      </c>
      <c r="AD68" s="15" t="str">
        <f>VLOOKUP($G68,'Visu totale'!$D$3:$DT$129,AD$1,0)</f>
        <v>NANCY_D</v>
      </c>
      <c r="AE68" s="14" t="str">
        <f>VLOOKUP($G68,'Visu totale'!$D$3:$DT$129,AE$1,0)</f>
        <v>NANCY_D</v>
      </c>
      <c r="AF68" s="13">
        <f>VLOOKUP($G68,'Visu totale'!$D$3:$DT$129,AF$1,0)</f>
        <v>18</v>
      </c>
      <c r="AG68" s="13">
        <f>VLOOKUP($G68,'Visu totale'!$D$3:$DT$129,AG$1,0)</f>
        <v>18</v>
      </c>
      <c r="AH68" s="13" t="str">
        <f>VLOOKUP($G68,'Visu totale'!$D$3:$DT$129,AH$1,0)</f>
        <v>NANCY_D</v>
      </c>
      <c r="AI68" s="13" t="str">
        <f>VLOOKUP($G68,'Visu totale'!$D$3:$DT$129,AI$1,0)</f>
        <v>NANCY_D</v>
      </c>
      <c r="AJ68" s="13" t="str">
        <f>VLOOKUP($G68,'Visu totale'!$D$3:$DT$129,AJ$1,0)</f>
        <v>NANCY_D</v>
      </c>
      <c r="AK68" s="13">
        <f>VLOOKUP($G68,'Visu totale'!$D$3:$DT$129,AK$1,0)</f>
        <v>18</v>
      </c>
      <c r="AL68" s="13">
        <f>VLOOKUP($G68,'Visu totale'!$D$3:$DT$129,AL$1,0)</f>
        <v>18</v>
      </c>
      <c r="AM68" s="13" t="str">
        <f>VLOOKUP($G68,'Visu totale'!$D$3:$DT$129,AM$1,0)</f>
        <v>NANCY_D</v>
      </c>
      <c r="AN68" s="13" t="str">
        <f>VLOOKUP($G68,'Visu totale'!$D$3:$DT$129,AN$1,0)</f>
        <v>NANCY_D</v>
      </c>
      <c r="AO68" s="13" t="str">
        <f>VLOOKUP($G68,'Visu totale'!$D$3:$DT$129,AO$1,0)</f>
        <v>NANCY_D</v>
      </c>
      <c r="AP68" s="15" t="str">
        <f>VLOOKUP($G68,'Visu totale'!$D$3:$DT$129,AP$1,0)</f>
        <v>NANCY_D</v>
      </c>
      <c r="AQ68" s="14">
        <f>VLOOKUP($G68,'Visu totale'!$D$3:$DT$129,AQ$1,0)</f>
        <v>18</v>
      </c>
      <c r="AR68" s="13">
        <f>VLOOKUP($G68,'Visu totale'!$D$3:$DT$129,AR$1,0)</f>
        <v>18</v>
      </c>
      <c r="AS68" s="13" t="str">
        <f>VLOOKUP($G68,'Visu totale'!$D$3:$DT$129,AS$1,0)</f>
        <v>NANCY_D</v>
      </c>
      <c r="AT68" s="13" t="str">
        <f>VLOOKUP($G68,'Visu totale'!$D$3:$DT$129,AT$1,0)</f>
        <v>NANCY_D</v>
      </c>
      <c r="AU68" s="13" t="str">
        <f>VLOOKUP($G68,'Visu totale'!$D$3:$DT$129,AU$1,0)</f>
        <v>NANCY_D</v>
      </c>
      <c r="AV68" s="13" t="str">
        <f>VLOOKUP($G68,'Visu totale'!$D$3:$DT$129,AV$1,0)</f>
        <v>NANCY_D</v>
      </c>
      <c r="AW68" s="13">
        <f>VLOOKUP($G68,'Visu totale'!$D$3:$DT$129,AW$1,0)</f>
        <v>18</v>
      </c>
      <c r="AX68" s="13">
        <f>VLOOKUP($G68,'Visu totale'!$D$3:$DT$129,AX$1,0)</f>
        <v>18</v>
      </c>
      <c r="AY68" s="13" t="str">
        <f>VLOOKUP($G68,'Visu totale'!$D$3:$DT$129,AY$1,0)</f>
        <v>NANCY_D</v>
      </c>
      <c r="AZ68" s="13" t="str">
        <f>VLOOKUP($G68,'Visu totale'!$D$3:$DT$129,AZ$1,0)</f>
        <v>NANCY_D</v>
      </c>
      <c r="BA68" s="13" t="str">
        <f>VLOOKUP($G68,'Visu totale'!$D$3:$DT$129,BA$1,0)</f>
        <v>NANCY_D</v>
      </c>
      <c r="BB68" s="15" t="str">
        <f>VLOOKUP($G68,'Visu totale'!$D$3:$DT$129,BB$1,0)</f>
        <v>NANCY_D</v>
      </c>
      <c r="BC68" s="14">
        <f>VLOOKUP($G68,'Visu totale'!$D$3:$DT$129,BC$1,0)</f>
        <v>18</v>
      </c>
      <c r="BD68" s="13">
        <f>VLOOKUP($G68,'Visu totale'!$D$3:$DT$129,BD$1,0)</f>
        <v>18</v>
      </c>
      <c r="BE68" s="13" t="str">
        <f>VLOOKUP($G68,'Visu totale'!$D$3:$DT$129,BE$1,0)</f>
        <v>NANCY_D</v>
      </c>
      <c r="BF68" s="13" t="str">
        <f>VLOOKUP($G68,'Visu totale'!$D$3:$DT$129,BF$1,0)</f>
        <v>NANCY_D</v>
      </c>
      <c r="BG68" s="13" t="str">
        <f>VLOOKUP($G68,'Visu totale'!$D$3:$DT$129,BG$1,0)</f>
        <v>NANCY_D</v>
      </c>
      <c r="BH68" s="13" t="str">
        <f>VLOOKUP($G68,'Visu totale'!$D$3:$DT$129,BH$1,0)</f>
        <v>NANCY_D</v>
      </c>
      <c r="BI68" s="13">
        <f>VLOOKUP($G68,'Visu totale'!$D$3:$DT$129,BI$1,0)</f>
        <v>18</v>
      </c>
      <c r="BJ68" s="13">
        <f>VLOOKUP($G68,'Visu totale'!$D$3:$DT$129,BJ$1,0)</f>
        <v>18</v>
      </c>
      <c r="BK68" s="13" t="str">
        <f>VLOOKUP($G68,'Visu totale'!$D$3:$DT$129,BK$1,0)</f>
        <v>NANCY_D</v>
      </c>
      <c r="BL68" s="13" t="str">
        <f>VLOOKUP($G68,'Visu totale'!$D$3:$DT$129,BL$1,0)</f>
        <v>NANCY_D</v>
      </c>
      <c r="BM68" s="13" t="str">
        <f>VLOOKUP($G68,'Visu totale'!$D$3:$DT$129,BM$1,0)</f>
        <v>NANCY_D</v>
      </c>
      <c r="BN68" s="15" t="str">
        <f>VLOOKUP($G68,'Visu totale'!$D$3:$DT$129,BN$1,0)</f>
        <v>NANCY_D</v>
      </c>
      <c r="BO68" s="14">
        <f>VLOOKUP($G68,'Visu totale'!$D$3:$DT$129,BO$1,0)</f>
        <v>0</v>
      </c>
      <c r="BP68" s="13">
        <f>VLOOKUP($G68,'Visu totale'!$D$3:$DT$129,BP$1,0)</f>
        <v>0</v>
      </c>
      <c r="BQ68" s="13">
        <f>VLOOKUP($G68,'Visu totale'!$D$3:$DT$129,BQ$1,0)</f>
        <v>0</v>
      </c>
      <c r="BR68" s="13">
        <f>VLOOKUP($G68,'Visu totale'!$D$3:$DT$129,BR$1,0)</f>
        <v>0</v>
      </c>
      <c r="BS68" s="13">
        <f>VLOOKUP($G68,'Visu totale'!$D$3:$DT$129,BS$1,0)</f>
        <v>0</v>
      </c>
      <c r="BT68" s="13">
        <f>VLOOKUP($G68,'Visu totale'!$D$3:$DT$129,BT$1,0)</f>
        <v>0</v>
      </c>
      <c r="BU68" s="13">
        <f>VLOOKUP($G68,'Visu totale'!$D$3:$DT$129,BU$1,0)</f>
        <v>0</v>
      </c>
      <c r="BV68" s="13">
        <f>VLOOKUP($G68,'Visu totale'!$D$3:$DT$129,BV$1,0)</f>
        <v>0</v>
      </c>
      <c r="BW68" s="13">
        <f>VLOOKUP($G68,'Visu totale'!$D$3:$DT$129,BW$1,0)</f>
        <v>0</v>
      </c>
      <c r="BX68" s="13">
        <f>VLOOKUP($G68,'Visu totale'!$D$3:$DT$129,BX$1,0)</f>
        <v>0</v>
      </c>
      <c r="BY68" s="13" t="str">
        <f>VLOOKUP($G68,'Visu totale'!$D$3:$DT$129,BY$1,0)</f>
        <v>V15</v>
      </c>
      <c r="BZ68" s="15" t="str">
        <f>VLOOKUP($G68,'Visu totale'!$D$3:$DT$129,BZ$1,0)</f>
        <v>V15</v>
      </c>
      <c r="CA68" s="14" t="str">
        <f>VLOOKUP($G68,'Visu totale'!$D$3:$DT$129,CA$1,0)</f>
        <v>V15</v>
      </c>
      <c r="CB68" s="13" t="str">
        <f>VLOOKUP($G68,'Visu totale'!$D$3:$DT$129,CB$1,0)</f>
        <v>V15</v>
      </c>
      <c r="CC68" s="13" t="str">
        <f>VLOOKUP($G68,'Visu totale'!$D$3:$DT$129,CC$1,0)</f>
        <v>V15</v>
      </c>
      <c r="CD68" s="13" t="str">
        <f>VLOOKUP($G68,'Visu totale'!$D$3:$DT$129,CD$1,0)</f>
        <v>V15</v>
      </c>
      <c r="CE68" s="13">
        <f>VLOOKUP($G68,'Visu totale'!$D$3:$DT$129,CE$1,0)</f>
        <v>18</v>
      </c>
      <c r="CF68" s="13">
        <f>VLOOKUP($G68,'Visu totale'!$D$3:$DT$129,CF$1,0)</f>
        <v>18</v>
      </c>
      <c r="CG68" s="13" t="str">
        <f>VLOOKUP($G68,'Visu totale'!$D$3:$DT$129,CG$1,0)</f>
        <v>NANCY_D</v>
      </c>
      <c r="CH68" s="13" t="str">
        <f>VLOOKUP($G68,'Visu totale'!$D$3:$DT$129,CH$1,0)</f>
        <v>NANCY_D</v>
      </c>
      <c r="CI68" s="13" t="str">
        <f>VLOOKUP($G68,'Visu totale'!$D$3:$DT$129,CI$1,0)</f>
        <v>NANCY_D</v>
      </c>
      <c r="CJ68" s="13" t="str">
        <f>VLOOKUP($G68,'Visu totale'!$D$3:$DT$129,CJ$1,0)</f>
        <v>NANCY_D</v>
      </c>
      <c r="CK68" s="13">
        <f>VLOOKUP($G68,'Visu totale'!$D$3:$DT$129,CK$1,0)</f>
        <v>18</v>
      </c>
      <c r="CL68" s="15">
        <f>VLOOKUP($G68,'Visu totale'!$D$3:$DT$129,CL$1,0)</f>
        <v>18</v>
      </c>
      <c r="CM68" s="14" t="str">
        <f>VLOOKUP($G68,'Visu totale'!$D$3:$DT$129,CM$1,0)</f>
        <v>NANCY_D</v>
      </c>
      <c r="CN68" s="13" t="str">
        <f>VLOOKUP($G68,'Visu totale'!$D$3:$DT$129,CN$1,0)</f>
        <v>NANCY_D</v>
      </c>
      <c r="CO68" s="13" t="str">
        <f>VLOOKUP($G68,'Visu totale'!$D$3:$DT$129,CO$1,0)</f>
        <v>NANCY_D</v>
      </c>
      <c r="CP68" s="13" t="str">
        <f>VLOOKUP($G68,'Visu totale'!$D$3:$DT$129,CP$1,0)</f>
        <v>NANCY_D</v>
      </c>
      <c r="CQ68" s="13">
        <f>VLOOKUP($G68,'Visu totale'!$D$3:$DT$129,CQ$1,0)</f>
        <v>18</v>
      </c>
      <c r="CR68" s="13">
        <f>VLOOKUP($G68,'Visu totale'!$D$3:$DT$129,CR$1,0)</f>
        <v>18</v>
      </c>
      <c r="CS68" s="13" t="str">
        <f>VLOOKUP($G68,'Visu totale'!$D$3:$DT$129,CS$1,0)</f>
        <v>NANCY_D</v>
      </c>
      <c r="CT68" s="13" t="str">
        <f>VLOOKUP($G68,'Visu totale'!$D$3:$DT$129,CT$1,0)</f>
        <v>NANCY_D</v>
      </c>
      <c r="CU68" s="13" t="str">
        <f>VLOOKUP($G68,'Visu totale'!$D$3:$DT$129,CU$1,0)</f>
        <v>NANCY_D</v>
      </c>
      <c r="CV68" s="13" t="str">
        <f>VLOOKUP($G68,'Visu totale'!$D$3:$DT$129,CV$1,0)</f>
        <v>NANCY_D</v>
      </c>
      <c r="CW68" s="13">
        <f>VLOOKUP($G68,'Visu totale'!$D$3:$DT$129,CW$1,0)</f>
        <v>18</v>
      </c>
      <c r="CX68" s="15">
        <f>VLOOKUP($G68,'Visu totale'!$D$3:$DT$129,CX$1,0)</f>
        <v>18</v>
      </c>
      <c r="CY68" s="14">
        <f>VLOOKUP($G68,'Visu totale'!$D$3:$DT$129,CY$1,0)</f>
        <v>0</v>
      </c>
      <c r="CZ68" s="13">
        <f>VLOOKUP($G68,'Visu totale'!$D$3:$DT$129,CZ$1,0)</f>
        <v>0</v>
      </c>
      <c r="DA68" s="13">
        <f>VLOOKUP($G68,'Visu totale'!$D$3:$DT$129,DA$1,0)</f>
        <v>0</v>
      </c>
      <c r="DB68" s="13">
        <f>VLOOKUP($G68,'Visu totale'!$D$3:$DT$129,DB$1,0)</f>
        <v>0</v>
      </c>
      <c r="DC68" s="13">
        <f>VLOOKUP($G68,'Visu totale'!$D$3:$DT$129,DC$1,0)</f>
        <v>0</v>
      </c>
      <c r="DD68" s="13">
        <f>VLOOKUP($G68,'Visu totale'!$D$3:$DT$129,DD$1,0)</f>
        <v>0</v>
      </c>
      <c r="DE68" s="13">
        <f>VLOOKUP($G68,'Visu totale'!$D$3:$DT$129,DE$1,0)</f>
        <v>0</v>
      </c>
      <c r="DF68" s="13">
        <f>VLOOKUP($G68,'Visu totale'!$D$3:$DT$129,DF$1,0)</f>
        <v>0</v>
      </c>
      <c r="DG68" s="13">
        <f>VLOOKUP($G68,'Visu totale'!$D$3:$DT$129,DG$1,0)</f>
        <v>0</v>
      </c>
      <c r="DH68" s="13">
        <f>VLOOKUP($G68,'Visu totale'!$D$3:$DT$129,DH$1,0)</f>
        <v>0</v>
      </c>
      <c r="DI68" s="13">
        <f>VLOOKUP($G68,'Visu totale'!$D$3:$DT$129,DI$1,0)</f>
        <v>0</v>
      </c>
      <c r="DJ68" s="15">
        <f>VLOOKUP($G68,'Visu totale'!$D$3:$DT$129,DJ$1,0)</f>
        <v>0</v>
      </c>
      <c r="DK68" s="14">
        <f>VLOOKUP($G68,'Visu totale'!$D$3:$DT$129,DK$1,0)</f>
        <v>0</v>
      </c>
      <c r="DL68" s="13">
        <f>VLOOKUP($G68,'Visu totale'!$D$3:$DT$129,DL$1,0)</f>
        <v>0</v>
      </c>
      <c r="DM68" s="13">
        <f>VLOOKUP($G68,'Visu totale'!$D$3:$DT$129,DM$1,0)</f>
        <v>0</v>
      </c>
      <c r="DN68" s="13">
        <f>VLOOKUP($G68,'Visu totale'!$D$3:$DT$129,DN$1,0)</f>
        <v>0</v>
      </c>
      <c r="DO68" s="13">
        <f>VLOOKUP($G68,'Visu totale'!$D$3:$DT$129,DO$1,0)</f>
        <v>0</v>
      </c>
      <c r="DP68" s="13">
        <f>VLOOKUP($G68,'Visu totale'!$D$3:$DT$129,DP$1,0)</f>
        <v>0</v>
      </c>
      <c r="DQ68" s="13">
        <f>VLOOKUP($G68,'Visu totale'!$D$3:$DT$129,DQ$1,0)</f>
        <v>0</v>
      </c>
      <c r="DR68" s="13">
        <f>VLOOKUP($G68,'Visu totale'!$D$3:$DT$129,DR$1,0)</f>
        <v>0</v>
      </c>
      <c r="DS68" s="13">
        <f>VLOOKUP($G68,'Visu totale'!$D$3:$DT$129,DS$1,0)</f>
        <v>0</v>
      </c>
      <c r="DT68" s="13">
        <f>VLOOKUP($G68,'Visu totale'!$D$3:$DT$129,DT$1,0)</f>
        <v>0</v>
      </c>
      <c r="DU68" s="13">
        <f>VLOOKUP($G68,'Visu totale'!$D$3:$DT$129,DU$1,0)</f>
        <v>0</v>
      </c>
      <c r="DV68" s="15">
        <f>VLOOKUP($G68,'Visu totale'!$D$3:$DT$129,DV$1,0)</f>
        <v>0</v>
      </c>
    </row>
    <row r="69" spans="1:126" x14ac:dyDescent="0.25">
      <c r="A69" s="13"/>
      <c r="B69" s="13"/>
      <c r="C69" s="13"/>
      <c r="D69" s="16"/>
      <c r="E69" s="14"/>
      <c r="F69" s="13"/>
      <c r="G69" s="17" t="s">
        <v>71</v>
      </c>
      <c r="H69" s="13">
        <f>VLOOKUP($G69,'Visu totale'!$D$3:$DT$129,H$1,0)</f>
        <v>18</v>
      </c>
      <c r="I69" s="13" t="str">
        <f>VLOOKUP($G69,'Visu totale'!$D$3:$DT$129,I$1,0)</f>
        <v>NANCY_D</v>
      </c>
      <c r="J69" s="13" t="str">
        <f>VLOOKUP($G69,'Visu totale'!$D$3:$DT$129,J$1,0)</f>
        <v>NANCY_D</v>
      </c>
      <c r="K69" s="13" t="str">
        <f>VLOOKUP($G69,'Visu totale'!$D$3:$DT$129,K$1,0)</f>
        <v>NANCY_D</v>
      </c>
      <c r="L69" s="13" t="str">
        <f>VLOOKUP($G69,'Visu totale'!$D$3:$DT$129,L$1,0)</f>
        <v>NANCY_D</v>
      </c>
      <c r="M69" s="13">
        <f>VLOOKUP($G69,'Visu totale'!$D$3:$DT$129,M$1,0)</f>
        <v>18</v>
      </c>
      <c r="N69" s="13">
        <f>VLOOKUP($G69,'Visu totale'!$D$3:$DT$129,N$1,0)</f>
        <v>18</v>
      </c>
      <c r="O69" s="13">
        <f>VLOOKUP($G69,'Visu totale'!$D$3:$DT$129,O$1,0)</f>
        <v>18</v>
      </c>
      <c r="P69" s="13" t="str">
        <f>VLOOKUP($G69,'Visu totale'!$D$3:$DT$129,P$1,0)</f>
        <v>V15</v>
      </c>
      <c r="Q69" s="13" t="str">
        <f>VLOOKUP($G69,'Visu totale'!$D$3:$DT$129,Q$1,0)</f>
        <v>V15</v>
      </c>
      <c r="R69" s="15" t="str">
        <f>VLOOKUP($G69,'Visu totale'!$D$3:$DT$129,R$1,0)</f>
        <v>V15</v>
      </c>
      <c r="S69" s="14" t="str">
        <f>VLOOKUP($G69,'Visu totale'!$D$3:$DT$129,S$1,0)</f>
        <v>V15</v>
      </c>
      <c r="T69" s="13" t="str">
        <f>VLOOKUP($G69,'Visu totale'!$D$3:$DT$129,T$1,0)</f>
        <v>V15</v>
      </c>
      <c r="U69" s="13" t="str">
        <f>VLOOKUP($G69,'Visu totale'!$D$3:$DT$129,U$1,0)</f>
        <v>V15</v>
      </c>
      <c r="V69" s="13" t="str">
        <f>VLOOKUP($G69,'Visu totale'!$D$3:$DT$129,V$1,0)</f>
        <v>V15</v>
      </c>
      <c r="W69" s="13" t="str">
        <f>VLOOKUP($G69,'Visu totale'!$D$3:$DT$129,W$1,0)</f>
        <v>V15</v>
      </c>
      <c r="X69" s="13" t="str">
        <f>VLOOKUP($G69,'Visu totale'!$D$3:$DT$129,X$1,0)</f>
        <v>V15</v>
      </c>
      <c r="Y69" s="13" t="str">
        <f>VLOOKUP($G69,'Visu totale'!$D$3:$DT$129,Y$1,0)</f>
        <v>V15</v>
      </c>
      <c r="Z69" s="13" t="str">
        <f>VLOOKUP($G69,'Visu totale'!$D$3:$DT$129,Z$1,0)</f>
        <v>V15</v>
      </c>
      <c r="AA69" s="13" t="str">
        <f>VLOOKUP($G69,'Visu totale'!$D$3:$DT$129,AA$1,0)</f>
        <v>V15</v>
      </c>
      <c r="AB69" s="13">
        <f>VLOOKUP($G69,'Visu totale'!$D$3:$DT$129,AB$1,0)</f>
        <v>18</v>
      </c>
      <c r="AC69" s="13">
        <f>VLOOKUP($G69,'Visu totale'!$D$3:$DT$129,AC$1,0)</f>
        <v>18</v>
      </c>
      <c r="AD69" s="15" t="str">
        <f>VLOOKUP($G69,'Visu totale'!$D$3:$DT$129,AD$1,0)</f>
        <v>NANCY_D</v>
      </c>
      <c r="AE69" s="14" t="str">
        <f>VLOOKUP($G69,'Visu totale'!$D$3:$DT$129,AE$1,0)</f>
        <v>NANCY_D</v>
      </c>
      <c r="AF69" s="13" t="str">
        <f>VLOOKUP($G69,'Visu totale'!$D$3:$DT$129,AF$1,0)</f>
        <v>NANCY_D</v>
      </c>
      <c r="AG69" s="13" t="str">
        <f>VLOOKUP($G69,'Visu totale'!$D$3:$DT$129,AG$1,0)</f>
        <v>NANCY_D</v>
      </c>
      <c r="AH69" s="13">
        <f>VLOOKUP($G69,'Visu totale'!$D$3:$DT$129,AH$1,0)</f>
        <v>18</v>
      </c>
      <c r="AI69" s="13">
        <f>VLOOKUP($G69,'Visu totale'!$D$3:$DT$129,AI$1,0)</f>
        <v>18</v>
      </c>
      <c r="AJ69" s="13" t="str">
        <f>VLOOKUP($G69,'Visu totale'!$D$3:$DT$129,AJ$1,0)</f>
        <v>NANCY_D</v>
      </c>
      <c r="AK69" s="13">
        <f>VLOOKUP($G69,'Visu totale'!$D$3:$DT$129,AK$1,0)</f>
        <v>18</v>
      </c>
      <c r="AL69" s="13">
        <f>VLOOKUP($G69,'Visu totale'!$D$3:$DT$129,AL$1,0)</f>
        <v>18</v>
      </c>
      <c r="AM69" s="13" t="str">
        <f>VLOOKUP($G69,'Visu totale'!$D$3:$DT$129,AM$1,0)</f>
        <v>CHAMMAL_D</v>
      </c>
      <c r="AN69" s="13" t="str">
        <f>VLOOKUP($G69,'Visu totale'!$D$3:$DT$129,AN$1,0)</f>
        <v>CHAMMAL_D</v>
      </c>
      <c r="AO69" s="13" t="str">
        <f>VLOOKUP($G69,'Visu totale'!$D$3:$DT$129,AO$1,0)</f>
        <v>CHAMMAL_D</v>
      </c>
      <c r="AP69" s="15" t="str">
        <f>VLOOKUP($G69,'Visu totale'!$D$3:$DT$129,AP$1,0)</f>
        <v>CHAMMAL_D</v>
      </c>
      <c r="AQ69" s="14">
        <f>VLOOKUP($G69,'Visu totale'!$D$3:$DT$129,AQ$1,0)</f>
        <v>18</v>
      </c>
      <c r="AR69" s="13">
        <f>VLOOKUP($G69,'Visu totale'!$D$3:$DT$129,AR$1,0)</f>
        <v>18</v>
      </c>
      <c r="AS69" s="13" t="str">
        <f>VLOOKUP($G69,'Visu totale'!$D$3:$DT$129,AS$1,0)</f>
        <v>CHAMMAL_D</v>
      </c>
      <c r="AT69" s="13" t="str">
        <f>VLOOKUP($G69,'Visu totale'!$D$3:$DT$129,AT$1,0)</f>
        <v>CHAMMAL_D</v>
      </c>
      <c r="AU69" s="13" t="str">
        <f>VLOOKUP($G69,'Visu totale'!$D$3:$DT$129,AU$1,0)</f>
        <v>CHAMMAL_D</v>
      </c>
      <c r="AV69" s="13" t="str">
        <f>VLOOKUP($G69,'Visu totale'!$D$3:$DT$129,AV$1,0)</f>
        <v>CHAMMAL_D</v>
      </c>
      <c r="AW69" s="13">
        <f>VLOOKUP($G69,'Visu totale'!$D$3:$DT$129,AW$1,0)</f>
        <v>18</v>
      </c>
      <c r="AX69" s="13">
        <f>VLOOKUP($G69,'Visu totale'!$D$3:$DT$129,AX$1,0)</f>
        <v>18</v>
      </c>
      <c r="AY69" s="13">
        <f>VLOOKUP($G69,'Visu totale'!$D$3:$DT$129,AY$1,0)</f>
        <v>18</v>
      </c>
      <c r="AZ69" s="13">
        <f>VLOOKUP($G69,'Visu totale'!$D$3:$DT$129,AZ$1,0)</f>
        <v>18</v>
      </c>
      <c r="BA69" s="13">
        <f>VLOOKUP($G69,'Visu totale'!$D$3:$DT$129,BA$1,0)</f>
        <v>18</v>
      </c>
      <c r="BB69" s="15">
        <f>VLOOKUP($G69,'Visu totale'!$D$3:$DT$129,BB$1,0)</f>
        <v>18</v>
      </c>
      <c r="BC69" s="14">
        <f>VLOOKUP($G69,'Visu totale'!$D$3:$DT$129,BC$1,0)</f>
        <v>18</v>
      </c>
      <c r="BD69" s="13">
        <f>VLOOKUP($G69,'Visu totale'!$D$3:$DT$129,BD$1,0)</f>
        <v>0</v>
      </c>
      <c r="BE69" s="13">
        <f>VLOOKUP($G69,'Visu totale'!$D$3:$DT$129,BE$1,0)</f>
        <v>0</v>
      </c>
      <c r="BF69" s="13">
        <f>VLOOKUP($G69,'Visu totale'!$D$3:$DT$129,BF$1,0)</f>
        <v>0</v>
      </c>
      <c r="BG69" s="13">
        <f>VLOOKUP($G69,'Visu totale'!$D$3:$DT$129,BG$1,0)</f>
        <v>0</v>
      </c>
      <c r="BH69" s="13">
        <f>VLOOKUP($G69,'Visu totale'!$D$3:$DT$129,BH$1,0)</f>
        <v>0</v>
      </c>
      <c r="BI69" s="13">
        <f>VLOOKUP($G69,'Visu totale'!$D$3:$DT$129,BI$1,0)</f>
        <v>0</v>
      </c>
      <c r="BJ69" s="13">
        <f>VLOOKUP($G69,'Visu totale'!$D$3:$DT$129,BJ$1,0)</f>
        <v>0</v>
      </c>
      <c r="BK69" s="13">
        <f>VLOOKUP($G69,'Visu totale'!$D$3:$DT$129,BK$1,0)</f>
        <v>0</v>
      </c>
      <c r="BL69" s="13">
        <f>VLOOKUP($G69,'Visu totale'!$D$3:$DT$129,BL$1,0)</f>
        <v>0</v>
      </c>
      <c r="BM69" s="13">
        <f>VLOOKUP($G69,'Visu totale'!$D$3:$DT$129,BM$1,0)</f>
        <v>0</v>
      </c>
      <c r="BN69" s="15">
        <f>VLOOKUP($G69,'Visu totale'!$D$3:$DT$129,BN$1,0)</f>
        <v>0</v>
      </c>
      <c r="BO69" s="14" t="str">
        <f>VLOOKUP($G69,'Visu totale'!$D$3:$DT$129,BO$1,0)</f>
        <v>NANCY_D</v>
      </c>
      <c r="BP69" s="13" t="str">
        <f>VLOOKUP($G69,'Visu totale'!$D$3:$DT$129,BP$1,0)</f>
        <v>NANCY_D</v>
      </c>
      <c r="BQ69" s="13" t="str">
        <f>VLOOKUP($G69,'Visu totale'!$D$3:$DT$129,BQ$1,0)</f>
        <v>NANCY_D</v>
      </c>
      <c r="BR69" s="13" t="str">
        <f>VLOOKUP($G69,'Visu totale'!$D$3:$DT$129,BR$1,0)</f>
        <v>NANCY_D</v>
      </c>
      <c r="BS69" s="13">
        <f>VLOOKUP($G69,'Visu totale'!$D$3:$DT$129,BS$1,0)</f>
        <v>18</v>
      </c>
      <c r="BT69" s="13">
        <f>VLOOKUP($G69,'Visu totale'!$D$3:$DT$129,BT$1,0)</f>
        <v>18</v>
      </c>
      <c r="BU69" s="13">
        <f>VLOOKUP($G69,'Visu totale'!$D$3:$DT$129,BU$1,0)</f>
        <v>18</v>
      </c>
      <c r="BV69" s="13">
        <f>VLOOKUP($G69,'Visu totale'!$D$3:$DT$129,BV$1,0)</f>
        <v>18</v>
      </c>
      <c r="BW69" s="13">
        <f>VLOOKUP($G69,'Visu totale'!$D$3:$DT$129,BW$1,0)</f>
        <v>18</v>
      </c>
      <c r="BX69" s="13">
        <f>VLOOKUP($G69,'Visu totale'!$D$3:$DT$129,BX$1,0)</f>
        <v>18</v>
      </c>
      <c r="BY69" s="13">
        <f>VLOOKUP($G69,'Visu totale'!$D$3:$DT$129,BY$1,0)</f>
        <v>18</v>
      </c>
      <c r="BZ69" s="15">
        <f>VLOOKUP($G69,'Visu totale'!$D$3:$DT$129,BZ$1,0)</f>
        <v>18</v>
      </c>
      <c r="CA69" s="14">
        <f>VLOOKUP($G69,'Visu totale'!$D$3:$DT$129,CA$1,0)</f>
        <v>18</v>
      </c>
      <c r="CB69" s="13">
        <f>VLOOKUP($G69,'Visu totale'!$D$3:$DT$129,CB$1,0)</f>
        <v>18</v>
      </c>
      <c r="CC69" s="13">
        <f>VLOOKUP($G69,'Visu totale'!$D$3:$DT$129,CC$1,0)</f>
        <v>18</v>
      </c>
      <c r="CD69" s="13">
        <f>VLOOKUP($G69,'Visu totale'!$D$3:$DT$129,CD$1,0)</f>
        <v>0</v>
      </c>
      <c r="CE69" s="13">
        <f>VLOOKUP($G69,'Visu totale'!$D$3:$DT$129,CE$1,0)</f>
        <v>0</v>
      </c>
      <c r="CF69" s="13">
        <f>VLOOKUP($G69,'Visu totale'!$D$3:$DT$129,CF$1,0)</f>
        <v>0</v>
      </c>
      <c r="CG69" s="13">
        <f>VLOOKUP($G69,'Visu totale'!$D$3:$DT$129,CG$1,0)</f>
        <v>0</v>
      </c>
      <c r="CH69" s="13">
        <f>VLOOKUP($G69,'Visu totale'!$D$3:$DT$129,CH$1,0)</f>
        <v>0</v>
      </c>
      <c r="CI69" s="13">
        <f>VLOOKUP($G69,'Visu totale'!$D$3:$DT$129,CI$1,0)</f>
        <v>0</v>
      </c>
      <c r="CJ69" s="13">
        <f>VLOOKUP($G69,'Visu totale'!$D$3:$DT$129,CJ$1,0)</f>
        <v>0</v>
      </c>
      <c r="CK69" s="13">
        <f>VLOOKUP($G69,'Visu totale'!$D$3:$DT$129,CK$1,0)</f>
        <v>0</v>
      </c>
      <c r="CL69" s="15">
        <f>VLOOKUP($G69,'Visu totale'!$D$3:$DT$129,CL$1,0)</f>
        <v>0</v>
      </c>
      <c r="CM69" s="14">
        <f>VLOOKUP($G69,'Visu totale'!$D$3:$DT$129,CM$1,0)</f>
        <v>0</v>
      </c>
      <c r="CN69" s="13">
        <f>VLOOKUP($G69,'Visu totale'!$D$3:$DT$129,CN$1,0)</f>
        <v>0</v>
      </c>
      <c r="CO69" s="13">
        <f>VLOOKUP($G69,'Visu totale'!$D$3:$DT$129,CO$1,0)</f>
        <v>0</v>
      </c>
      <c r="CP69" s="13">
        <f>VLOOKUP($G69,'Visu totale'!$D$3:$DT$129,CP$1,0)</f>
        <v>0</v>
      </c>
      <c r="CQ69" s="13">
        <f>VLOOKUP($G69,'Visu totale'!$D$3:$DT$129,CQ$1,0)</f>
        <v>0</v>
      </c>
      <c r="CR69" s="13">
        <f>VLOOKUP($G69,'Visu totale'!$D$3:$DT$129,CR$1,0)</f>
        <v>0</v>
      </c>
      <c r="CS69" s="13">
        <f>VLOOKUP($G69,'Visu totale'!$D$3:$DT$129,CS$1,0)</f>
        <v>0</v>
      </c>
      <c r="CT69" s="13">
        <f>VLOOKUP($G69,'Visu totale'!$D$3:$DT$129,CT$1,0)</f>
        <v>18</v>
      </c>
      <c r="CU69" s="13">
        <f>VLOOKUP($G69,'Visu totale'!$D$3:$DT$129,CU$1,0)</f>
        <v>18</v>
      </c>
      <c r="CV69" s="13">
        <f>VLOOKUP($G69,'Visu totale'!$D$3:$DT$129,CV$1,0)</f>
        <v>18</v>
      </c>
      <c r="CW69" s="13">
        <f>VLOOKUP($G69,'Visu totale'!$D$3:$DT$129,CW$1,0)</f>
        <v>18</v>
      </c>
      <c r="CX69" s="15">
        <f>VLOOKUP($G69,'Visu totale'!$D$3:$DT$129,CX$1,0)</f>
        <v>18</v>
      </c>
      <c r="CY69" s="14">
        <f>VLOOKUP($G69,'Visu totale'!$D$3:$DT$129,CY$1,0)</f>
        <v>0</v>
      </c>
      <c r="CZ69" s="13">
        <f>VLOOKUP($G69,'Visu totale'!$D$3:$DT$129,CZ$1,0)</f>
        <v>0</v>
      </c>
      <c r="DA69" s="13">
        <f>VLOOKUP($G69,'Visu totale'!$D$3:$DT$129,DA$1,0)</f>
        <v>0</v>
      </c>
      <c r="DB69" s="13">
        <f>VLOOKUP($G69,'Visu totale'!$D$3:$DT$129,DB$1,0)</f>
        <v>0</v>
      </c>
      <c r="DC69" s="13">
        <f>VLOOKUP($G69,'Visu totale'!$D$3:$DT$129,DC$1,0)</f>
        <v>0</v>
      </c>
      <c r="DD69" s="13">
        <f>VLOOKUP($G69,'Visu totale'!$D$3:$DT$129,DD$1,0)</f>
        <v>0</v>
      </c>
      <c r="DE69" s="13">
        <f>VLOOKUP($G69,'Visu totale'!$D$3:$DT$129,DE$1,0)</f>
        <v>0</v>
      </c>
      <c r="DF69" s="13">
        <f>VLOOKUP($G69,'Visu totale'!$D$3:$DT$129,DF$1,0)</f>
        <v>0</v>
      </c>
      <c r="DG69" s="13">
        <f>VLOOKUP($G69,'Visu totale'!$D$3:$DT$129,DG$1,0)</f>
        <v>0</v>
      </c>
      <c r="DH69" s="13">
        <f>VLOOKUP($G69,'Visu totale'!$D$3:$DT$129,DH$1,0)</f>
        <v>0</v>
      </c>
      <c r="DI69" s="13">
        <f>VLOOKUP($G69,'Visu totale'!$D$3:$DT$129,DI$1,0)</f>
        <v>0</v>
      </c>
      <c r="DJ69" s="15">
        <f>VLOOKUP($G69,'Visu totale'!$D$3:$DT$129,DJ$1,0)</f>
        <v>0</v>
      </c>
      <c r="DK69" s="14">
        <f>VLOOKUP($G69,'Visu totale'!$D$3:$DT$129,DK$1,0)</f>
        <v>0</v>
      </c>
      <c r="DL69" s="13">
        <f>VLOOKUP($G69,'Visu totale'!$D$3:$DT$129,DL$1,0)</f>
        <v>0</v>
      </c>
      <c r="DM69" s="13">
        <f>VLOOKUP($G69,'Visu totale'!$D$3:$DT$129,DM$1,0)</f>
        <v>0</v>
      </c>
      <c r="DN69" s="13">
        <f>VLOOKUP($G69,'Visu totale'!$D$3:$DT$129,DN$1,0)</f>
        <v>0</v>
      </c>
      <c r="DO69" s="13">
        <f>VLOOKUP($G69,'Visu totale'!$D$3:$DT$129,DO$1,0)</f>
        <v>0</v>
      </c>
      <c r="DP69" s="13">
        <f>VLOOKUP($G69,'Visu totale'!$D$3:$DT$129,DP$1,0)</f>
        <v>0</v>
      </c>
      <c r="DQ69" s="13">
        <f>VLOOKUP($G69,'Visu totale'!$D$3:$DT$129,DQ$1,0)</f>
        <v>0</v>
      </c>
      <c r="DR69" s="13">
        <f>VLOOKUP($G69,'Visu totale'!$D$3:$DT$129,DR$1,0)</f>
        <v>0</v>
      </c>
      <c r="DS69" s="13">
        <f>VLOOKUP($G69,'Visu totale'!$D$3:$DT$129,DS$1,0)</f>
        <v>0</v>
      </c>
      <c r="DT69" s="13">
        <f>VLOOKUP($G69,'Visu totale'!$D$3:$DT$129,DT$1,0)</f>
        <v>0</v>
      </c>
      <c r="DU69" s="13">
        <f>VLOOKUP($G69,'Visu totale'!$D$3:$DT$129,DU$1,0)</f>
        <v>0</v>
      </c>
      <c r="DV69" s="15">
        <f>VLOOKUP($G69,'Visu totale'!$D$3:$DT$129,DV$1,0)</f>
        <v>0</v>
      </c>
    </row>
    <row r="70" spans="1:126" x14ac:dyDescent="0.25">
      <c r="A70" s="13"/>
      <c r="B70" s="13"/>
      <c r="C70" s="13"/>
      <c r="D70" s="16"/>
      <c r="E70" s="14"/>
      <c r="F70" s="13"/>
      <c r="G70" s="17" t="s">
        <v>72</v>
      </c>
      <c r="H70" s="13" t="str">
        <f>VLOOKUP($G70,'Visu totale'!$D$3:$DT$129,H$1,0)</f>
        <v>V30</v>
      </c>
      <c r="I70" s="13" t="str">
        <f>VLOOKUP($G70,'Visu totale'!$D$3:$DT$129,I$1,0)</f>
        <v>V30</v>
      </c>
      <c r="J70" s="13" t="str">
        <f>VLOOKUP($G70,'Visu totale'!$D$3:$DT$129,J$1,0)</f>
        <v>V30</v>
      </c>
      <c r="K70" s="13" t="str">
        <f>VLOOKUP($G70,'Visu totale'!$D$3:$DT$129,K$1,0)</f>
        <v>V30</v>
      </c>
      <c r="L70" s="13" t="str">
        <f>VLOOKUP($G70,'Visu totale'!$D$3:$DT$129,L$1,0)</f>
        <v>V30</v>
      </c>
      <c r="M70" s="13" t="str">
        <f>VLOOKUP($G70,'Visu totale'!$D$3:$DT$129,M$1,0)</f>
        <v>V30</v>
      </c>
      <c r="N70" s="13" t="str">
        <f>VLOOKUP($G70,'Visu totale'!$D$3:$DT$129,N$1,0)</f>
        <v>V30</v>
      </c>
      <c r="O70" s="13">
        <f>VLOOKUP($G70,'Visu totale'!$D$3:$DT$129,O$1,0)</f>
        <v>18</v>
      </c>
      <c r="P70" s="13">
        <f>VLOOKUP($G70,'Visu totale'!$D$3:$DT$129,P$1,0)</f>
        <v>18</v>
      </c>
      <c r="Q70" s="13" t="str">
        <f>VLOOKUP($G70,'Visu totale'!$D$3:$DT$129,Q$1,0)</f>
        <v>NANCY_D</v>
      </c>
      <c r="R70" s="15" t="str">
        <f>VLOOKUP($G70,'Visu totale'!$D$3:$DT$129,R$1,0)</f>
        <v>NANCY_D</v>
      </c>
      <c r="S70" s="14" t="str">
        <f>VLOOKUP($G70,'Visu totale'!$D$3:$DT$129,S$1,0)</f>
        <v>NANCY_D</v>
      </c>
      <c r="T70" s="13" t="str">
        <f>VLOOKUP($G70,'Visu totale'!$D$3:$DT$129,T$1,0)</f>
        <v>NANCY_D</v>
      </c>
      <c r="U70" s="13">
        <f>VLOOKUP($G70,'Visu totale'!$D$3:$DT$129,U$1,0)</f>
        <v>18</v>
      </c>
      <c r="V70" s="13">
        <f>VLOOKUP($G70,'Visu totale'!$D$3:$DT$129,V$1,0)</f>
        <v>18</v>
      </c>
      <c r="W70" s="13" t="str">
        <f>VLOOKUP($G70,'Visu totale'!$D$3:$DT$129,W$1,0)</f>
        <v>NANCY_D</v>
      </c>
      <c r="X70" s="13" t="str">
        <f>VLOOKUP($G70,'Visu totale'!$D$3:$DT$129,X$1,0)</f>
        <v>NANCY_D</v>
      </c>
      <c r="Y70" s="13" t="str">
        <f>VLOOKUP($G70,'Visu totale'!$D$3:$DT$129,Y$1,0)</f>
        <v>NANCY_D</v>
      </c>
      <c r="Z70" s="13" t="str">
        <f>VLOOKUP($G70,'Visu totale'!$D$3:$DT$129,Z$1,0)</f>
        <v>NANCY_D</v>
      </c>
      <c r="AA70" s="13">
        <f>VLOOKUP($G70,'Visu totale'!$D$3:$DT$129,AA$1,0)</f>
        <v>18</v>
      </c>
      <c r="AB70" s="13">
        <f>VLOOKUP($G70,'Visu totale'!$D$3:$DT$129,AB$1,0)</f>
        <v>18</v>
      </c>
      <c r="AC70" s="13" t="str">
        <f>VLOOKUP($G70,'Visu totale'!$D$3:$DT$129,AC$1,0)</f>
        <v>NANCY_D</v>
      </c>
      <c r="AD70" s="15" t="str">
        <f>VLOOKUP($G70,'Visu totale'!$D$3:$DT$129,AD$1,0)</f>
        <v>NANCY_D</v>
      </c>
      <c r="AE70" s="14" t="str">
        <f>VLOOKUP($G70,'Visu totale'!$D$3:$DT$129,AE$1,0)</f>
        <v>NANCY_D</v>
      </c>
      <c r="AF70" s="13" t="str">
        <f>VLOOKUP($G70,'Visu totale'!$D$3:$DT$129,AF$1,0)</f>
        <v>NANCY_D</v>
      </c>
      <c r="AG70" s="13">
        <f>VLOOKUP($G70,'Visu totale'!$D$3:$DT$129,AG$1,0)</f>
        <v>18</v>
      </c>
      <c r="AH70" s="13">
        <f>VLOOKUP($G70,'Visu totale'!$D$3:$DT$129,AH$1,0)</f>
        <v>18</v>
      </c>
      <c r="AI70" s="13" t="str">
        <f>VLOOKUP($G70,'Visu totale'!$D$3:$DT$129,AI$1,0)</f>
        <v>NANCY_D</v>
      </c>
      <c r="AJ70" s="13" t="str">
        <f>VLOOKUP($G70,'Visu totale'!$D$3:$DT$129,AJ$1,0)</f>
        <v>NANCY_D</v>
      </c>
      <c r="AK70" s="13">
        <f>VLOOKUP($G70,'Visu totale'!$D$3:$DT$129,AK$1,0)</f>
        <v>18</v>
      </c>
      <c r="AL70" s="13">
        <f>VLOOKUP($G70,'Visu totale'!$D$3:$DT$129,AL$1,0)</f>
        <v>18</v>
      </c>
      <c r="AM70" s="13" t="str">
        <f>VLOOKUP($G70,'Visu totale'!$D$3:$DT$129,AM$1,0)</f>
        <v>CHAMMAL_D</v>
      </c>
      <c r="AN70" s="13" t="str">
        <f>VLOOKUP($G70,'Visu totale'!$D$3:$DT$129,AN$1,0)</f>
        <v>CHAMMAL_D</v>
      </c>
      <c r="AO70" s="13" t="str">
        <f>VLOOKUP($G70,'Visu totale'!$D$3:$DT$129,AO$1,0)</f>
        <v>CHAMMAL_D</v>
      </c>
      <c r="AP70" s="15" t="str">
        <f>VLOOKUP($G70,'Visu totale'!$D$3:$DT$129,AP$1,0)</f>
        <v>CHAMMAL_D</v>
      </c>
      <c r="AQ70" s="14">
        <f>VLOOKUP($G70,'Visu totale'!$D$3:$DT$129,AQ$1,0)</f>
        <v>18</v>
      </c>
      <c r="AR70" s="13">
        <f>VLOOKUP($G70,'Visu totale'!$D$3:$DT$129,AR$1,0)</f>
        <v>18</v>
      </c>
      <c r="AS70" s="13" t="str">
        <f>VLOOKUP($G70,'Visu totale'!$D$3:$DT$129,AS$1,0)</f>
        <v>NANCY_D</v>
      </c>
      <c r="AT70" s="13" t="str">
        <f>VLOOKUP($G70,'Visu totale'!$D$3:$DT$129,AT$1,0)</f>
        <v>NANCY_D</v>
      </c>
      <c r="AU70" s="13" t="str">
        <f>VLOOKUP($G70,'Visu totale'!$D$3:$DT$129,AU$1,0)</f>
        <v>NANCY_D</v>
      </c>
      <c r="AV70" s="13" t="str">
        <f>VLOOKUP($G70,'Visu totale'!$D$3:$DT$129,AV$1,0)</f>
        <v>NANCY_D</v>
      </c>
      <c r="AW70" s="13">
        <f>VLOOKUP($G70,'Visu totale'!$D$3:$DT$129,AW$1,0)</f>
        <v>18</v>
      </c>
      <c r="AX70" s="13">
        <f>VLOOKUP($G70,'Visu totale'!$D$3:$DT$129,AX$1,0)</f>
        <v>18</v>
      </c>
      <c r="AY70" s="13">
        <f>VLOOKUP($G70,'Visu totale'!$D$3:$DT$129,AY$1,0)</f>
        <v>18</v>
      </c>
      <c r="AZ70" s="13">
        <f>VLOOKUP($G70,'Visu totale'!$D$3:$DT$129,AZ$1,0)</f>
        <v>18</v>
      </c>
      <c r="BA70" s="13">
        <f>VLOOKUP($G70,'Visu totale'!$D$3:$DT$129,BA$1,0)</f>
        <v>18</v>
      </c>
      <c r="BB70" s="15">
        <f>VLOOKUP($G70,'Visu totale'!$D$3:$DT$129,BB$1,0)</f>
        <v>18</v>
      </c>
      <c r="BC70" s="14">
        <f>VLOOKUP($G70,'Visu totale'!$D$3:$DT$129,BC$1,0)</f>
        <v>18</v>
      </c>
      <c r="BD70" s="13">
        <f>VLOOKUP($G70,'Visu totale'!$D$3:$DT$129,BD$1,0)</f>
        <v>18</v>
      </c>
      <c r="BE70" s="13">
        <f>VLOOKUP($G70,'Visu totale'!$D$3:$DT$129,BE$1,0)</f>
        <v>18</v>
      </c>
      <c r="BF70" s="13">
        <f>VLOOKUP($G70,'Visu totale'!$D$3:$DT$129,BF$1,0)</f>
        <v>0</v>
      </c>
      <c r="BG70" s="13">
        <f>VLOOKUP($G70,'Visu totale'!$D$3:$DT$129,BG$1,0)</f>
        <v>0</v>
      </c>
      <c r="BH70" s="13" t="str">
        <f>VLOOKUP($G70,'Visu totale'!$D$3:$DT$129,BH$1,0)</f>
        <v>V5</v>
      </c>
      <c r="BI70" s="13" t="str">
        <f>VLOOKUP($G70,'Visu totale'!$D$3:$DT$129,BI$1,0)</f>
        <v>V5</v>
      </c>
      <c r="BJ70" s="13" t="str">
        <f>VLOOKUP($G70,'Visu totale'!$D$3:$DT$129,BJ$1,0)</f>
        <v>V5</v>
      </c>
      <c r="BK70" s="13" t="str">
        <f>VLOOKUP($G70,'Visu totale'!$D$3:$DT$129,BK$1,0)</f>
        <v>V5</v>
      </c>
      <c r="BL70" s="13" t="str">
        <f>VLOOKUP($G70,'Visu totale'!$D$3:$DT$129,BL$1,0)</f>
        <v>V5</v>
      </c>
      <c r="BM70" s="13" t="str">
        <f>VLOOKUP($G70,'Visu totale'!$D$3:$DT$129,BM$1,0)</f>
        <v>V5</v>
      </c>
      <c r="BN70" s="15">
        <f>VLOOKUP($G70,'Visu totale'!$D$3:$DT$129,BN$1,0)</f>
        <v>18</v>
      </c>
      <c r="BO70" s="14">
        <f>VLOOKUP($G70,'Visu totale'!$D$3:$DT$129,BO$1,0)</f>
        <v>18</v>
      </c>
      <c r="BP70" s="13">
        <f>VLOOKUP($G70,'Visu totale'!$D$3:$DT$129,BP$1,0)</f>
        <v>18</v>
      </c>
      <c r="BQ70" s="13" t="str">
        <f>VLOOKUP($G70,'Visu totale'!$D$3:$DT$129,BQ$1,0)</f>
        <v>NANCY_D</v>
      </c>
      <c r="BR70" s="13" t="str">
        <f>VLOOKUP($G70,'Visu totale'!$D$3:$DT$129,BR$1,0)</f>
        <v>NANCY_D</v>
      </c>
      <c r="BS70" s="13" t="str">
        <f>VLOOKUP($G70,'Visu totale'!$D$3:$DT$129,BS$1,0)</f>
        <v>NANCY_D</v>
      </c>
      <c r="BT70" s="13" t="str">
        <f>VLOOKUP($G70,'Visu totale'!$D$3:$DT$129,BT$1,0)</f>
        <v>NANCY_D</v>
      </c>
      <c r="BU70" s="13">
        <f>VLOOKUP($G70,'Visu totale'!$D$3:$DT$129,BU$1,0)</f>
        <v>18</v>
      </c>
      <c r="BV70" s="13">
        <f>VLOOKUP($G70,'Visu totale'!$D$3:$DT$129,BV$1,0)</f>
        <v>18</v>
      </c>
      <c r="BW70" s="13" t="str">
        <f>VLOOKUP($G70,'Visu totale'!$D$3:$DT$129,BW$1,0)</f>
        <v>NANCY_D</v>
      </c>
      <c r="BX70" s="13" t="str">
        <f>VLOOKUP($G70,'Visu totale'!$D$3:$DT$129,BX$1,0)</f>
        <v>NANCY_D</v>
      </c>
      <c r="BY70" s="13" t="str">
        <f>VLOOKUP($G70,'Visu totale'!$D$3:$DT$129,BY$1,0)</f>
        <v>NANCY_D</v>
      </c>
      <c r="BZ70" s="15" t="str">
        <f>VLOOKUP($G70,'Visu totale'!$D$3:$DT$129,BZ$1,0)</f>
        <v>NANCY_D</v>
      </c>
      <c r="CA70" s="14">
        <f>VLOOKUP($G70,'Visu totale'!$D$3:$DT$129,CA$1,0)</f>
        <v>18</v>
      </c>
      <c r="CB70" s="13">
        <f>VLOOKUP($G70,'Visu totale'!$D$3:$DT$129,CB$1,0)</f>
        <v>18</v>
      </c>
      <c r="CC70" s="13" t="str">
        <f>VLOOKUP($G70,'Visu totale'!$D$3:$DT$129,CC$1,0)</f>
        <v>NANCY_D</v>
      </c>
      <c r="CD70" s="13" t="str">
        <f>VLOOKUP($G70,'Visu totale'!$D$3:$DT$129,CD$1,0)</f>
        <v>NANCY_D</v>
      </c>
      <c r="CE70" s="13" t="str">
        <f>VLOOKUP($G70,'Visu totale'!$D$3:$DT$129,CE$1,0)</f>
        <v>NANCY_D</v>
      </c>
      <c r="CF70" s="13" t="str">
        <f>VLOOKUP($G70,'Visu totale'!$D$3:$DT$129,CF$1,0)</f>
        <v>NANCY_D</v>
      </c>
      <c r="CG70" s="13">
        <f>VLOOKUP($G70,'Visu totale'!$D$3:$DT$129,CG$1,0)</f>
        <v>18</v>
      </c>
      <c r="CH70" s="13">
        <f>VLOOKUP($G70,'Visu totale'!$D$3:$DT$129,CH$1,0)</f>
        <v>18</v>
      </c>
      <c r="CI70" s="13" t="str">
        <f>VLOOKUP($G70,'Visu totale'!$D$3:$DT$129,CI$1,0)</f>
        <v>NANCY_D</v>
      </c>
      <c r="CJ70" s="13" t="str">
        <f>VLOOKUP($G70,'Visu totale'!$D$3:$DT$129,CJ$1,0)</f>
        <v>NANCY_D</v>
      </c>
      <c r="CK70" s="13" t="str">
        <f>VLOOKUP($G70,'Visu totale'!$D$3:$DT$129,CK$1,0)</f>
        <v>NANCY_D</v>
      </c>
      <c r="CL70" s="15" t="str">
        <f>VLOOKUP($G70,'Visu totale'!$D$3:$DT$129,CL$1,0)</f>
        <v>NANCY_D</v>
      </c>
      <c r="CM70" s="14">
        <f>VLOOKUP($G70,'Visu totale'!$D$3:$DT$129,CM$1,0)</f>
        <v>18</v>
      </c>
      <c r="CN70" s="13">
        <f>VLOOKUP($G70,'Visu totale'!$D$3:$DT$129,CN$1,0)</f>
        <v>18</v>
      </c>
      <c r="CO70" s="13" t="str">
        <f>VLOOKUP($G70,'Visu totale'!$D$3:$DT$129,CO$1,0)</f>
        <v>NANCY_D</v>
      </c>
      <c r="CP70" s="13" t="str">
        <f>VLOOKUP($G70,'Visu totale'!$D$3:$DT$129,CP$1,0)</f>
        <v>NANCY_D</v>
      </c>
      <c r="CQ70" s="13" t="str">
        <f>VLOOKUP($G70,'Visu totale'!$D$3:$DT$129,CQ$1,0)</f>
        <v>NANCY_D</v>
      </c>
      <c r="CR70" s="13" t="str">
        <f>VLOOKUP($G70,'Visu totale'!$D$3:$DT$129,CR$1,0)</f>
        <v>NANCY_D</v>
      </c>
      <c r="CS70" s="13">
        <f>VLOOKUP($G70,'Visu totale'!$D$3:$DT$129,CS$1,0)</f>
        <v>18</v>
      </c>
      <c r="CT70" s="13">
        <f>VLOOKUP($G70,'Visu totale'!$D$3:$DT$129,CT$1,0)</f>
        <v>18</v>
      </c>
      <c r="CU70" s="13">
        <f>VLOOKUP($G70,'Visu totale'!$D$3:$DT$129,CU$1,0)</f>
        <v>18</v>
      </c>
      <c r="CV70" s="13">
        <f>VLOOKUP($G70,'Visu totale'!$D$3:$DT$129,CV$1,0)</f>
        <v>18</v>
      </c>
      <c r="CW70" s="13">
        <f>VLOOKUP($G70,'Visu totale'!$D$3:$DT$129,CW$1,0)</f>
        <v>18</v>
      </c>
      <c r="CX70" s="15">
        <f>VLOOKUP($G70,'Visu totale'!$D$3:$DT$129,CX$1,0)</f>
        <v>18</v>
      </c>
      <c r="CY70" s="14">
        <f>VLOOKUP($G70,'Visu totale'!$D$3:$DT$129,CY$1,0)</f>
        <v>0</v>
      </c>
      <c r="CZ70" s="13">
        <f>VLOOKUP($G70,'Visu totale'!$D$3:$DT$129,CZ$1,0)</f>
        <v>0</v>
      </c>
      <c r="DA70" s="13">
        <f>VLOOKUP($G70,'Visu totale'!$D$3:$DT$129,DA$1,0)</f>
        <v>0</v>
      </c>
      <c r="DB70" s="13">
        <f>VLOOKUP($G70,'Visu totale'!$D$3:$DT$129,DB$1,0)</f>
        <v>0</v>
      </c>
      <c r="DC70" s="13">
        <f>VLOOKUP($G70,'Visu totale'!$D$3:$DT$129,DC$1,0)</f>
        <v>0</v>
      </c>
      <c r="DD70" s="13">
        <f>VLOOKUP($G70,'Visu totale'!$D$3:$DT$129,DD$1,0)</f>
        <v>0</v>
      </c>
      <c r="DE70" s="13">
        <f>VLOOKUP($G70,'Visu totale'!$D$3:$DT$129,DE$1,0)</f>
        <v>0</v>
      </c>
      <c r="DF70" s="13">
        <f>VLOOKUP($G70,'Visu totale'!$D$3:$DT$129,DF$1,0)</f>
        <v>0</v>
      </c>
      <c r="DG70" s="13">
        <f>VLOOKUP($G70,'Visu totale'!$D$3:$DT$129,DG$1,0)</f>
        <v>0</v>
      </c>
      <c r="DH70" s="13">
        <f>VLOOKUP($G70,'Visu totale'!$D$3:$DT$129,DH$1,0)</f>
        <v>0</v>
      </c>
      <c r="DI70" s="13">
        <f>VLOOKUP($G70,'Visu totale'!$D$3:$DT$129,DI$1,0)</f>
        <v>0</v>
      </c>
      <c r="DJ70" s="15">
        <f>VLOOKUP($G70,'Visu totale'!$D$3:$DT$129,DJ$1,0)</f>
        <v>0</v>
      </c>
      <c r="DK70" s="14">
        <f>VLOOKUP($G70,'Visu totale'!$D$3:$DT$129,DK$1,0)</f>
        <v>0</v>
      </c>
      <c r="DL70" s="13">
        <f>VLOOKUP($G70,'Visu totale'!$D$3:$DT$129,DL$1,0)</f>
        <v>0</v>
      </c>
      <c r="DM70" s="13">
        <f>VLOOKUP($G70,'Visu totale'!$D$3:$DT$129,DM$1,0)</f>
        <v>0</v>
      </c>
      <c r="DN70" s="13">
        <f>VLOOKUP($G70,'Visu totale'!$D$3:$DT$129,DN$1,0)</f>
        <v>0</v>
      </c>
      <c r="DO70" s="13">
        <f>VLOOKUP($G70,'Visu totale'!$D$3:$DT$129,DO$1,0)</f>
        <v>0</v>
      </c>
      <c r="DP70" s="13">
        <f>VLOOKUP($G70,'Visu totale'!$D$3:$DT$129,DP$1,0)</f>
        <v>0</v>
      </c>
      <c r="DQ70" s="13">
        <f>VLOOKUP($G70,'Visu totale'!$D$3:$DT$129,DQ$1,0)</f>
        <v>0</v>
      </c>
      <c r="DR70" s="13">
        <f>VLOOKUP($G70,'Visu totale'!$D$3:$DT$129,DR$1,0)</f>
        <v>0</v>
      </c>
      <c r="DS70" s="13">
        <f>VLOOKUP($G70,'Visu totale'!$D$3:$DT$129,DS$1,0)</f>
        <v>0</v>
      </c>
      <c r="DT70" s="13">
        <f>VLOOKUP($G70,'Visu totale'!$D$3:$DT$129,DT$1,0)</f>
        <v>0</v>
      </c>
      <c r="DU70" s="13">
        <f>VLOOKUP($G70,'Visu totale'!$D$3:$DT$129,DU$1,0)</f>
        <v>0</v>
      </c>
      <c r="DV70" s="15">
        <f>VLOOKUP($G70,'Visu totale'!$D$3:$DT$129,DV$1,0)</f>
        <v>0</v>
      </c>
    </row>
    <row r="71" spans="1:126" x14ac:dyDescent="0.25">
      <c r="A71" s="13"/>
      <c r="B71" s="13"/>
      <c r="C71" s="13"/>
      <c r="D71" s="16"/>
      <c r="E71" s="14"/>
      <c r="F71" s="13"/>
      <c r="G71" s="17" t="s">
        <v>73</v>
      </c>
      <c r="H71" s="13">
        <f>VLOOKUP($G71,'Visu totale'!$D$3:$DT$129,H$1,0)</f>
        <v>18</v>
      </c>
      <c r="I71" s="13" t="str">
        <f>VLOOKUP($G71,'Visu totale'!$D$3:$DT$129,I$1,0)</f>
        <v>NANCY_D</v>
      </c>
      <c r="J71" s="13" t="str">
        <f>VLOOKUP($G71,'Visu totale'!$D$3:$DT$129,J$1,0)</f>
        <v>NANCY_D</v>
      </c>
      <c r="K71" s="13" t="str">
        <f>VLOOKUP($G71,'Visu totale'!$D$3:$DT$129,K$1,0)</f>
        <v>NANCY_D</v>
      </c>
      <c r="L71" s="13" t="str">
        <f>VLOOKUP($G71,'Visu totale'!$D$3:$DT$129,L$1,0)</f>
        <v>NANCY_D</v>
      </c>
      <c r="M71" s="13">
        <f>VLOOKUP($G71,'Visu totale'!$D$3:$DT$129,M$1,0)</f>
        <v>18</v>
      </c>
      <c r="N71" s="13">
        <f>VLOOKUP($G71,'Visu totale'!$D$3:$DT$129,N$1,0)</f>
        <v>18</v>
      </c>
      <c r="O71" s="13" t="str">
        <f>VLOOKUP($G71,'Visu totale'!$D$3:$DT$129,O$1,0)</f>
        <v>NANCY_D</v>
      </c>
      <c r="P71" s="13" t="str">
        <f>VLOOKUP($G71,'Visu totale'!$D$3:$DT$129,P$1,0)</f>
        <v>NANCY_D</v>
      </c>
      <c r="Q71" s="13" t="str">
        <f>VLOOKUP($G71,'Visu totale'!$D$3:$DT$129,Q$1,0)</f>
        <v>NANCY_D</v>
      </c>
      <c r="R71" s="15" t="str">
        <f>VLOOKUP($G71,'Visu totale'!$D$3:$DT$129,R$1,0)</f>
        <v>NANCY_D</v>
      </c>
      <c r="S71" s="14">
        <f>VLOOKUP($G71,'Visu totale'!$D$3:$DT$129,S$1,0)</f>
        <v>18</v>
      </c>
      <c r="T71" s="13">
        <f>VLOOKUP($G71,'Visu totale'!$D$3:$DT$129,T$1,0)</f>
        <v>18</v>
      </c>
      <c r="U71" s="13" t="str">
        <f>VLOOKUP($G71,'Visu totale'!$D$3:$DT$129,U$1,0)</f>
        <v>NANCY_D</v>
      </c>
      <c r="V71" s="13" t="str">
        <f>VLOOKUP($G71,'Visu totale'!$D$3:$DT$129,V$1,0)</f>
        <v>NANCY_D</v>
      </c>
      <c r="W71" s="13" t="str">
        <f>VLOOKUP($G71,'Visu totale'!$D$3:$DT$129,W$1,0)</f>
        <v>NANCY_D</v>
      </c>
      <c r="X71" s="13" t="str">
        <f>VLOOKUP($G71,'Visu totale'!$D$3:$DT$129,X$1,0)</f>
        <v>NANCY_D</v>
      </c>
      <c r="Y71" s="13">
        <f>VLOOKUP($G71,'Visu totale'!$D$3:$DT$129,Y$1,0)</f>
        <v>18</v>
      </c>
      <c r="Z71" s="13">
        <f>VLOOKUP($G71,'Visu totale'!$D$3:$DT$129,Z$1,0)</f>
        <v>18</v>
      </c>
      <c r="AA71" s="13" t="str">
        <f>VLOOKUP($G71,'Visu totale'!$D$3:$DT$129,AA$1,0)</f>
        <v>NANCY_D</v>
      </c>
      <c r="AB71" s="13" t="str">
        <f>VLOOKUP($G71,'Visu totale'!$D$3:$DT$129,AB$1,0)</f>
        <v>NANCY_D</v>
      </c>
      <c r="AC71" s="13" t="str">
        <f>VLOOKUP($G71,'Visu totale'!$D$3:$DT$129,AC$1,0)</f>
        <v>NANCY_D</v>
      </c>
      <c r="AD71" s="15" t="str">
        <f>VLOOKUP($G71,'Visu totale'!$D$3:$DT$129,AD$1,0)</f>
        <v>NANCY_D</v>
      </c>
      <c r="AE71" s="14">
        <f>VLOOKUP($G71,'Visu totale'!$D$3:$DT$129,AE$1,0)</f>
        <v>18</v>
      </c>
      <c r="AF71" s="13">
        <f>VLOOKUP($G71,'Visu totale'!$D$3:$DT$129,AF$1,0)</f>
        <v>18</v>
      </c>
      <c r="AG71" s="13" t="str">
        <f>VLOOKUP($G71,'Visu totale'!$D$3:$DT$129,AG$1,0)</f>
        <v>NANCY_D</v>
      </c>
      <c r="AH71" s="13" t="str">
        <f>VLOOKUP($G71,'Visu totale'!$D$3:$DT$129,AH$1,0)</f>
        <v>NANCY_D</v>
      </c>
      <c r="AI71" s="13" t="str">
        <f>VLOOKUP($G71,'Visu totale'!$D$3:$DT$129,AI$1,0)</f>
        <v>NANCY_D</v>
      </c>
      <c r="AJ71" s="13" t="str">
        <f>VLOOKUP($G71,'Visu totale'!$D$3:$DT$129,AJ$1,0)</f>
        <v>NANCY_D</v>
      </c>
      <c r="AK71" s="13">
        <f>VLOOKUP($G71,'Visu totale'!$D$3:$DT$129,AK$1,0)</f>
        <v>18</v>
      </c>
      <c r="AL71" s="13" t="str">
        <f>VLOOKUP($G71,'Visu totale'!$D$3:$DT$129,AL$1,0)</f>
        <v>V15</v>
      </c>
      <c r="AM71" s="13" t="str">
        <f>VLOOKUP($G71,'Visu totale'!$D$3:$DT$129,AM$1,0)</f>
        <v>V15</v>
      </c>
      <c r="AN71" s="13" t="str">
        <f>VLOOKUP($G71,'Visu totale'!$D$3:$DT$129,AN$1,0)</f>
        <v>V15</v>
      </c>
      <c r="AO71" s="13" t="str">
        <f>VLOOKUP($G71,'Visu totale'!$D$3:$DT$129,AO$1,0)</f>
        <v>V15</v>
      </c>
      <c r="AP71" s="15" t="str">
        <f>VLOOKUP($G71,'Visu totale'!$D$3:$DT$129,AP$1,0)</f>
        <v>V15</v>
      </c>
      <c r="AQ71" s="14" t="str">
        <f>VLOOKUP($G71,'Visu totale'!$D$3:$DT$129,AQ$1,0)</f>
        <v>V15</v>
      </c>
      <c r="AR71" s="13">
        <f>VLOOKUP($G71,'Visu totale'!$D$3:$DT$129,AR$1,0)</f>
        <v>18</v>
      </c>
      <c r="AS71" s="13">
        <f>VLOOKUP($G71,'Visu totale'!$D$3:$DT$129,AS$1,0)</f>
        <v>18</v>
      </c>
      <c r="AT71" s="13" t="str">
        <f>VLOOKUP($G71,'Visu totale'!$D$3:$DT$129,AT$1,0)</f>
        <v>CHAMMAL_D</v>
      </c>
      <c r="AU71" s="13" t="str">
        <f>VLOOKUP($G71,'Visu totale'!$D$3:$DT$129,AU$1,0)</f>
        <v>CHAMMAL_D</v>
      </c>
      <c r="AV71" s="13" t="str">
        <f>VLOOKUP($G71,'Visu totale'!$D$3:$DT$129,AV$1,0)</f>
        <v>CHAMMAL_D</v>
      </c>
      <c r="AW71" s="13" t="str">
        <f>VLOOKUP($G71,'Visu totale'!$D$3:$DT$129,AW$1,0)</f>
        <v>CHAMMAL_D</v>
      </c>
      <c r="AX71" s="13">
        <f>VLOOKUP($G71,'Visu totale'!$D$3:$DT$129,AX$1,0)</f>
        <v>18</v>
      </c>
      <c r="AY71" s="13">
        <f>VLOOKUP($G71,'Visu totale'!$D$3:$DT$129,AY$1,0)</f>
        <v>18</v>
      </c>
      <c r="AZ71" s="13" t="str">
        <f>VLOOKUP($G71,'Visu totale'!$D$3:$DT$129,AZ$1,0)</f>
        <v>CHAMMAL_D</v>
      </c>
      <c r="BA71" s="13" t="str">
        <f>VLOOKUP($G71,'Visu totale'!$D$3:$DT$129,BA$1,0)</f>
        <v>CHAMMAL_D</v>
      </c>
      <c r="BB71" s="15" t="str">
        <f>VLOOKUP($G71,'Visu totale'!$D$3:$DT$129,BB$1,0)</f>
        <v>CHAMMAL_D</v>
      </c>
      <c r="BC71" s="14" t="str">
        <f>VLOOKUP($G71,'Visu totale'!$D$3:$DT$129,BC$1,0)</f>
        <v>CHAMMAL_D</v>
      </c>
      <c r="BD71" s="13">
        <f>VLOOKUP($G71,'Visu totale'!$D$3:$DT$129,BD$1,0)</f>
        <v>18</v>
      </c>
      <c r="BE71" s="13">
        <f>VLOOKUP($G71,'Visu totale'!$D$3:$DT$129,BE$1,0)</f>
        <v>18</v>
      </c>
      <c r="BF71" s="13" t="str">
        <f>VLOOKUP($G71,'Visu totale'!$D$3:$DT$129,BF$1,0)</f>
        <v>NANCY_D</v>
      </c>
      <c r="BG71" s="13" t="str">
        <f>VLOOKUP($G71,'Visu totale'!$D$3:$DT$129,BG$1,0)</f>
        <v>NANCY_D</v>
      </c>
      <c r="BH71" s="13" t="str">
        <f>VLOOKUP($G71,'Visu totale'!$D$3:$DT$129,BH$1,0)</f>
        <v>NANCY_D</v>
      </c>
      <c r="BI71" s="13" t="str">
        <f>VLOOKUP($G71,'Visu totale'!$D$3:$DT$129,BI$1,0)</f>
        <v>NANCY_D</v>
      </c>
      <c r="BJ71" s="13">
        <f>VLOOKUP($G71,'Visu totale'!$D$3:$DT$129,BJ$1,0)</f>
        <v>18</v>
      </c>
      <c r="BK71" s="13">
        <f>VLOOKUP($G71,'Visu totale'!$D$3:$DT$129,BK$1,0)</f>
        <v>18</v>
      </c>
      <c r="BL71" s="13">
        <f>VLOOKUP($G71,'Visu totale'!$D$3:$DT$129,BL$1,0)</f>
        <v>18</v>
      </c>
      <c r="BM71" s="13">
        <f>VLOOKUP($G71,'Visu totale'!$D$3:$DT$129,BM$1,0)</f>
        <v>18</v>
      </c>
      <c r="BN71" s="15">
        <f>VLOOKUP($G71,'Visu totale'!$D$3:$DT$129,BN$1,0)</f>
        <v>18</v>
      </c>
      <c r="BO71" s="14">
        <f>VLOOKUP($G71,'Visu totale'!$D$3:$DT$129,BO$1,0)</f>
        <v>18</v>
      </c>
      <c r="BP71" s="13">
        <f>VLOOKUP($G71,'Visu totale'!$D$3:$DT$129,BP$1,0)</f>
        <v>18</v>
      </c>
      <c r="BQ71" s="13" t="str">
        <f>VLOOKUP($G71,'Visu totale'!$D$3:$DT$129,BQ$1,0)</f>
        <v>NANCY_D</v>
      </c>
      <c r="BR71" s="13" t="str">
        <f>VLOOKUP($G71,'Visu totale'!$D$3:$DT$129,BR$1,0)</f>
        <v>NANCY_D</v>
      </c>
      <c r="BS71" s="13" t="str">
        <f>VLOOKUP($G71,'Visu totale'!$D$3:$DT$129,BS$1,0)</f>
        <v>NANCY_D</v>
      </c>
      <c r="BT71" s="13" t="str">
        <f>VLOOKUP($G71,'Visu totale'!$D$3:$DT$129,BT$1,0)</f>
        <v>NANCY_D</v>
      </c>
      <c r="BU71" s="13">
        <f>VLOOKUP($G71,'Visu totale'!$D$3:$DT$129,BU$1,0)</f>
        <v>18</v>
      </c>
      <c r="BV71" s="13">
        <f>VLOOKUP($G71,'Visu totale'!$D$3:$DT$129,BV$1,0)</f>
        <v>18</v>
      </c>
      <c r="BW71" s="13" t="str">
        <f>VLOOKUP($G71,'Visu totale'!$D$3:$DT$129,BW$1,0)</f>
        <v>NANCY_D</v>
      </c>
      <c r="BX71" s="13" t="str">
        <f>VLOOKUP($G71,'Visu totale'!$D$3:$DT$129,BX$1,0)</f>
        <v>NANCY_D</v>
      </c>
      <c r="BY71" s="13" t="str">
        <f>VLOOKUP($G71,'Visu totale'!$D$3:$DT$129,BY$1,0)</f>
        <v>NANCY_D</v>
      </c>
      <c r="BZ71" s="15" t="str">
        <f>VLOOKUP($G71,'Visu totale'!$D$3:$DT$129,BZ$1,0)</f>
        <v>NANCY_D</v>
      </c>
      <c r="CA71" s="14">
        <f>VLOOKUP($G71,'Visu totale'!$D$3:$DT$129,CA$1,0)</f>
        <v>18</v>
      </c>
      <c r="CB71" s="13">
        <f>VLOOKUP($G71,'Visu totale'!$D$3:$DT$129,CB$1,0)</f>
        <v>18</v>
      </c>
      <c r="CC71" s="13" t="str">
        <f>VLOOKUP($G71,'Visu totale'!$D$3:$DT$129,CC$1,0)</f>
        <v>NANCY_D</v>
      </c>
      <c r="CD71" s="13" t="str">
        <f>VLOOKUP($G71,'Visu totale'!$D$3:$DT$129,CD$1,0)</f>
        <v>NANCY_D</v>
      </c>
      <c r="CE71" s="13" t="str">
        <f>VLOOKUP($G71,'Visu totale'!$D$3:$DT$129,CE$1,0)</f>
        <v>NANCY_D</v>
      </c>
      <c r="CF71" s="13" t="str">
        <f>VLOOKUP($G71,'Visu totale'!$D$3:$DT$129,CF$1,0)</f>
        <v>NANCY_D</v>
      </c>
      <c r="CG71" s="13">
        <f>VLOOKUP($G71,'Visu totale'!$D$3:$DT$129,CG$1,0)</f>
        <v>18</v>
      </c>
      <c r="CH71" s="13">
        <f>VLOOKUP($G71,'Visu totale'!$D$3:$DT$129,CH$1,0)</f>
        <v>18</v>
      </c>
      <c r="CI71" s="13" t="str">
        <f>VLOOKUP($G71,'Visu totale'!$D$3:$DT$129,CI$1,0)</f>
        <v>NANCY_D</v>
      </c>
      <c r="CJ71" s="13" t="str">
        <f>VLOOKUP($G71,'Visu totale'!$D$3:$DT$129,CJ$1,0)</f>
        <v>NANCY_D</v>
      </c>
      <c r="CK71" s="13" t="str">
        <f>VLOOKUP($G71,'Visu totale'!$D$3:$DT$129,CK$1,0)</f>
        <v>NANCY_D</v>
      </c>
      <c r="CL71" s="15" t="str">
        <f>VLOOKUP($G71,'Visu totale'!$D$3:$DT$129,CL$1,0)</f>
        <v>NANCY_D</v>
      </c>
      <c r="CM71" s="14">
        <f>VLOOKUP($G71,'Visu totale'!$D$3:$DT$129,CM$1,0)</f>
        <v>18</v>
      </c>
      <c r="CN71" s="13">
        <f>VLOOKUP($G71,'Visu totale'!$D$3:$DT$129,CN$1,0)</f>
        <v>18</v>
      </c>
      <c r="CO71" s="13" t="str">
        <f>VLOOKUP($G71,'Visu totale'!$D$3:$DT$129,CO$1,0)</f>
        <v>NANCY_D</v>
      </c>
      <c r="CP71" s="13" t="str">
        <f>VLOOKUP($G71,'Visu totale'!$D$3:$DT$129,CP$1,0)</f>
        <v>NANCY_D</v>
      </c>
      <c r="CQ71" s="13" t="str">
        <f>VLOOKUP($G71,'Visu totale'!$D$3:$DT$129,CQ$1,0)</f>
        <v>NANCY_D</v>
      </c>
      <c r="CR71" s="13" t="str">
        <f>VLOOKUP($G71,'Visu totale'!$D$3:$DT$129,CR$1,0)</f>
        <v>NANCY_D</v>
      </c>
      <c r="CS71" s="13">
        <f>VLOOKUP($G71,'Visu totale'!$D$3:$DT$129,CS$1,0)</f>
        <v>18</v>
      </c>
      <c r="CT71" s="13">
        <f>VLOOKUP($G71,'Visu totale'!$D$3:$DT$129,CT$1,0)</f>
        <v>18</v>
      </c>
      <c r="CU71" s="13">
        <f>VLOOKUP($G71,'Visu totale'!$D$3:$DT$129,CU$1,0)</f>
        <v>18</v>
      </c>
      <c r="CV71" s="13">
        <f>VLOOKUP($G71,'Visu totale'!$D$3:$DT$129,CV$1,0)</f>
        <v>18</v>
      </c>
      <c r="CW71" s="13">
        <f>VLOOKUP($G71,'Visu totale'!$D$3:$DT$129,CW$1,0)</f>
        <v>18</v>
      </c>
      <c r="CX71" s="15">
        <f>VLOOKUP($G71,'Visu totale'!$D$3:$DT$129,CX$1,0)</f>
        <v>18</v>
      </c>
      <c r="CY71" s="14">
        <f>VLOOKUP($G71,'Visu totale'!$D$3:$DT$129,CY$1,0)</f>
        <v>0</v>
      </c>
      <c r="CZ71" s="13">
        <f>VLOOKUP($G71,'Visu totale'!$D$3:$DT$129,CZ$1,0)</f>
        <v>0</v>
      </c>
      <c r="DA71" s="13">
        <f>VLOOKUP($G71,'Visu totale'!$D$3:$DT$129,DA$1,0)</f>
        <v>0</v>
      </c>
      <c r="DB71" s="13">
        <f>VLOOKUP($G71,'Visu totale'!$D$3:$DT$129,DB$1,0)</f>
        <v>0</v>
      </c>
      <c r="DC71" s="13">
        <f>VLOOKUP($G71,'Visu totale'!$D$3:$DT$129,DC$1,0)</f>
        <v>0</v>
      </c>
      <c r="DD71" s="13">
        <f>VLOOKUP($G71,'Visu totale'!$D$3:$DT$129,DD$1,0)</f>
        <v>0</v>
      </c>
      <c r="DE71" s="13">
        <f>VLOOKUP($G71,'Visu totale'!$D$3:$DT$129,DE$1,0)</f>
        <v>0</v>
      </c>
      <c r="DF71" s="13">
        <f>VLOOKUP($G71,'Visu totale'!$D$3:$DT$129,DF$1,0)</f>
        <v>0</v>
      </c>
      <c r="DG71" s="13">
        <f>VLOOKUP($G71,'Visu totale'!$D$3:$DT$129,DG$1,0)</f>
        <v>0</v>
      </c>
      <c r="DH71" s="13">
        <f>VLOOKUP($G71,'Visu totale'!$D$3:$DT$129,DH$1,0)</f>
        <v>0</v>
      </c>
      <c r="DI71" s="13">
        <f>VLOOKUP($G71,'Visu totale'!$D$3:$DT$129,DI$1,0)</f>
        <v>0</v>
      </c>
      <c r="DJ71" s="15">
        <f>VLOOKUP($G71,'Visu totale'!$D$3:$DT$129,DJ$1,0)</f>
        <v>0</v>
      </c>
      <c r="DK71" s="14">
        <f>VLOOKUP($G71,'Visu totale'!$D$3:$DT$129,DK$1,0)</f>
        <v>0</v>
      </c>
      <c r="DL71" s="13">
        <f>VLOOKUP($G71,'Visu totale'!$D$3:$DT$129,DL$1,0)</f>
        <v>0</v>
      </c>
      <c r="DM71" s="13">
        <f>VLOOKUP($G71,'Visu totale'!$D$3:$DT$129,DM$1,0)</f>
        <v>0</v>
      </c>
      <c r="DN71" s="13">
        <f>VLOOKUP($G71,'Visu totale'!$D$3:$DT$129,DN$1,0)</f>
        <v>0</v>
      </c>
      <c r="DO71" s="13">
        <f>VLOOKUP($G71,'Visu totale'!$D$3:$DT$129,DO$1,0)</f>
        <v>0</v>
      </c>
      <c r="DP71" s="13">
        <f>VLOOKUP($G71,'Visu totale'!$D$3:$DT$129,DP$1,0)</f>
        <v>0</v>
      </c>
      <c r="DQ71" s="13">
        <f>VLOOKUP($G71,'Visu totale'!$D$3:$DT$129,DQ$1,0)</f>
        <v>0</v>
      </c>
      <c r="DR71" s="13">
        <f>VLOOKUP($G71,'Visu totale'!$D$3:$DT$129,DR$1,0)</f>
        <v>0</v>
      </c>
      <c r="DS71" s="13">
        <f>VLOOKUP($G71,'Visu totale'!$D$3:$DT$129,DS$1,0)</f>
        <v>0</v>
      </c>
      <c r="DT71" s="13">
        <f>VLOOKUP($G71,'Visu totale'!$D$3:$DT$129,DT$1,0)</f>
        <v>0</v>
      </c>
      <c r="DU71" s="13">
        <f>VLOOKUP($G71,'Visu totale'!$D$3:$DT$129,DU$1,0)</f>
        <v>0</v>
      </c>
      <c r="DV71" s="15">
        <f>VLOOKUP($G71,'Visu totale'!$D$3:$DT$129,DV$1,0)</f>
        <v>0</v>
      </c>
    </row>
    <row r="72" spans="1:126" x14ac:dyDescent="0.25">
      <c r="A72" s="13"/>
      <c r="B72" s="13"/>
      <c r="C72" s="13"/>
      <c r="D72" s="16"/>
      <c r="E72" s="14"/>
      <c r="F72" s="13"/>
      <c r="G72" s="17" t="s">
        <v>74</v>
      </c>
      <c r="H72" s="13">
        <f>VLOOKUP($G72,'Visu totale'!$D$3:$DT$129,H$1,0)</f>
        <v>18</v>
      </c>
      <c r="I72" s="13" t="str">
        <f>VLOOKUP($G72,'Visu totale'!$D$3:$DT$129,I$1,0)</f>
        <v>NANCY_D</v>
      </c>
      <c r="J72" s="13" t="str">
        <f>VLOOKUP($G72,'Visu totale'!$D$3:$DT$129,J$1,0)</f>
        <v>NANCY_D</v>
      </c>
      <c r="K72" s="13" t="str">
        <f>VLOOKUP($G72,'Visu totale'!$D$3:$DT$129,K$1,0)</f>
        <v>NANCY_D</v>
      </c>
      <c r="L72" s="13" t="str">
        <f>VLOOKUP($G72,'Visu totale'!$D$3:$DT$129,L$1,0)</f>
        <v>NANCY_D</v>
      </c>
      <c r="M72" s="13" t="str">
        <f>VLOOKUP($G72,'Visu totale'!$D$3:$DT$129,M$1,0)</f>
        <v>V15</v>
      </c>
      <c r="N72" s="13" t="str">
        <f>VLOOKUP($G72,'Visu totale'!$D$3:$DT$129,N$1,0)</f>
        <v>V15</v>
      </c>
      <c r="O72" s="13" t="str">
        <f>VLOOKUP($G72,'Visu totale'!$D$3:$DT$129,O$1,0)</f>
        <v>V15</v>
      </c>
      <c r="P72" s="13" t="str">
        <f>VLOOKUP($G72,'Visu totale'!$D$3:$DT$129,P$1,0)</f>
        <v>V15</v>
      </c>
      <c r="Q72" s="13" t="str">
        <f>VLOOKUP($G72,'Visu totale'!$D$3:$DT$129,Q$1,0)</f>
        <v>V15</v>
      </c>
      <c r="R72" s="15" t="str">
        <f>VLOOKUP($G72,'Visu totale'!$D$3:$DT$129,R$1,0)</f>
        <v>V15</v>
      </c>
      <c r="S72" s="14" t="str">
        <f>VLOOKUP($G72,'Visu totale'!$D$3:$DT$129,S$1,0)</f>
        <v>V15</v>
      </c>
      <c r="T72" s="13">
        <f>VLOOKUP($G72,'Visu totale'!$D$3:$DT$129,T$1,0)</f>
        <v>18</v>
      </c>
      <c r="U72" s="13">
        <f>VLOOKUP($G72,'Visu totale'!$D$3:$DT$129,U$1,0)</f>
        <v>18</v>
      </c>
      <c r="V72" s="13" t="str">
        <f>VLOOKUP($G72,'Visu totale'!$D$3:$DT$129,V$1,0)</f>
        <v>NANCY_D</v>
      </c>
      <c r="W72" s="13" t="str">
        <f>VLOOKUP($G72,'Visu totale'!$D$3:$DT$129,W$1,0)</f>
        <v>NANCY_D</v>
      </c>
      <c r="X72" s="13" t="str">
        <f>VLOOKUP($G72,'Visu totale'!$D$3:$DT$129,X$1,0)</f>
        <v>NANCY_D</v>
      </c>
      <c r="Y72" s="13" t="str">
        <f>VLOOKUP($G72,'Visu totale'!$D$3:$DT$129,Y$1,0)</f>
        <v>NANCY_D</v>
      </c>
      <c r="Z72" s="13">
        <f>VLOOKUP($G72,'Visu totale'!$D$3:$DT$129,Z$1,0)</f>
        <v>18</v>
      </c>
      <c r="AA72" s="13">
        <f>VLOOKUP($G72,'Visu totale'!$D$3:$DT$129,AA$1,0)</f>
        <v>18</v>
      </c>
      <c r="AB72" s="13" t="str">
        <f>VLOOKUP($G72,'Visu totale'!$D$3:$DT$129,AB$1,0)</f>
        <v>NANCY_D</v>
      </c>
      <c r="AC72" s="13" t="str">
        <f>VLOOKUP($G72,'Visu totale'!$D$3:$DT$129,AC$1,0)</f>
        <v>NANCY_D</v>
      </c>
      <c r="AD72" s="15" t="str">
        <f>VLOOKUP($G72,'Visu totale'!$D$3:$DT$129,AD$1,0)</f>
        <v>NANCY_D</v>
      </c>
      <c r="AE72" s="14" t="str">
        <f>VLOOKUP($G72,'Visu totale'!$D$3:$DT$129,AE$1,0)</f>
        <v>NANCY_D</v>
      </c>
      <c r="AF72" s="13">
        <f>VLOOKUP($G72,'Visu totale'!$D$3:$DT$129,AF$1,0)</f>
        <v>18</v>
      </c>
      <c r="AG72" s="13">
        <f>VLOOKUP($G72,'Visu totale'!$D$3:$DT$129,AG$1,0)</f>
        <v>18</v>
      </c>
      <c r="AH72" s="13" t="str">
        <f>VLOOKUP($G72,'Visu totale'!$D$3:$DT$129,AH$1,0)</f>
        <v>NANCY_D</v>
      </c>
      <c r="AI72" s="13" t="str">
        <f>VLOOKUP($G72,'Visu totale'!$D$3:$DT$129,AI$1,0)</f>
        <v>NANCY_D</v>
      </c>
      <c r="AJ72" s="13" t="str">
        <f>VLOOKUP($G72,'Visu totale'!$D$3:$DT$129,AJ$1,0)</f>
        <v>NANCY_D</v>
      </c>
      <c r="AK72" s="13">
        <f>VLOOKUP($G72,'Visu totale'!$D$3:$DT$129,AK$1,0)</f>
        <v>18</v>
      </c>
      <c r="AL72" s="13">
        <f>VLOOKUP($G72,'Visu totale'!$D$3:$DT$129,AL$1,0)</f>
        <v>18</v>
      </c>
      <c r="AM72" s="13" t="str">
        <f>VLOOKUP($G72,'Visu totale'!$D$3:$DT$129,AM$1,0)</f>
        <v>NANCY_D</v>
      </c>
      <c r="AN72" s="13" t="str">
        <f>VLOOKUP($G72,'Visu totale'!$D$3:$DT$129,AN$1,0)</f>
        <v>NANCY_D</v>
      </c>
      <c r="AO72" s="13" t="str">
        <f>VLOOKUP($G72,'Visu totale'!$D$3:$DT$129,AO$1,0)</f>
        <v>NANCY_D</v>
      </c>
      <c r="AP72" s="15" t="str">
        <f>VLOOKUP($G72,'Visu totale'!$D$3:$DT$129,AP$1,0)</f>
        <v>NANCY_D</v>
      </c>
      <c r="AQ72" s="14">
        <f>VLOOKUP($G72,'Visu totale'!$D$3:$DT$129,AQ$1,0)</f>
        <v>18</v>
      </c>
      <c r="AR72" s="13">
        <f>VLOOKUP($G72,'Visu totale'!$D$3:$DT$129,AR$1,0)</f>
        <v>18</v>
      </c>
      <c r="AS72" s="13" t="str">
        <f>VLOOKUP($G72,'Visu totale'!$D$3:$DT$129,AS$1,0)</f>
        <v>NANCY_D</v>
      </c>
      <c r="AT72" s="13" t="str">
        <f>VLOOKUP($G72,'Visu totale'!$D$3:$DT$129,AT$1,0)</f>
        <v>NANCY_D</v>
      </c>
      <c r="AU72" s="13" t="str">
        <f>VLOOKUP($G72,'Visu totale'!$D$3:$DT$129,AU$1,0)</f>
        <v>NANCY_D</v>
      </c>
      <c r="AV72" s="13" t="str">
        <f>VLOOKUP($G72,'Visu totale'!$D$3:$DT$129,AV$1,0)</f>
        <v>NANCY_D</v>
      </c>
      <c r="AW72" s="13">
        <f>VLOOKUP($G72,'Visu totale'!$D$3:$DT$129,AW$1,0)</f>
        <v>18</v>
      </c>
      <c r="AX72" s="13">
        <f>VLOOKUP($G72,'Visu totale'!$D$3:$DT$129,AX$1,0)</f>
        <v>18</v>
      </c>
      <c r="AY72" s="13" t="str">
        <f>VLOOKUP($G72,'Visu totale'!$D$3:$DT$129,AY$1,0)</f>
        <v>NANCY_D</v>
      </c>
      <c r="AZ72" s="13" t="str">
        <f>VLOOKUP($G72,'Visu totale'!$D$3:$DT$129,AZ$1,0)</f>
        <v>NANCY_D</v>
      </c>
      <c r="BA72" s="13" t="str">
        <f>VLOOKUP($G72,'Visu totale'!$D$3:$DT$129,BA$1,0)</f>
        <v>NANCY_D</v>
      </c>
      <c r="BB72" s="15" t="str">
        <f>VLOOKUP($G72,'Visu totale'!$D$3:$DT$129,BB$1,0)</f>
        <v>NANCY_D</v>
      </c>
      <c r="BC72" s="14">
        <f>VLOOKUP($G72,'Visu totale'!$D$3:$DT$129,BC$1,0)</f>
        <v>18</v>
      </c>
      <c r="BD72" s="13">
        <f>VLOOKUP($G72,'Visu totale'!$D$3:$DT$129,BD$1,0)</f>
        <v>18</v>
      </c>
      <c r="BE72" s="13" t="str">
        <f>VLOOKUP($G72,'Visu totale'!$D$3:$DT$129,BE$1,0)</f>
        <v>NANCY_D</v>
      </c>
      <c r="BF72" s="13" t="str">
        <f>VLOOKUP($G72,'Visu totale'!$D$3:$DT$129,BF$1,0)</f>
        <v>NANCY_D</v>
      </c>
      <c r="BG72" s="13" t="str">
        <f>VLOOKUP($G72,'Visu totale'!$D$3:$DT$129,BG$1,0)</f>
        <v>NANCY_D</v>
      </c>
      <c r="BH72" s="13" t="str">
        <f>VLOOKUP($G72,'Visu totale'!$D$3:$DT$129,BH$1,0)</f>
        <v>NANCY_D</v>
      </c>
      <c r="BI72" s="13">
        <f>VLOOKUP($G72,'Visu totale'!$D$3:$DT$129,BI$1,0)</f>
        <v>18</v>
      </c>
      <c r="BJ72" s="13">
        <f>VLOOKUP($G72,'Visu totale'!$D$3:$DT$129,BJ$1,0)</f>
        <v>18</v>
      </c>
      <c r="BK72" s="13" t="str">
        <f>VLOOKUP($G72,'Visu totale'!$D$3:$DT$129,BK$1,0)</f>
        <v>NANCY_D</v>
      </c>
      <c r="BL72" s="13" t="str">
        <f>VLOOKUP($G72,'Visu totale'!$D$3:$DT$129,BL$1,0)</f>
        <v>NANCY_D</v>
      </c>
      <c r="BM72" s="13" t="str">
        <f>VLOOKUP($G72,'Visu totale'!$D$3:$DT$129,BM$1,0)</f>
        <v>NANCY_D</v>
      </c>
      <c r="BN72" s="15" t="str">
        <f>VLOOKUP($G72,'Visu totale'!$D$3:$DT$129,BN$1,0)</f>
        <v>NANCY_D</v>
      </c>
      <c r="BO72" s="14" t="str">
        <f>VLOOKUP($G72,'Visu totale'!$D$3:$DT$129,BO$1,0)</f>
        <v>V20</v>
      </c>
      <c r="BP72" s="13" t="str">
        <f>VLOOKUP($G72,'Visu totale'!$D$3:$DT$129,BP$1,0)</f>
        <v>V20</v>
      </c>
      <c r="BQ72" s="13" t="str">
        <f>VLOOKUP($G72,'Visu totale'!$D$3:$DT$129,BQ$1,0)</f>
        <v>V20</v>
      </c>
      <c r="BR72" s="13" t="str">
        <f>VLOOKUP($G72,'Visu totale'!$D$3:$DT$129,BR$1,0)</f>
        <v>V20</v>
      </c>
      <c r="BS72" s="13" t="str">
        <f>VLOOKUP($G72,'Visu totale'!$D$3:$DT$129,BS$1,0)</f>
        <v>V20</v>
      </c>
      <c r="BT72" s="13">
        <f>VLOOKUP($G72,'Visu totale'!$D$3:$DT$129,BT$1,0)</f>
        <v>18</v>
      </c>
      <c r="BU72" s="13">
        <f>VLOOKUP($G72,'Visu totale'!$D$3:$DT$129,BU$1,0)</f>
        <v>18</v>
      </c>
      <c r="BV72" s="13" t="str">
        <f>VLOOKUP($G72,'Visu totale'!$D$3:$DT$129,BV$1,0)</f>
        <v>NANCY_D</v>
      </c>
      <c r="BW72" s="13" t="str">
        <f>VLOOKUP($G72,'Visu totale'!$D$3:$DT$129,BW$1,0)</f>
        <v>NANCY_D</v>
      </c>
      <c r="BX72" s="13" t="str">
        <f>VLOOKUP($G72,'Visu totale'!$D$3:$DT$129,BX$1,0)</f>
        <v>NANCY_D</v>
      </c>
      <c r="BY72" s="13" t="str">
        <f>VLOOKUP($G72,'Visu totale'!$D$3:$DT$129,BY$1,0)</f>
        <v>NANCY_D</v>
      </c>
      <c r="BZ72" s="15">
        <f>VLOOKUP($G72,'Visu totale'!$D$3:$DT$129,BZ$1,0)</f>
        <v>18</v>
      </c>
      <c r="CA72" s="14">
        <f>VLOOKUP($G72,'Visu totale'!$D$3:$DT$129,CA$1,0)</f>
        <v>18</v>
      </c>
      <c r="CB72" s="13" t="str">
        <f>VLOOKUP($G72,'Visu totale'!$D$3:$DT$129,CB$1,0)</f>
        <v>NANCY_D</v>
      </c>
      <c r="CC72" s="13" t="str">
        <f>VLOOKUP($G72,'Visu totale'!$D$3:$DT$129,CC$1,0)</f>
        <v>NANCY_D</v>
      </c>
      <c r="CD72" s="13" t="str">
        <f>VLOOKUP($G72,'Visu totale'!$D$3:$DT$129,CD$1,0)</f>
        <v>NANCY_D</v>
      </c>
      <c r="CE72" s="13" t="str">
        <f>VLOOKUP($G72,'Visu totale'!$D$3:$DT$129,CE$1,0)</f>
        <v>NANCY_D</v>
      </c>
      <c r="CF72" s="13">
        <f>VLOOKUP($G72,'Visu totale'!$D$3:$DT$129,CF$1,0)</f>
        <v>18</v>
      </c>
      <c r="CG72" s="13">
        <f>VLOOKUP($G72,'Visu totale'!$D$3:$DT$129,CG$1,0)</f>
        <v>18</v>
      </c>
      <c r="CH72" s="13" t="str">
        <f>VLOOKUP($G72,'Visu totale'!$D$3:$DT$129,CH$1,0)</f>
        <v>NANCY_D</v>
      </c>
      <c r="CI72" s="13" t="str">
        <f>VLOOKUP($G72,'Visu totale'!$D$3:$DT$129,CI$1,0)</f>
        <v>NANCY_D</v>
      </c>
      <c r="CJ72" s="13" t="str">
        <f>VLOOKUP($G72,'Visu totale'!$D$3:$DT$129,CJ$1,0)</f>
        <v>NANCY_D</v>
      </c>
      <c r="CK72" s="13" t="str">
        <f>VLOOKUP($G72,'Visu totale'!$D$3:$DT$129,CK$1,0)</f>
        <v>NANCY_D</v>
      </c>
      <c r="CL72" s="15">
        <f>VLOOKUP($G72,'Visu totale'!$D$3:$DT$129,CL$1,0)</f>
        <v>18</v>
      </c>
      <c r="CM72" s="14">
        <f>VLOOKUP($G72,'Visu totale'!$D$3:$DT$129,CM$1,0)</f>
        <v>18</v>
      </c>
      <c r="CN72" s="13" t="str">
        <f>VLOOKUP($G72,'Visu totale'!$D$3:$DT$129,CN$1,0)</f>
        <v>NANCY_D</v>
      </c>
      <c r="CO72" s="13" t="str">
        <f>VLOOKUP($G72,'Visu totale'!$D$3:$DT$129,CO$1,0)</f>
        <v>NANCY_D</v>
      </c>
      <c r="CP72" s="13" t="str">
        <f>VLOOKUP($G72,'Visu totale'!$D$3:$DT$129,CP$1,0)</f>
        <v>NANCY_D</v>
      </c>
      <c r="CQ72" s="13" t="str">
        <f>VLOOKUP($G72,'Visu totale'!$D$3:$DT$129,CQ$1,0)</f>
        <v>NANCY_D</v>
      </c>
      <c r="CR72" s="13">
        <f>VLOOKUP($G72,'Visu totale'!$D$3:$DT$129,CR$1,0)</f>
        <v>18</v>
      </c>
      <c r="CS72" s="13">
        <f>VLOOKUP($G72,'Visu totale'!$D$3:$DT$129,CS$1,0)</f>
        <v>18</v>
      </c>
      <c r="CT72" s="13">
        <f>VLOOKUP($G72,'Visu totale'!$D$3:$DT$129,CT$1,0)</f>
        <v>18</v>
      </c>
      <c r="CU72" s="13">
        <f>VLOOKUP($G72,'Visu totale'!$D$3:$DT$129,CU$1,0)</f>
        <v>18</v>
      </c>
      <c r="CV72" s="13">
        <f>VLOOKUP($G72,'Visu totale'!$D$3:$DT$129,CV$1,0)</f>
        <v>18</v>
      </c>
      <c r="CW72" s="13">
        <f>VLOOKUP($G72,'Visu totale'!$D$3:$DT$129,CW$1,0)</f>
        <v>18</v>
      </c>
      <c r="CX72" s="15">
        <f>VLOOKUP($G72,'Visu totale'!$D$3:$DT$129,CX$1,0)</f>
        <v>18</v>
      </c>
      <c r="CY72" s="14">
        <f>VLOOKUP($G72,'Visu totale'!$D$3:$DT$129,CY$1,0)</f>
        <v>0</v>
      </c>
      <c r="CZ72" s="13">
        <f>VLOOKUP($G72,'Visu totale'!$D$3:$DT$129,CZ$1,0)</f>
        <v>0</v>
      </c>
      <c r="DA72" s="13">
        <f>VLOOKUP($G72,'Visu totale'!$D$3:$DT$129,DA$1,0)</f>
        <v>0</v>
      </c>
      <c r="DB72" s="13">
        <f>VLOOKUP($G72,'Visu totale'!$D$3:$DT$129,DB$1,0)</f>
        <v>0</v>
      </c>
      <c r="DC72" s="13">
        <f>VLOOKUP($G72,'Visu totale'!$D$3:$DT$129,DC$1,0)</f>
        <v>0</v>
      </c>
      <c r="DD72" s="13">
        <f>VLOOKUP($G72,'Visu totale'!$D$3:$DT$129,DD$1,0)</f>
        <v>0</v>
      </c>
      <c r="DE72" s="13">
        <f>VLOOKUP($G72,'Visu totale'!$D$3:$DT$129,DE$1,0)</f>
        <v>0</v>
      </c>
      <c r="DF72" s="13">
        <f>VLOOKUP($G72,'Visu totale'!$D$3:$DT$129,DF$1,0)</f>
        <v>0</v>
      </c>
      <c r="DG72" s="13">
        <f>VLOOKUP($G72,'Visu totale'!$D$3:$DT$129,DG$1,0)</f>
        <v>0</v>
      </c>
      <c r="DH72" s="13">
        <f>VLOOKUP($G72,'Visu totale'!$D$3:$DT$129,DH$1,0)</f>
        <v>0</v>
      </c>
      <c r="DI72" s="13">
        <f>VLOOKUP($G72,'Visu totale'!$D$3:$DT$129,DI$1,0)</f>
        <v>0</v>
      </c>
      <c r="DJ72" s="15">
        <f>VLOOKUP($G72,'Visu totale'!$D$3:$DT$129,DJ$1,0)</f>
        <v>0</v>
      </c>
      <c r="DK72" s="14">
        <f>VLOOKUP($G72,'Visu totale'!$D$3:$DT$129,DK$1,0)</f>
        <v>0</v>
      </c>
      <c r="DL72" s="13">
        <f>VLOOKUP($G72,'Visu totale'!$D$3:$DT$129,DL$1,0)</f>
        <v>0</v>
      </c>
      <c r="DM72" s="13">
        <f>VLOOKUP($G72,'Visu totale'!$D$3:$DT$129,DM$1,0)</f>
        <v>0</v>
      </c>
      <c r="DN72" s="13">
        <f>VLOOKUP($G72,'Visu totale'!$D$3:$DT$129,DN$1,0)</f>
        <v>0</v>
      </c>
      <c r="DO72" s="13">
        <f>VLOOKUP($G72,'Visu totale'!$D$3:$DT$129,DO$1,0)</f>
        <v>0</v>
      </c>
      <c r="DP72" s="13">
        <f>VLOOKUP($G72,'Visu totale'!$D$3:$DT$129,DP$1,0)</f>
        <v>0</v>
      </c>
      <c r="DQ72" s="13">
        <f>VLOOKUP($G72,'Visu totale'!$D$3:$DT$129,DQ$1,0)</f>
        <v>0</v>
      </c>
      <c r="DR72" s="13">
        <f>VLOOKUP($G72,'Visu totale'!$D$3:$DT$129,DR$1,0)</f>
        <v>0</v>
      </c>
      <c r="DS72" s="13">
        <f>VLOOKUP($G72,'Visu totale'!$D$3:$DT$129,DS$1,0)</f>
        <v>0</v>
      </c>
      <c r="DT72" s="13">
        <f>VLOOKUP($G72,'Visu totale'!$D$3:$DT$129,DT$1,0)</f>
        <v>0</v>
      </c>
      <c r="DU72" s="13">
        <f>VLOOKUP($G72,'Visu totale'!$D$3:$DT$129,DU$1,0)</f>
        <v>0</v>
      </c>
      <c r="DV72" s="15">
        <f>VLOOKUP($G72,'Visu totale'!$D$3:$DT$129,DV$1,0)</f>
        <v>0</v>
      </c>
    </row>
    <row r="73" spans="1:126" x14ac:dyDescent="0.25">
      <c r="A73" s="13"/>
      <c r="B73" s="13"/>
      <c r="C73" s="13"/>
      <c r="D73" s="16"/>
      <c r="E73" s="14"/>
      <c r="F73" s="13"/>
      <c r="G73" s="17" t="s">
        <v>75</v>
      </c>
      <c r="H73" s="13" t="str">
        <f>VLOOKUP($G73,'Visu totale'!$D$3:$DT$129,H$1,0)</f>
        <v>V15</v>
      </c>
      <c r="I73" s="13" t="str">
        <f>VLOOKUP($G73,'Visu totale'!$D$3:$DT$129,I$1,0)</f>
        <v>V15</v>
      </c>
      <c r="J73" s="13" t="str">
        <f>VLOOKUP($G73,'Visu totale'!$D$3:$DT$129,J$1,0)</f>
        <v>V15</v>
      </c>
      <c r="K73" s="13" t="str">
        <f>VLOOKUP($G73,'Visu totale'!$D$3:$DT$129,K$1,0)</f>
        <v>V15</v>
      </c>
      <c r="L73" s="13" t="str">
        <f>VLOOKUP($G73,'Visu totale'!$D$3:$DT$129,L$1,0)</f>
        <v>V15</v>
      </c>
      <c r="M73" s="13">
        <f>VLOOKUP($G73,'Visu totale'!$D$3:$DT$129,M$1,0)</f>
        <v>18</v>
      </c>
      <c r="N73" s="13">
        <f>VLOOKUP($G73,'Visu totale'!$D$3:$DT$129,N$1,0)</f>
        <v>18</v>
      </c>
      <c r="O73" s="13" t="str">
        <f>VLOOKUP($G73,'Visu totale'!$D$3:$DT$129,O$1,0)</f>
        <v>NANCY_D</v>
      </c>
      <c r="P73" s="13" t="str">
        <f>VLOOKUP($G73,'Visu totale'!$D$3:$DT$129,P$1,0)</f>
        <v>NANCY_D</v>
      </c>
      <c r="Q73" s="13" t="str">
        <f>VLOOKUP($G73,'Visu totale'!$D$3:$DT$129,Q$1,0)</f>
        <v>NANCY_D</v>
      </c>
      <c r="R73" s="15" t="str">
        <f>VLOOKUP($G73,'Visu totale'!$D$3:$DT$129,R$1,0)</f>
        <v>NANCY_D</v>
      </c>
      <c r="S73" s="14">
        <f>VLOOKUP($G73,'Visu totale'!$D$3:$DT$129,S$1,0)</f>
        <v>18</v>
      </c>
      <c r="T73" s="13">
        <f>VLOOKUP($G73,'Visu totale'!$D$3:$DT$129,T$1,0)</f>
        <v>18</v>
      </c>
      <c r="U73" s="13" t="str">
        <f>VLOOKUP($G73,'Visu totale'!$D$3:$DT$129,U$1,0)</f>
        <v>CHAMMAL_D</v>
      </c>
      <c r="V73" s="13" t="str">
        <f>VLOOKUP($G73,'Visu totale'!$D$3:$DT$129,V$1,0)</f>
        <v>CHAMMAL_D</v>
      </c>
      <c r="W73" s="13" t="str">
        <f>VLOOKUP($G73,'Visu totale'!$D$3:$DT$129,W$1,0)</f>
        <v>CHAMMAL_D</v>
      </c>
      <c r="X73" s="13" t="str">
        <f>VLOOKUP($G73,'Visu totale'!$D$3:$DT$129,X$1,0)</f>
        <v>CHAMMAL_D</v>
      </c>
      <c r="Y73" s="13">
        <f>VLOOKUP($G73,'Visu totale'!$D$3:$DT$129,Y$1,0)</f>
        <v>18</v>
      </c>
      <c r="Z73" s="13">
        <f>VLOOKUP($G73,'Visu totale'!$D$3:$DT$129,Z$1,0)</f>
        <v>18</v>
      </c>
      <c r="AA73" s="13" t="str">
        <f>VLOOKUP($G73,'Visu totale'!$D$3:$DT$129,AA$1,0)</f>
        <v>CHAMMAL_D</v>
      </c>
      <c r="AB73" s="13" t="str">
        <f>VLOOKUP($G73,'Visu totale'!$D$3:$DT$129,AB$1,0)</f>
        <v>CHAMMAL_D</v>
      </c>
      <c r="AC73" s="13" t="str">
        <f>VLOOKUP($G73,'Visu totale'!$D$3:$DT$129,AC$1,0)</f>
        <v>CHAMMAL_D</v>
      </c>
      <c r="AD73" s="15" t="str">
        <f>VLOOKUP($G73,'Visu totale'!$D$3:$DT$129,AD$1,0)</f>
        <v>CHAMMAL_D</v>
      </c>
      <c r="AE73" s="14">
        <f>VLOOKUP($G73,'Visu totale'!$D$3:$DT$129,AE$1,0)</f>
        <v>18</v>
      </c>
      <c r="AF73" s="13">
        <f>VLOOKUP($G73,'Visu totale'!$D$3:$DT$129,AF$1,0)</f>
        <v>18</v>
      </c>
      <c r="AG73" s="13">
        <f>VLOOKUP($G73,'Visu totale'!$D$3:$DT$129,AG$1,0)</f>
        <v>18</v>
      </c>
      <c r="AH73" s="13">
        <f>VLOOKUP($G73,'Visu totale'!$D$3:$DT$129,AH$1,0)</f>
        <v>18</v>
      </c>
      <c r="AI73" s="13">
        <f>VLOOKUP($G73,'Visu totale'!$D$3:$DT$129,AI$1,0)</f>
        <v>18</v>
      </c>
      <c r="AJ73" s="13">
        <f>VLOOKUP($G73,'Visu totale'!$D$3:$DT$129,AJ$1,0)</f>
        <v>18</v>
      </c>
      <c r="AK73" s="13">
        <f>VLOOKUP($G73,'Visu totale'!$D$3:$DT$129,AK$1,0)</f>
        <v>18</v>
      </c>
      <c r="AL73" s="13">
        <f>VLOOKUP($G73,'Visu totale'!$D$3:$DT$129,AL$1,0)</f>
        <v>18</v>
      </c>
      <c r="AM73" s="13">
        <f>VLOOKUP($G73,'Visu totale'!$D$3:$DT$129,AM$1,0)</f>
        <v>18</v>
      </c>
      <c r="AN73" s="13">
        <f>VLOOKUP($G73,'Visu totale'!$D$3:$DT$129,AN$1,0)</f>
        <v>18</v>
      </c>
      <c r="AO73" s="13">
        <f>VLOOKUP($G73,'Visu totale'!$D$3:$DT$129,AO$1,0)</f>
        <v>18</v>
      </c>
      <c r="AP73" s="15">
        <f>VLOOKUP($G73,'Visu totale'!$D$3:$DT$129,AP$1,0)</f>
        <v>0</v>
      </c>
      <c r="AQ73" s="14">
        <f>VLOOKUP($G73,'Visu totale'!$D$3:$DT$129,AQ$1,0)</f>
        <v>0</v>
      </c>
      <c r="AR73" s="13">
        <f>VLOOKUP($G73,'Visu totale'!$D$3:$DT$129,AR$1,0)</f>
        <v>0</v>
      </c>
      <c r="AS73" s="13">
        <f>VLOOKUP($G73,'Visu totale'!$D$3:$DT$129,AS$1,0)</f>
        <v>0</v>
      </c>
      <c r="AT73" s="13">
        <f>VLOOKUP($G73,'Visu totale'!$D$3:$DT$129,AT$1,0)</f>
        <v>0</v>
      </c>
      <c r="AU73" s="13">
        <f>VLOOKUP($G73,'Visu totale'!$D$3:$DT$129,AU$1,0)</f>
        <v>0</v>
      </c>
      <c r="AV73" s="13">
        <f>VLOOKUP($G73,'Visu totale'!$D$3:$DT$129,AV$1,0)</f>
        <v>0</v>
      </c>
      <c r="AW73" s="13">
        <f>VLOOKUP($G73,'Visu totale'!$D$3:$DT$129,AW$1,0)</f>
        <v>0</v>
      </c>
      <c r="AX73" s="13">
        <f>VLOOKUP($G73,'Visu totale'!$D$3:$DT$129,AX$1,0)</f>
        <v>0</v>
      </c>
      <c r="AY73" s="13">
        <f>VLOOKUP($G73,'Visu totale'!$D$3:$DT$129,AY$1,0)</f>
        <v>0</v>
      </c>
      <c r="AZ73" s="13">
        <f>VLOOKUP($G73,'Visu totale'!$D$3:$DT$129,AZ$1,0)</f>
        <v>0</v>
      </c>
      <c r="BA73" s="13">
        <f>VLOOKUP($G73,'Visu totale'!$D$3:$DT$129,BA$1,0)</f>
        <v>0</v>
      </c>
      <c r="BB73" s="15">
        <f>VLOOKUP($G73,'Visu totale'!$D$3:$DT$129,BB$1,0)</f>
        <v>0</v>
      </c>
      <c r="BC73" s="14">
        <f>VLOOKUP($G73,'Visu totale'!$D$3:$DT$129,BC$1,0)</f>
        <v>0</v>
      </c>
      <c r="BD73" s="13">
        <f>VLOOKUP($G73,'Visu totale'!$D$3:$DT$129,BD$1,0)</f>
        <v>0</v>
      </c>
      <c r="BE73" s="13">
        <f>VLOOKUP($G73,'Visu totale'!$D$3:$DT$129,BE$1,0)</f>
        <v>0</v>
      </c>
      <c r="BF73" s="13">
        <f>VLOOKUP($G73,'Visu totale'!$D$3:$DT$129,BF$1,0)</f>
        <v>0</v>
      </c>
      <c r="BG73" s="13" t="str">
        <f>VLOOKUP($G73,'Visu totale'!$D$3:$DT$129,BG$1,0)</f>
        <v>V20</v>
      </c>
      <c r="BH73" s="13" t="str">
        <f>VLOOKUP($G73,'Visu totale'!$D$3:$DT$129,BH$1,0)</f>
        <v>V20</v>
      </c>
      <c r="BI73" s="13" t="str">
        <f>VLOOKUP($G73,'Visu totale'!$D$3:$DT$129,BI$1,0)</f>
        <v>V20</v>
      </c>
      <c r="BJ73" s="13" t="str">
        <f>VLOOKUP($G73,'Visu totale'!$D$3:$DT$129,BJ$1,0)</f>
        <v>V20</v>
      </c>
      <c r="BK73" s="13" t="str">
        <f>VLOOKUP($G73,'Visu totale'!$D$3:$DT$129,BK$1,0)</f>
        <v>V20</v>
      </c>
      <c r="BL73" s="13" t="str">
        <f>VLOOKUP($G73,'Visu totale'!$D$3:$DT$129,BL$1,0)</f>
        <v>V20</v>
      </c>
      <c r="BM73" s="13">
        <f>VLOOKUP($G73,'Visu totale'!$D$3:$DT$129,BM$1,0)</f>
        <v>18</v>
      </c>
      <c r="BN73" s="15">
        <f>VLOOKUP($G73,'Visu totale'!$D$3:$DT$129,BN$1,0)</f>
        <v>18</v>
      </c>
      <c r="BO73" s="14">
        <f>VLOOKUP($G73,'Visu totale'!$D$3:$DT$129,BO$1,0)</f>
        <v>18</v>
      </c>
      <c r="BP73" s="13">
        <f>VLOOKUP($G73,'Visu totale'!$D$3:$DT$129,BP$1,0)</f>
        <v>18</v>
      </c>
      <c r="BQ73" s="13" t="str">
        <f>VLOOKUP($G73,'Visu totale'!$D$3:$DT$129,BQ$1,0)</f>
        <v>NANCY_D</v>
      </c>
      <c r="BR73" s="13" t="str">
        <f>VLOOKUP($G73,'Visu totale'!$D$3:$DT$129,BR$1,0)</f>
        <v>NANCY_D</v>
      </c>
      <c r="BS73" s="13" t="str">
        <f>VLOOKUP($G73,'Visu totale'!$D$3:$DT$129,BS$1,0)</f>
        <v>NANCY_D</v>
      </c>
      <c r="BT73" s="13" t="str">
        <f>VLOOKUP($G73,'Visu totale'!$D$3:$DT$129,BT$1,0)</f>
        <v>NANCY_D</v>
      </c>
      <c r="BU73" s="13">
        <f>VLOOKUP($G73,'Visu totale'!$D$3:$DT$129,BU$1,0)</f>
        <v>18</v>
      </c>
      <c r="BV73" s="13">
        <f>VLOOKUP($G73,'Visu totale'!$D$3:$DT$129,BV$1,0)</f>
        <v>18</v>
      </c>
      <c r="BW73" s="13" t="str">
        <f>VLOOKUP($G73,'Visu totale'!$D$3:$DT$129,BW$1,0)</f>
        <v>NANCY_D</v>
      </c>
      <c r="BX73" s="13" t="str">
        <f>VLOOKUP($G73,'Visu totale'!$D$3:$DT$129,BX$1,0)</f>
        <v>NANCY_D</v>
      </c>
      <c r="BY73" s="13" t="str">
        <f>VLOOKUP($G73,'Visu totale'!$D$3:$DT$129,BY$1,0)</f>
        <v>NANCY_D</v>
      </c>
      <c r="BZ73" s="15" t="str">
        <f>VLOOKUP($G73,'Visu totale'!$D$3:$DT$129,BZ$1,0)</f>
        <v>NANCY_D</v>
      </c>
      <c r="CA73" s="14">
        <f>VLOOKUP($G73,'Visu totale'!$D$3:$DT$129,CA$1,0)</f>
        <v>18</v>
      </c>
      <c r="CB73" s="13">
        <f>VLOOKUP($G73,'Visu totale'!$D$3:$DT$129,CB$1,0)</f>
        <v>18</v>
      </c>
      <c r="CC73" s="13" t="str">
        <f>VLOOKUP($G73,'Visu totale'!$D$3:$DT$129,CC$1,0)</f>
        <v>NANCY_D</v>
      </c>
      <c r="CD73" s="13" t="str">
        <f>VLOOKUP($G73,'Visu totale'!$D$3:$DT$129,CD$1,0)</f>
        <v>NANCY_D</v>
      </c>
      <c r="CE73" s="13" t="str">
        <f>VLOOKUP($G73,'Visu totale'!$D$3:$DT$129,CE$1,0)</f>
        <v>NANCY_D</v>
      </c>
      <c r="CF73" s="13" t="str">
        <f>VLOOKUP($G73,'Visu totale'!$D$3:$DT$129,CF$1,0)</f>
        <v>NANCY_D</v>
      </c>
      <c r="CG73" s="13">
        <f>VLOOKUP($G73,'Visu totale'!$D$3:$DT$129,CG$1,0)</f>
        <v>18</v>
      </c>
      <c r="CH73" s="13">
        <f>VLOOKUP($G73,'Visu totale'!$D$3:$DT$129,CH$1,0)</f>
        <v>18</v>
      </c>
      <c r="CI73" s="13" t="str">
        <f>VLOOKUP($G73,'Visu totale'!$D$3:$DT$129,CI$1,0)</f>
        <v>NANCY_D</v>
      </c>
      <c r="CJ73" s="13" t="str">
        <f>VLOOKUP($G73,'Visu totale'!$D$3:$DT$129,CJ$1,0)</f>
        <v>NANCY_D</v>
      </c>
      <c r="CK73" s="13" t="str">
        <f>VLOOKUP($G73,'Visu totale'!$D$3:$DT$129,CK$1,0)</f>
        <v>NANCY_D</v>
      </c>
      <c r="CL73" s="15" t="str">
        <f>VLOOKUP($G73,'Visu totale'!$D$3:$DT$129,CL$1,0)</f>
        <v>NANCY_D</v>
      </c>
      <c r="CM73" s="14">
        <f>VLOOKUP($G73,'Visu totale'!$D$3:$DT$129,CM$1,0)</f>
        <v>18</v>
      </c>
      <c r="CN73" s="13">
        <f>VLOOKUP($G73,'Visu totale'!$D$3:$DT$129,CN$1,0)</f>
        <v>18</v>
      </c>
      <c r="CO73" s="13" t="str">
        <f>VLOOKUP($G73,'Visu totale'!$D$3:$DT$129,CO$1,0)</f>
        <v>NANCY_D</v>
      </c>
      <c r="CP73" s="13" t="str">
        <f>VLOOKUP($G73,'Visu totale'!$D$3:$DT$129,CP$1,0)</f>
        <v>NANCY_D</v>
      </c>
      <c r="CQ73" s="13" t="str">
        <f>VLOOKUP($G73,'Visu totale'!$D$3:$DT$129,CQ$1,0)</f>
        <v>NANCY_D</v>
      </c>
      <c r="CR73" s="13" t="str">
        <f>VLOOKUP($G73,'Visu totale'!$D$3:$DT$129,CR$1,0)</f>
        <v>NANCY_D</v>
      </c>
      <c r="CS73" s="13">
        <f>VLOOKUP($G73,'Visu totale'!$D$3:$DT$129,CS$1,0)</f>
        <v>18</v>
      </c>
      <c r="CT73" s="13">
        <f>VLOOKUP($G73,'Visu totale'!$D$3:$DT$129,CT$1,0)</f>
        <v>18</v>
      </c>
      <c r="CU73" s="13">
        <f>VLOOKUP($G73,'Visu totale'!$D$3:$DT$129,CU$1,0)</f>
        <v>18</v>
      </c>
      <c r="CV73" s="13">
        <f>VLOOKUP($G73,'Visu totale'!$D$3:$DT$129,CV$1,0)</f>
        <v>18</v>
      </c>
      <c r="CW73" s="13">
        <f>VLOOKUP($G73,'Visu totale'!$D$3:$DT$129,CW$1,0)</f>
        <v>18</v>
      </c>
      <c r="CX73" s="15">
        <f>VLOOKUP($G73,'Visu totale'!$D$3:$DT$129,CX$1,0)</f>
        <v>18</v>
      </c>
      <c r="CY73" s="14">
        <f>VLOOKUP($G73,'Visu totale'!$D$3:$DT$129,CY$1,0)</f>
        <v>0</v>
      </c>
      <c r="CZ73" s="13">
        <f>VLOOKUP($G73,'Visu totale'!$D$3:$DT$129,CZ$1,0)</f>
        <v>0</v>
      </c>
      <c r="DA73" s="13">
        <f>VLOOKUP($G73,'Visu totale'!$D$3:$DT$129,DA$1,0)</f>
        <v>0</v>
      </c>
      <c r="DB73" s="13">
        <f>VLOOKUP($G73,'Visu totale'!$D$3:$DT$129,DB$1,0)</f>
        <v>0</v>
      </c>
      <c r="DC73" s="13">
        <f>VLOOKUP($G73,'Visu totale'!$D$3:$DT$129,DC$1,0)</f>
        <v>0</v>
      </c>
      <c r="DD73" s="13">
        <f>VLOOKUP($G73,'Visu totale'!$D$3:$DT$129,DD$1,0)</f>
        <v>0</v>
      </c>
      <c r="DE73" s="13">
        <f>VLOOKUP($G73,'Visu totale'!$D$3:$DT$129,DE$1,0)</f>
        <v>0</v>
      </c>
      <c r="DF73" s="13">
        <f>VLOOKUP($G73,'Visu totale'!$D$3:$DT$129,DF$1,0)</f>
        <v>0</v>
      </c>
      <c r="DG73" s="13">
        <f>VLOOKUP($G73,'Visu totale'!$D$3:$DT$129,DG$1,0)</f>
        <v>0</v>
      </c>
      <c r="DH73" s="13">
        <f>VLOOKUP($G73,'Visu totale'!$D$3:$DT$129,DH$1,0)</f>
        <v>0</v>
      </c>
      <c r="DI73" s="13">
        <f>VLOOKUP($G73,'Visu totale'!$D$3:$DT$129,DI$1,0)</f>
        <v>0</v>
      </c>
      <c r="DJ73" s="15">
        <f>VLOOKUP($G73,'Visu totale'!$D$3:$DT$129,DJ$1,0)</f>
        <v>0</v>
      </c>
      <c r="DK73" s="14">
        <f>VLOOKUP($G73,'Visu totale'!$D$3:$DT$129,DK$1,0)</f>
        <v>0</v>
      </c>
      <c r="DL73" s="13">
        <f>VLOOKUP($G73,'Visu totale'!$D$3:$DT$129,DL$1,0)</f>
        <v>0</v>
      </c>
      <c r="DM73" s="13">
        <f>VLOOKUP($G73,'Visu totale'!$D$3:$DT$129,DM$1,0)</f>
        <v>0</v>
      </c>
      <c r="DN73" s="13">
        <f>VLOOKUP($G73,'Visu totale'!$D$3:$DT$129,DN$1,0)</f>
        <v>0</v>
      </c>
      <c r="DO73" s="13">
        <f>VLOOKUP($G73,'Visu totale'!$D$3:$DT$129,DO$1,0)</f>
        <v>0</v>
      </c>
      <c r="DP73" s="13">
        <f>VLOOKUP($G73,'Visu totale'!$D$3:$DT$129,DP$1,0)</f>
        <v>0</v>
      </c>
      <c r="DQ73" s="13">
        <f>VLOOKUP($G73,'Visu totale'!$D$3:$DT$129,DQ$1,0)</f>
        <v>0</v>
      </c>
      <c r="DR73" s="13">
        <f>VLOOKUP($G73,'Visu totale'!$D$3:$DT$129,DR$1,0)</f>
        <v>0</v>
      </c>
      <c r="DS73" s="13">
        <f>VLOOKUP($G73,'Visu totale'!$D$3:$DT$129,DS$1,0)</f>
        <v>0</v>
      </c>
      <c r="DT73" s="13">
        <f>VLOOKUP($G73,'Visu totale'!$D$3:$DT$129,DT$1,0)</f>
        <v>0</v>
      </c>
      <c r="DU73" s="13">
        <f>VLOOKUP($G73,'Visu totale'!$D$3:$DT$129,DU$1,0)</f>
        <v>0</v>
      </c>
      <c r="DV73" s="15">
        <f>VLOOKUP($G73,'Visu totale'!$D$3:$DT$129,DV$1,0)</f>
        <v>0</v>
      </c>
    </row>
    <row r="74" spans="1:126" x14ac:dyDescent="0.25">
      <c r="A74" s="13"/>
      <c r="B74" s="13"/>
      <c r="C74" s="13"/>
      <c r="D74" s="16"/>
      <c r="E74" s="14"/>
      <c r="F74" s="13"/>
      <c r="G74" s="17" t="s">
        <v>76</v>
      </c>
      <c r="H74" s="13">
        <f>VLOOKUP($G74,'Visu totale'!$D$3:$DT$129,H$1,0)</f>
        <v>18</v>
      </c>
      <c r="I74" s="13" t="str">
        <f>VLOOKUP($G74,'Visu totale'!$D$3:$DT$129,I$1,0)</f>
        <v>NANCY_D</v>
      </c>
      <c r="J74" s="13" t="str">
        <f>VLOOKUP($G74,'Visu totale'!$D$3:$DT$129,J$1,0)</f>
        <v>NANCY_D</v>
      </c>
      <c r="K74" s="13" t="str">
        <f>VLOOKUP($G74,'Visu totale'!$D$3:$DT$129,K$1,0)</f>
        <v>NANCY_D</v>
      </c>
      <c r="L74" s="13" t="str">
        <f>VLOOKUP($G74,'Visu totale'!$D$3:$DT$129,L$1,0)</f>
        <v>NANCY_D</v>
      </c>
      <c r="M74" s="13" t="str">
        <f>VLOOKUP($G74,'Visu totale'!$D$3:$DT$129,M$1,0)</f>
        <v>V15</v>
      </c>
      <c r="N74" s="13" t="str">
        <f>VLOOKUP($G74,'Visu totale'!$D$3:$DT$129,N$1,0)</f>
        <v>V15</v>
      </c>
      <c r="O74" s="13" t="str">
        <f>VLOOKUP($G74,'Visu totale'!$D$3:$DT$129,O$1,0)</f>
        <v>V15</v>
      </c>
      <c r="P74" s="13" t="str">
        <f>VLOOKUP($G74,'Visu totale'!$D$3:$DT$129,P$1,0)</f>
        <v>V15</v>
      </c>
      <c r="Q74" s="13" t="str">
        <f>VLOOKUP($G74,'Visu totale'!$D$3:$DT$129,Q$1,0)</f>
        <v>V15</v>
      </c>
      <c r="R74" s="15" t="str">
        <f>VLOOKUP($G74,'Visu totale'!$D$3:$DT$129,R$1,0)</f>
        <v>V15</v>
      </c>
      <c r="S74" s="14" t="str">
        <f>VLOOKUP($G74,'Visu totale'!$D$3:$DT$129,S$1,0)</f>
        <v>V15</v>
      </c>
      <c r="T74" s="13">
        <f>VLOOKUP($G74,'Visu totale'!$D$3:$DT$129,T$1,0)</f>
        <v>18</v>
      </c>
      <c r="U74" s="13">
        <f>VLOOKUP($G74,'Visu totale'!$D$3:$DT$129,U$1,0)</f>
        <v>18</v>
      </c>
      <c r="V74" s="13" t="str">
        <f>VLOOKUP($G74,'Visu totale'!$D$3:$DT$129,V$1,0)</f>
        <v>CHAMMAL_D</v>
      </c>
      <c r="W74" s="13" t="str">
        <f>VLOOKUP($G74,'Visu totale'!$D$3:$DT$129,W$1,0)</f>
        <v>CHAMMAL_D</v>
      </c>
      <c r="X74" s="13" t="str">
        <f>VLOOKUP($G74,'Visu totale'!$D$3:$DT$129,X$1,0)</f>
        <v>CHAMMAL_D</v>
      </c>
      <c r="Y74" s="13" t="str">
        <f>VLOOKUP($G74,'Visu totale'!$D$3:$DT$129,Y$1,0)</f>
        <v>CHAMMAL_D</v>
      </c>
      <c r="Z74" s="13">
        <f>VLOOKUP($G74,'Visu totale'!$D$3:$DT$129,Z$1,0)</f>
        <v>18</v>
      </c>
      <c r="AA74" s="13">
        <f>VLOOKUP($G74,'Visu totale'!$D$3:$DT$129,AA$1,0)</f>
        <v>18</v>
      </c>
      <c r="AB74" s="13" t="str">
        <f>VLOOKUP($G74,'Visu totale'!$D$3:$DT$129,AB$1,0)</f>
        <v>CHAMMAL_D</v>
      </c>
      <c r="AC74" s="13" t="str">
        <f>VLOOKUP($G74,'Visu totale'!$D$3:$DT$129,AC$1,0)</f>
        <v>CHAMMAL_D</v>
      </c>
      <c r="AD74" s="15" t="str">
        <f>VLOOKUP($G74,'Visu totale'!$D$3:$DT$129,AD$1,0)</f>
        <v>CHAMMAL_D</v>
      </c>
      <c r="AE74" s="14" t="str">
        <f>VLOOKUP($G74,'Visu totale'!$D$3:$DT$129,AE$1,0)</f>
        <v>CHAMMAL_D</v>
      </c>
      <c r="AF74" s="13">
        <f>VLOOKUP($G74,'Visu totale'!$D$3:$DT$129,AF$1,0)</f>
        <v>18</v>
      </c>
      <c r="AG74" s="13">
        <f>VLOOKUP($G74,'Visu totale'!$D$3:$DT$129,AG$1,0)</f>
        <v>18</v>
      </c>
      <c r="AH74" s="13" t="str">
        <f>VLOOKUP($G74,'Visu totale'!$D$3:$DT$129,AH$1,0)</f>
        <v>NANCY_D</v>
      </c>
      <c r="AI74" s="13" t="str">
        <f>VLOOKUP($G74,'Visu totale'!$D$3:$DT$129,AI$1,0)</f>
        <v>NANCY_D</v>
      </c>
      <c r="AJ74" s="13" t="str">
        <f>VLOOKUP($G74,'Visu totale'!$D$3:$DT$129,AJ$1,0)</f>
        <v>NANCY_D</v>
      </c>
      <c r="AK74" s="13">
        <f>VLOOKUP($G74,'Visu totale'!$D$3:$DT$129,AK$1,0)</f>
        <v>18</v>
      </c>
      <c r="AL74" s="13">
        <f>VLOOKUP($G74,'Visu totale'!$D$3:$DT$129,AL$1,0)</f>
        <v>18</v>
      </c>
      <c r="AM74" s="13">
        <f>VLOOKUP($G74,'Visu totale'!$D$3:$DT$129,AM$1,0)</f>
        <v>18</v>
      </c>
      <c r="AN74" s="13">
        <f>VLOOKUP($G74,'Visu totale'!$D$3:$DT$129,AN$1,0)</f>
        <v>18</v>
      </c>
      <c r="AO74" s="13">
        <f>VLOOKUP($G74,'Visu totale'!$D$3:$DT$129,AO$1,0)</f>
        <v>18</v>
      </c>
      <c r="AP74" s="15">
        <f>VLOOKUP($G74,'Visu totale'!$D$3:$DT$129,AP$1,0)</f>
        <v>18</v>
      </c>
      <c r="AQ74" s="14">
        <f>VLOOKUP($G74,'Visu totale'!$D$3:$DT$129,AQ$1,0)</f>
        <v>18</v>
      </c>
      <c r="AR74" s="13">
        <f>VLOOKUP($G74,'Visu totale'!$D$3:$DT$129,AR$1,0)</f>
        <v>18</v>
      </c>
      <c r="AS74" s="13">
        <f>VLOOKUP($G74,'Visu totale'!$D$3:$DT$129,AS$1,0)</f>
        <v>18</v>
      </c>
      <c r="AT74" s="13">
        <f>VLOOKUP($G74,'Visu totale'!$D$3:$DT$129,AT$1,0)</f>
        <v>18</v>
      </c>
      <c r="AU74" s="13">
        <f>VLOOKUP($G74,'Visu totale'!$D$3:$DT$129,AU$1,0)</f>
        <v>18</v>
      </c>
      <c r="AV74" s="13">
        <f>VLOOKUP($G74,'Visu totale'!$D$3:$DT$129,AV$1,0)</f>
        <v>18</v>
      </c>
      <c r="AW74" s="13">
        <f>VLOOKUP($G74,'Visu totale'!$D$3:$DT$129,AW$1,0)</f>
        <v>0</v>
      </c>
      <c r="AX74" s="13">
        <f>VLOOKUP($G74,'Visu totale'!$D$3:$DT$129,AX$1,0)</f>
        <v>0</v>
      </c>
      <c r="AY74" s="13">
        <f>VLOOKUP($G74,'Visu totale'!$D$3:$DT$129,AY$1,0)</f>
        <v>0</v>
      </c>
      <c r="AZ74" s="13">
        <f>VLOOKUP($G74,'Visu totale'!$D$3:$DT$129,AZ$1,0)</f>
        <v>0</v>
      </c>
      <c r="BA74" s="13">
        <f>VLOOKUP($G74,'Visu totale'!$D$3:$DT$129,BA$1,0)</f>
        <v>0</v>
      </c>
      <c r="BB74" s="15">
        <f>VLOOKUP($G74,'Visu totale'!$D$3:$DT$129,BB$1,0)</f>
        <v>0</v>
      </c>
      <c r="BC74" s="14">
        <f>VLOOKUP($G74,'Visu totale'!$D$3:$DT$129,BC$1,0)</f>
        <v>0</v>
      </c>
      <c r="BD74" s="13">
        <f>VLOOKUP($G74,'Visu totale'!$D$3:$DT$129,BD$1,0)</f>
        <v>0</v>
      </c>
      <c r="BE74" s="13">
        <f>VLOOKUP($G74,'Visu totale'!$D$3:$DT$129,BE$1,0)</f>
        <v>0</v>
      </c>
      <c r="BF74" s="13">
        <f>VLOOKUP($G74,'Visu totale'!$D$3:$DT$129,BF$1,0)</f>
        <v>0</v>
      </c>
      <c r="BG74" s="13">
        <f>VLOOKUP($G74,'Visu totale'!$D$3:$DT$129,BG$1,0)</f>
        <v>0</v>
      </c>
      <c r="BH74" s="13">
        <f>VLOOKUP($G74,'Visu totale'!$D$3:$DT$129,BH$1,0)</f>
        <v>0</v>
      </c>
      <c r="BI74" s="13">
        <f>VLOOKUP($G74,'Visu totale'!$D$3:$DT$129,BI$1,0)</f>
        <v>0</v>
      </c>
      <c r="BJ74" s="13">
        <f>VLOOKUP($G74,'Visu totale'!$D$3:$DT$129,BJ$1,0)</f>
        <v>0</v>
      </c>
      <c r="BK74" s="13">
        <f>VLOOKUP($G74,'Visu totale'!$D$3:$DT$129,BK$1,0)</f>
        <v>0</v>
      </c>
      <c r="BL74" s="13">
        <f>VLOOKUP($G74,'Visu totale'!$D$3:$DT$129,BL$1,0)</f>
        <v>0</v>
      </c>
      <c r="BM74" s="13">
        <f>VLOOKUP($G74,'Visu totale'!$D$3:$DT$129,BM$1,0)</f>
        <v>0</v>
      </c>
      <c r="BN74" s="15" t="str">
        <f>VLOOKUP($G74,'Visu totale'!$D$3:$DT$129,BN$1,0)</f>
        <v>V25</v>
      </c>
      <c r="BO74" s="14" t="str">
        <f>VLOOKUP($G74,'Visu totale'!$D$3:$DT$129,BO$1,0)</f>
        <v>NANCY_D</v>
      </c>
      <c r="BP74" s="13" t="str">
        <f>VLOOKUP($G74,'Visu totale'!$D$3:$DT$129,BP$1,0)</f>
        <v>NANCY_D</v>
      </c>
      <c r="BQ74" s="13" t="str">
        <f>VLOOKUP($G74,'Visu totale'!$D$3:$DT$129,BQ$1,0)</f>
        <v>NANCY_D</v>
      </c>
      <c r="BR74" s="13" t="str">
        <f>VLOOKUP($G74,'Visu totale'!$D$3:$DT$129,BR$1,0)</f>
        <v>NANCY_D</v>
      </c>
      <c r="BS74" s="13">
        <f>VLOOKUP($G74,'Visu totale'!$D$3:$DT$129,BS$1,0)</f>
        <v>18</v>
      </c>
      <c r="BT74" s="13">
        <f>VLOOKUP($G74,'Visu totale'!$D$3:$DT$129,BT$1,0)</f>
        <v>18</v>
      </c>
      <c r="BU74" s="13">
        <f>VLOOKUP($G74,'Visu totale'!$D$3:$DT$129,BU$1,0)</f>
        <v>18</v>
      </c>
      <c r="BV74" s="13">
        <f>VLOOKUP($G74,'Visu totale'!$D$3:$DT$129,BV$1,0)</f>
        <v>18</v>
      </c>
      <c r="BW74" s="13">
        <f>VLOOKUP($G74,'Visu totale'!$D$3:$DT$129,BW$1,0)</f>
        <v>18</v>
      </c>
      <c r="BX74" s="13">
        <f>VLOOKUP($G74,'Visu totale'!$D$3:$DT$129,BX$1,0)</f>
        <v>18</v>
      </c>
      <c r="BY74" s="13">
        <f>VLOOKUP($G74,'Visu totale'!$D$3:$DT$129,BY$1,0)</f>
        <v>18</v>
      </c>
      <c r="BZ74" s="15">
        <f>VLOOKUP($G74,'Visu totale'!$D$3:$DT$129,BZ$1,0)</f>
        <v>18</v>
      </c>
      <c r="CA74" s="14">
        <f>VLOOKUP($G74,'Visu totale'!$D$3:$DT$129,CA$1,0)</f>
        <v>18</v>
      </c>
      <c r="CB74" s="13">
        <f>VLOOKUP($G74,'Visu totale'!$D$3:$DT$129,CB$1,0)</f>
        <v>18</v>
      </c>
      <c r="CC74" s="13">
        <f>VLOOKUP($G74,'Visu totale'!$D$3:$DT$129,CC$1,0)</f>
        <v>18</v>
      </c>
      <c r="CD74" s="13">
        <f>VLOOKUP($G74,'Visu totale'!$D$3:$DT$129,CD$1,0)</f>
        <v>0</v>
      </c>
      <c r="CE74" s="13">
        <f>VLOOKUP($G74,'Visu totale'!$D$3:$DT$129,CE$1,0)</f>
        <v>0</v>
      </c>
      <c r="CF74" s="13">
        <f>VLOOKUP($G74,'Visu totale'!$D$3:$DT$129,CF$1,0)</f>
        <v>0</v>
      </c>
      <c r="CG74" s="13">
        <f>VLOOKUP($G74,'Visu totale'!$D$3:$DT$129,CG$1,0)</f>
        <v>0</v>
      </c>
      <c r="CH74" s="13">
        <f>VLOOKUP($G74,'Visu totale'!$D$3:$DT$129,CH$1,0)</f>
        <v>0</v>
      </c>
      <c r="CI74" s="13">
        <f>VLOOKUP($G74,'Visu totale'!$D$3:$DT$129,CI$1,0)</f>
        <v>0</v>
      </c>
      <c r="CJ74" s="13">
        <f>VLOOKUP($G74,'Visu totale'!$D$3:$DT$129,CJ$1,0)</f>
        <v>0</v>
      </c>
      <c r="CK74" s="13">
        <f>VLOOKUP($G74,'Visu totale'!$D$3:$DT$129,CK$1,0)</f>
        <v>0</v>
      </c>
      <c r="CL74" s="15">
        <f>VLOOKUP($G74,'Visu totale'!$D$3:$DT$129,CL$1,0)</f>
        <v>0</v>
      </c>
      <c r="CM74" s="14">
        <f>VLOOKUP($G74,'Visu totale'!$D$3:$DT$129,CM$1,0)</f>
        <v>0</v>
      </c>
      <c r="CN74" s="13">
        <f>VLOOKUP($G74,'Visu totale'!$D$3:$DT$129,CN$1,0)</f>
        <v>0</v>
      </c>
      <c r="CO74" s="13">
        <f>VLOOKUP($G74,'Visu totale'!$D$3:$DT$129,CO$1,0)</f>
        <v>0</v>
      </c>
      <c r="CP74" s="13">
        <f>VLOOKUP($G74,'Visu totale'!$D$3:$DT$129,CP$1,0)</f>
        <v>0</v>
      </c>
      <c r="CQ74" s="13">
        <f>VLOOKUP($G74,'Visu totale'!$D$3:$DT$129,CQ$1,0)</f>
        <v>0</v>
      </c>
      <c r="CR74" s="13">
        <f>VLOOKUP($G74,'Visu totale'!$D$3:$DT$129,CR$1,0)</f>
        <v>0</v>
      </c>
      <c r="CS74" s="13">
        <f>VLOOKUP($G74,'Visu totale'!$D$3:$DT$129,CS$1,0)</f>
        <v>0</v>
      </c>
      <c r="CT74" s="13">
        <f>VLOOKUP($G74,'Visu totale'!$D$3:$DT$129,CT$1,0)</f>
        <v>18</v>
      </c>
      <c r="CU74" s="13">
        <f>VLOOKUP($G74,'Visu totale'!$D$3:$DT$129,CU$1,0)</f>
        <v>18</v>
      </c>
      <c r="CV74" s="13">
        <f>VLOOKUP($G74,'Visu totale'!$D$3:$DT$129,CV$1,0)</f>
        <v>18</v>
      </c>
      <c r="CW74" s="13">
        <f>VLOOKUP($G74,'Visu totale'!$D$3:$DT$129,CW$1,0)</f>
        <v>18</v>
      </c>
      <c r="CX74" s="15">
        <f>VLOOKUP($G74,'Visu totale'!$D$3:$DT$129,CX$1,0)</f>
        <v>18</v>
      </c>
      <c r="CY74" s="14">
        <f>VLOOKUP($G74,'Visu totale'!$D$3:$DT$129,CY$1,0)</f>
        <v>0</v>
      </c>
      <c r="CZ74" s="13">
        <f>VLOOKUP($G74,'Visu totale'!$D$3:$DT$129,CZ$1,0)</f>
        <v>0</v>
      </c>
      <c r="DA74" s="13">
        <f>VLOOKUP($G74,'Visu totale'!$D$3:$DT$129,DA$1,0)</f>
        <v>0</v>
      </c>
      <c r="DB74" s="13">
        <f>VLOOKUP($G74,'Visu totale'!$D$3:$DT$129,DB$1,0)</f>
        <v>0</v>
      </c>
      <c r="DC74" s="13">
        <f>VLOOKUP($G74,'Visu totale'!$D$3:$DT$129,DC$1,0)</f>
        <v>0</v>
      </c>
      <c r="DD74" s="13">
        <f>VLOOKUP($G74,'Visu totale'!$D$3:$DT$129,DD$1,0)</f>
        <v>0</v>
      </c>
      <c r="DE74" s="13">
        <f>VLOOKUP($G74,'Visu totale'!$D$3:$DT$129,DE$1,0)</f>
        <v>0</v>
      </c>
      <c r="DF74" s="13">
        <f>VLOOKUP($G74,'Visu totale'!$D$3:$DT$129,DF$1,0)</f>
        <v>0</v>
      </c>
      <c r="DG74" s="13">
        <f>VLOOKUP($G74,'Visu totale'!$D$3:$DT$129,DG$1,0)</f>
        <v>0</v>
      </c>
      <c r="DH74" s="13">
        <f>VLOOKUP($G74,'Visu totale'!$D$3:$DT$129,DH$1,0)</f>
        <v>0</v>
      </c>
      <c r="DI74" s="13">
        <f>VLOOKUP($G74,'Visu totale'!$D$3:$DT$129,DI$1,0)</f>
        <v>0</v>
      </c>
      <c r="DJ74" s="15">
        <f>VLOOKUP($G74,'Visu totale'!$D$3:$DT$129,DJ$1,0)</f>
        <v>0</v>
      </c>
      <c r="DK74" s="14">
        <f>VLOOKUP($G74,'Visu totale'!$D$3:$DT$129,DK$1,0)</f>
        <v>0</v>
      </c>
      <c r="DL74" s="13">
        <f>VLOOKUP($G74,'Visu totale'!$D$3:$DT$129,DL$1,0)</f>
        <v>0</v>
      </c>
      <c r="DM74" s="13">
        <f>VLOOKUP($G74,'Visu totale'!$D$3:$DT$129,DM$1,0)</f>
        <v>0</v>
      </c>
      <c r="DN74" s="13">
        <f>VLOOKUP($G74,'Visu totale'!$D$3:$DT$129,DN$1,0)</f>
        <v>0</v>
      </c>
      <c r="DO74" s="13">
        <f>VLOOKUP($G74,'Visu totale'!$D$3:$DT$129,DO$1,0)</f>
        <v>0</v>
      </c>
      <c r="DP74" s="13">
        <f>VLOOKUP($G74,'Visu totale'!$D$3:$DT$129,DP$1,0)</f>
        <v>0</v>
      </c>
      <c r="DQ74" s="13">
        <f>VLOOKUP($G74,'Visu totale'!$D$3:$DT$129,DQ$1,0)</f>
        <v>0</v>
      </c>
      <c r="DR74" s="13">
        <f>VLOOKUP($G74,'Visu totale'!$D$3:$DT$129,DR$1,0)</f>
        <v>0</v>
      </c>
      <c r="DS74" s="13">
        <f>VLOOKUP($G74,'Visu totale'!$D$3:$DT$129,DS$1,0)</f>
        <v>0</v>
      </c>
      <c r="DT74" s="13">
        <f>VLOOKUP($G74,'Visu totale'!$D$3:$DT$129,DT$1,0)</f>
        <v>0</v>
      </c>
      <c r="DU74" s="13">
        <f>VLOOKUP($G74,'Visu totale'!$D$3:$DT$129,DU$1,0)</f>
        <v>0</v>
      </c>
      <c r="DV74" s="15">
        <f>VLOOKUP($G74,'Visu totale'!$D$3:$DT$129,DV$1,0)</f>
        <v>0</v>
      </c>
    </row>
    <row r="75" spans="1:126" x14ac:dyDescent="0.25">
      <c r="A75" s="13"/>
      <c r="B75" s="13"/>
      <c r="C75" s="13"/>
      <c r="D75" s="16"/>
      <c r="E75" s="14"/>
      <c r="F75" s="13"/>
      <c r="G75" s="17" t="s">
        <v>77</v>
      </c>
      <c r="H75" s="13" t="str">
        <f>VLOOKUP($G75,'Visu totale'!$D$3:$DT$129,H$1,0)</f>
        <v>V15</v>
      </c>
      <c r="I75" s="13" t="str">
        <f>VLOOKUP($G75,'Visu totale'!$D$3:$DT$129,I$1,0)</f>
        <v>V15</v>
      </c>
      <c r="J75" s="13" t="str">
        <f>VLOOKUP($G75,'Visu totale'!$D$3:$DT$129,J$1,0)</f>
        <v>V15</v>
      </c>
      <c r="K75" s="13" t="str">
        <f>VLOOKUP($G75,'Visu totale'!$D$3:$DT$129,K$1,0)</f>
        <v>V15</v>
      </c>
      <c r="L75" s="13" t="str">
        <f>VLOOKUP($G75,'Visu totale'!$D$3:$DT$129,L$1,0)</f>
        <v>V15</v>
      </c>
      <c r="M75" s="13" t="str">
        <f>VLOOKUP($G75,'Visu totale'!$D$3:$DT$129,M$1,0)</f>
        <v>V15</v>
      </c>
      <c r="N75" s="13">
        <f>VLOOKUP($G75,'Visu totale'!$D$3:$DT$129,N$1,0)</f>
        <v>18</v>
      </c>
      <c r="O75" s="13">
        <f>VLOOKUP($G75,'Visu totale'!$D$3:$DT$129,O$1,0)</f>
        <v>18</v>
      </c>
      <c r="P75" s="13" t="str">
        <f>VLOOKUP($G75,'Visu totale'!$D$3:$DT$129,P$1,0)</f>
        <v>NANCY_D</v>
      </c>
      <c r="Q75" s="13" t="str">
        <f>VLOOKUP($G75,'Visu totale'!$D$3:$DT$129,Q$1,0)</f>
        <v>NANCY_D</v>
      </c>
      <c r="R75" s="15" t="str">
        <f>VLOOKUP($G75,'Visu totale'!$D$3:$DT$129,R$1,0)</f>
        <v>NANCY_D</v>
      </c>
      <c r="S75" s="14" t="str">
        <f>VLOOKUP($G75,'Visu totale'!$D$3:$DT$129,S$1,0)</f>
        <v>NANCY_D</v>
      </c>
      <c r="T75" s="13">
        <f>VLOOKUP($G75,'Visu totale'!$D$3:$DT$129,T$1,0)</f>
        <v>18</v>
      </c>
      <c r="U75" s="13">
        <f>VLOOKUP($G75,'Visu totale'!$D$3:$DT$129,U$1,0)</f>
        <v>18</v>
      </c>
      <c r="V75" s="13" t="str">
        <f>VLOOKUP($G75,'Visu totale'!$D$3:$DT$129,V$1,0)</f>
        <v>NANCY_D</v>
      </c>
      <c r="W75" s="13" t="str">
        <f>VLOOKUP($G75,'Visu totale'!$D$3:$DT$129,W$1,0)</f>
        <v>NANCY_D</v>
      </c>
      <c r="X75" s="13" t="str">
        <f>VLOOKUP($G75,'Visu totale'!$D$3:$DT$129,X$1,0)</f>
        <v>NANCY_D</v>
      </c>
      <c r="Y75" s="13" t="str">
        <f>VLOOKUP($G75,'Visu totale'!$D$3:$DT$129,Y$1,0)</f>
        <v>NANCY_D</v>
      </c>
      <c r="Z75" s="13">
        <f>VLOOKUP($G75,'Visu totale'!$D$3:$DT$129,Z$1,0)</f>
        <v>18</v>
      </c>
      <c r="AA75" s="13">
        <f>VLOOKUP($G75,'Visu totale'!$D$3:$DT$129,AA$1,0)</f>
        <v>18</v>
      </c>
      <c r="AB75" s="13" t="str">
        <f>VLOOKUP($G75,'Visu totale'!$D$3:$DT$129,AB$1,0)</f>
        <v>NANCY_D</v>
      </c>
      <c r="AC75" s="13" t="str">
        <f>VLOOKUP($G75,'Visu totale'!$D$3:$DT$129,AC$1,0)</f>
        <v>NANCY_D</v>
      </c>
      <c r="AD75" s="15" t="str">
        <f>VLOOKUP($G75,'Visu totale'!$D$3:$DT$129,AD$1,0)</f>
        <v>NANCY_D</v>
      </c>
      <c r="AE75" s="14" t="str">
        <f>VLOOKUP($G75,'Visu totale'!$D$3:$DT$129,AE$1,0)</f>
        <v>NANCY_D</v>
      </c>
      <c r="AF75" s="13">
        <f>VLOOKUP($G75,'Visu totale'!$D$3:$DT$129,AF$1,0)</f>
        <v>18</v>
      </c>
      <c r="AG75" s="13">
        <f>VLOOKUP($G75,'Visu totale'!$D$3:$DT$129,AG$1,0)</f>
        <v>18</v>
      </c>
      <c r="AH75" s="13" t="str">
        <f>VLOOKUP($G75,'Visu totale'!$D$3:$DT$129,AH$1,0)</f>
        <v>NANCY_D</v>
      </c>
      <c r="AI75" s="13" t="str">
        <f>VLOOKUP($G75,'Visu totale'!$D$3:$DT$129,AI$1,0)</f>
        <v>NANCY_D</v>
      </c>
      <c r="AJ75" s="13" t="str">
        <f>VLOOKUP($G75,'Visu totale'!$D$3:$DT$129,AJ$1,0)</f>
        <v>NANCY_D</v>
      </c>
      <c r="AK75" s="13" t="str">
        <f>VLOOKUP($G75,'Visu totale'!$D$3:$DT$129,AK$1,0)</f>
        <v>NANCY_D</v>
      </c>
      <c r="AL75" s="13">
        <f>VLOOKUP($G75,'Visu totale'!$D$3:$DT$129,AL$1,0)</f>
        <v>18</v>
      </c>
      <c r="AM75" s="13">
        <f>VLOOKUP($G75,'Visu totale'!$D$3:$DT$129,AM$1,0)</f>
        <v>18</v>
      </c>
      <c r="AN75" s="13" t="str">
        <f>VLOOKUP($G75,'Visu totale'!$D$3:$DT$129,AN$1,0)</f>
        <v>CHAMMAL_D</v>
      </c>
      <c r="AO75" s="13" t="str">
        <f>VLOOKUP($G75,'Visu totale'!$D$3:$DT$129,AO$1,0)</f>
        <v>CHAMMAL_D</v>
      </c>
      <c r="AP75" s="15" t="str">
        <f>VLOOKUP($G75,'Visu totale'!$D$3:$DT$129,AP$1,0)</f>
        <v>CHAMMAL_D</v>
      </c>
      <c r="AQ75" s="14" t="str">
        <f>VLOOKUP($G75,'Visu totale'!$D$3:$DT$129,AQ$1,0)</f>
        <v>CHAMMAL_D</v>
      </c>
      <c r="AR75" s="13">
        <f>VLOOKUP($G75,'Visu totale'!$D$3:$DT$129,AR$1,0)</f>
        <v>18</v>
      </c>
      <c r="AS75" s="13">
        <f>VLOOKUP($G75,'Visu totale'!$D$3:$DT$129,AS$1,0)</f>
        <v>18</v>
      </c>
      <c r="AT75" s="13" t="str">
        <f>VLOOKUP($G75,'Visu totale'!$D$3:$DT$129,AT$1,0)</f>
        <v>NANCY_D</v>
      </c>
      <c r="AU75" s="13" t="str">
        <f>VLOOKUP($G75,'Visu totale'!$D$3:$DT$129,AU$1,0)</f>
        <v>NANCY_D</v>
      </c>
      <c r="AV75" s="13" t="str">
        <f>VLOOKUP($G75,'Visu totale'!$D$3:$DT$129,AV$1,0)</f>
        <v>NANCY_D</v>
      </c>
      <c r="AW75" s="13" t="str">
        <f>VLOOKUP($G75,'Visu totale'!$D$3:$DT$129,AW$1,0)</f>
        <v>NANCY_D</v>
      </c>
      <c r="AX75" s="13">
        <f>VLOOKUP($G75,'Visu totale'!$D$3:$DT$129,AX$1,0)</f>
        <v>18</v>
      </c>
      <c r="AY75" s="13">
        <f>VLOOKUP($G75,'Visu totale'!$D$3:$DT$129,AY$1,0)</f>
        <v>18</v>
      </c>
      <c r="AZ75" s="13">
        <f>VLOOKUP($G75,'Visu totale'!$D$3:$DT$129,AZ$1,0)</f>
        <v>18</v>
      </c>
      <c r="BA75" s="13">
        <f>VLOOKUP($G75,'Visu totale'!$D$3:$DT$129,BA$1,0)</f>
        <v>18</v>
      </c>
      <c r="BB75" s="15">
        <f>VLOOKUP($G75,'Visu totale'!$D$3:$DT$129,BB$1,0)</f>
        <v>18</v>
      </c>
      <c r="BC75" s="14">
        <f>VLOOKUP($G75,'Visu totale'!$D$3:$DT$129,BC$1,0)</f>
        <v>18</v>
      </c>
      <c r="BD75" s="13">
        <f>VLOOKUP($G75,'Visu totale'!$D$3:$DT$129,BD$1,0)</f>
        <v>0</v>
      </c>
      <c r="BE75" s="13">
        <f>VLOOKUP($G75,'Visu totale'!$D$3:$DT$129,BE$1,0)</f>
        <v>0</v>
      </c>
      <c r="BF75" s="13">
        <f>VLOOKUP($G75,'Visu totale'!$D$3:$DT$129,BF$1,0)</f>
        <v>0</v>
      </c>
      <c r="BG75" s="13">
        <f>VLOOKUP($G75,'Visu totale'!$D$3:$DT$129,BG$1,0)</f>
        <v>0</v>
      </c>
      <c r="BH75" s="13" t="str">
        <f>VLOOKUP($G75,'Visu totale'!$D$3:$DT$129,BH$1,0)</f>
        <v>V20</v>
      </c>
      <c r="BI75" s="13" t="str">
        <f>VLOOKUP($G75,'Visu totale'!$D$3:$DT$129,BI$1,0)</f>
        <v>V20</v>
      </c>
      <c r="BJ75" s="13" t="str">
        <f>VLOOKUP($G75,'Visu totale'!$D$3:$DT$129,BJ$1,0)</f>
        <v>V20</v>
      </c>
      <c r="BK75" s="13" t="str">
        <f>VLOOKUP($G75,'Visu totale'!$D$3:$DT$129,BK$1,0)</f>
        <v>V20</v>
      </c>
      <c r="BL75" s="13" t="str">
        <f>VLOOKUP($G75,'Visu totale'!$D$3:$DT$129,BL$1,0)</f>
        <v>V20</v>
      </c>
      <c r="BM75" s="13" t="str">
        <f>VLOOKUP($G75,'Visu totale'!$D$3:$DT$129,BM$1,0)</f>
        <v>V20</v>
      </c>
      <c r="BN75" s="15">
        <f>VLOOKUP($G75,'Visu totale'!$D$3:$DT$129,BN$1,0)</f>
        <v>18</v>
      </c>
      <c r="BO75" s="14">
        <f>VLOOKUP($G75,'Visu totale'!$D$3:$DT$129,BO$1,0)</f>
        <v>18</v>
      </c>
      <c r="BP75" s="13">
        <f>VLOOKUP($G75,'Visu totale'!$D$3:$DT$129,BP$1,0)</f>
        <v>18</v>
      </c>
      <c r="BQ75" s="13" t="str">
        <f>VLOOKUP($G75,'Visu totale'!$D$3:$DT$129,BQ$1,0)</f>
        <v>NANCY_D</v>
      </c>
      <c r="BR75" s="13" t="str">
        <f>VLOOKUP($G75,'Visu totale'!$D$3:$DT$129,BR$1,0)</f>
        <v>NANCY_D</v>
      </c>
      <c r="BS75" s="13" t="str">
        <f>VLOOKUP($G75,'Visu totale'!$D$3:$DT$129,BS$1,0)</f>
        <v>NANCY_D</v>
      </c>
      <c r="BT75" s="13" t="str">
        <f>VLOOKUP($G75,'Visu totale'!$D$3:$DT$129,BT$1,0)</f>
        <v>NANCY_D</v>
      </c>
      <c r="BU75" s="13">
        <f>VLOOKUP($G75,'Visu totale'!$D$3:$DT$129,BU$1,0)</f>
        <v>18</v>
      </c>
      <c r="BV75" s="13">
        <f>VLOOKUP($G75,'Visu totale'!$D$3:$DT$129,BV$1,0)</f>
        <v>18</v>
      </c>
      <c r="BW75" s="13" t="str">
        <f>VLOOKUP($G75,'Visu totale'!$D$3:$DT$129,BW$1,0)</f>
        <v>NANCY_D</v>
      </c>
      <c r="BX75" s="13" t="str">
        <f>VLOOKUP($G75,'Visu totale'!$D$3:$DT$129,BX$1,0)</f>
        <v>NANCY_D</v>
      </c>
      <c r="BY75" s="13" t="str">
        <f>VLOOKUP($G75,'Visu totale'!$D$3:$DT$129,BY$1,0)</f>
        <v>NANCY_D</v>
      </c>
      <c r="BZ75" s="15" t="str">
        <f>VLOOKUP($G75,'Visu totale'!$D$3:$DT$129,BZ$1,0)</f>
        <v>NANCY_D</v>
      </c>
      <c r="CA75" s="14">
        <f>VLOOKUP($G75,'Visu totale'!$D$3:$DT$129,CA$1,0)</f>
        <v>18</v>
      </c>
      <c r="CB75" s="13">
        <f>VLOOKUP($G75,'Visu totale'!$D$3:$DT$129,CB$1,0)</f>
        <v>18</v>
      </c>
      <c r="CC75" s="13" t="str">
        <f>VLOOKUP($G75,'Visu totale'!$D$3:$DT$129,CC$1,0)</f>
        <v>NANCY_D</v>
      </c>
      <c r="CD75" s="13" t="str">
        <f>VLOOKUP($G75,'Visu totale'!$D$3:$DT$129,CD$1,0)</f>
        <v>NANCY_D</v>
      </c>
      <c r="CE75" s="13" t="str">
        <f>VLOOKUP($G75,'Visu totale'!$D$3:$DT$129,CE$1,0)</f>
        <v>NANCY_D</v>
      </c>
      <c r="CF75" s="13" t="str">
        <f>VLOOKUP($G75,'Visu totale'!$D$3:$DT$129,CF$1,0)</f>
        <v>NANCY_D</v>
      </c>
      <c r="CG75" s="13">
        <f>VLOOKUP($G75,'Visu totale'!$D$3:$DT$129,CG$1,0)</f>
        <v>18</v>
      </c>
      <c r="CH75" s="13">
        <f>VLOOKUP($G75,'Visu totale'!$D$3:$DT$129,CH$1,0)</f>
        <v>18</v>
      </c>
      <c r="CI75" s="13" t="str">
        <f>VLOOKUP($G75,'Visu totale'!$D$3:$DT$129,CI$1,0)</f>
        <v>NANCY_D</v>
      </c>
      <c r="CJ75" s="13" t="str">
        <f>VLOOKUP($G75,'Visu totale'!$D$3:$DT$129,CJ$1,0)</f>
        <v>NANCY_D</v>
      </c>
      <c r="CK75" s="13" t="str">
        <f>VLOOKUP($G75,'Visu totale'!$D$3:$DT$129,CK$1,0)</f>
        <v>NANCY_D</v>
      </c>
      <c r="CL75" s="15" t="str">
        <f>VLOOKUP($G75,'Visu totale'!$D$3:$DT$129,CL$1,0)</f>
        <v>NANCY_D</v>
      </c>
      <c r="CM75" s="14">
        <f>VLOOKUP($G75,'Visu totale'!$D$3:$DT$129,CM$1,0)</f>
        <v>18</v>
      </c>
      <c r="CN75" s="13">
        <f>VLOOKUP($G75,'Visu totale'!$D$3:$DT$129,CN$1,0)</f>
        <v>18</v>
      </c>
      <c r="CO75" s="13" t="str">
        <f>VLOOKUP($G75,'Visu totale'!$D$3:$DT$129,CO$1,0)</f>
        <v>NANCY_D</v>
      </c>
      <c r="CP75" s="13" t="str">
        <f>VLOOKUP($G75,'Visu totale'!$D$3:$DT$129,CP$1,0)</f>
        <v>NANCY_D</v>
      </c>
      <c r="CQ75" s="13" t="str">
        <f>VLOOKUP($G75,'Visu totale'!$D$3:$DT$129,CQ$1,0)</f>
        <v>NANCY_D</v>
      </c>
      <c r="CR75" s="13" t="str">
        <f>VLOOKUP($G75,'Visu totale'!$D$3:$DT$129,CR$1,0)</f>
        <v>NANCY_D</v>
      </c>
      <c r="CS75" s="13">
        <f>VLOOKUP($G75,'Visu totale'!$D$3:$DT$129,CS$1,0)</f>
        <v>18</v>
      </c>
      <c r="CT75" s="13">
        <f>VLOOKUP($G75,'Visu totale'!$D$3:$DT$129,CT$1,0)</f>
        <v>18</v>
      </c>
      <c r="CU75" s="13">
        <f>VLOOKUP($G75,'Visu totale'!$D$3:$DT$129,CU$1,0)</f>
        <v>18</v>
      </c>
      <c r="CV75" s="13">
        <f>VLOOKUP($G75,'Visu totale'!$D$3:$DT$129,CV$1,0)</f>
        <v>18</v>
      </c>
      <c r="CW75" s="13">
        <f>VLOOKUP($G75,'Visu totale'!$D$3:$DT$129,CW$1,0)</f>
        <v>18</v>
      </c>
      <c r="CX75" s="15">
        <f>VLOOKUP($G75,'Visu totale'!$D$3:$DT$129,CX$1,0)</f>
        <v>18</v>
      </c>
      <c r="CY75" s="14">
        <f>VLOOKUP($G75,'Visu totale'!$D$3:$DT$129,CY$1,0)</f>
        <v>0</v>
      </c>
      <c r="CZ75" s="13">
        <f>VLOOKUP($G75,'Visu totale'!$D$3:$DT$129,CZ$1,0)</f>
        <v>0</v>
      </c>
      <c r="DA75" s="13">
        <f>VLOOKUP($G75,'Visu totale'!$D$3:$DT$129,DA$1,0)</f>
        <v>0</v>
      </c>
      <c r="DB75" s="13">
        <f>VLOOKUP($G75,'Visu totale'!$D$3:$DT$129,DB$1,0)</f>
        <v>0</v>
      </c>
      <c r="DC75" s="13">
        <f>VLOOKUP($G75,'Visu totale'!$D$3:$DT$129,DC$1,0)</f>
        <v>0</v>
      </c>
      <c r="DD75" s="13">
        <f>VLOOKUP($G75,'Visu totale'!$D$3:$DT$129,DD$1,0)</f>
        <v>0</v>
      </c>
      <c r="DE75" s="13">
        <f>VLOOKUP($G75,'Visu totale'!$D$3:$DT$129,DE$1,0)</f>
        <v>0</v>
      </c>
      <c r="DF75" s="13">
        <f>VLOOKUP($G75,'Visu totale'!$D$3:$DT$129,DF$1,0)</f>
        <v>0</v>
      </c>
      <c r="DG75" s="13">
        <f>VLOOKUP($G75,'Visu totale'!$D$3:$DT$129,DG$1,0)</f>
        <v>0</v>
      </c>
      <c r="DH75" s="13">
        <f>VLOOKUP($G75,'Visu totale'!$D$3:$DT$129,DH$1,0)</f>
        <v>0</v>
      </c>
      <c r="DI75" s="13">
        <f>VLOOKUP($G75,'Visu totale'!$D$3:$DT$129,DI$1,0)</f>
        <v>0</v>
      </c>
      <c r="DJ75" s="15">
        <f>VLOOKUP($G75,'Visu totale'!$D$3:$DT$129,DJ$1,0)</f>
        <v>0</v>
      </c>
      <c r="DK75" s="14">
        <f>VLOOKUP($G75,'Visu totale'!$D$3:$DT$129,DK$1,0)</f>
        <v>0</v>
      </c>
      <c r="DL75" s="13">
        <f>VLOOKUP($G75,'Visu totale'!$D$3:$DT$129,DL$1,0)</f>
        <v>0</v>
      </c>
      <c r="DM75" s="13">
        <f>VLOOKUP($G75,'Visu totale'!$D$3:$DT$129,DM$1,0)</f>
        <v>0</v>
      </c>
      <c r="DN75" s="13">
        <f>VLOOKUP($G75,'Visu totale'!$D$3:$DT$129,DN$1,0)</f>
        <v>0</v>
      </c>
      <c r="DO75" s="13">
        <f>VLOOKUP($G75,'Visu totale'!$D$3:$DT$129,DO$1,0)</f>
        <v>0</v>
      </c>
      <c r="DP75" s="13">
        <f>VLOOKUP($G75,'Visu totale'!$D$3:$DT$129,DP$1,0)</f>
        <v>0</v>
      </c>
      <c r="DQ75" s="13">
        <f>VLOOKUP($G75,'Visu totale'!$D$3:$DT$129,DQ$1,0)</f>
        <v>0</v>
      </c>
      <c r="DR75" s="13">
        <f>VLOOKUP($G75,'Visu totale'!$D$3:$DT$129,DR$1,0)</f>
        <v>0</v>
      </c>
      <c r="DS75" s="13">
        <f>VLOOKUP($G75,'Visu totale'!$D$3:$DT$129,DS$1,0)</f>
        <v>0</v>
      </c>
      <c r="DT75" s="13">
        <f>VLOOKUP($G75,'Visu totale'!$D$3:$DT$129,DT$1,0)</f>
        <v>0</v>
      </c>
      <c r="DU75" s="13">
        <f>VLOOKUP($G75,'Visu totale'!$D$3:$DT$129,DU$1,0)</f>
        <v>0</v>
      </c>
      <c r="DV75" s="15">
        <f>VLOOKUP($G75,'Visu totale'!$D$3:$DT$129,DV$1,0)</f>
        <v>0</v>
      </c>
    </row>
    <row r="76" spans="1:126" x14ac:dyDescent="0.25">
      <c r="A76" s="13"/>
      <c r="B76" s="13"/>
      <c r="C76" s="13"/>
      <c r="D76" s="16"/>
      <c r="E76" s="14"/>
      <c r="F76" s="13"/>
      <c r="G76" s="17" t="s">
        <v>78</v>
      </c>
      <c r="H76" s="13">
        <f>VLOOKUP($G76,'Visu totale'!$D$3:$DT$129,H$1,0)</f>
        <v>18</v>
      </c>
      <c r="I76" s="13" t="str">
        <f>VLOOKUP($G76,'Visu totale'!$D$3:$DT$129,I$1,0)</f>
        <v>NANCY_D</v>
      </c>
      <c r="J76" s="13" t="str">
        <f>VLOOKUP($G76,'Visu totale'!$D$3:$DT$129,J$1,0)</f>
        <v>NANCY_D</v>
      </c>
      <c r="K76" s="13" t="str">
        <f>VLOOKUP($G76,'Visu totale'!$D$3:$DT$129,K$1,0)</f>
        <v>NANCY_D</v>
      </c>
      <c r="L76" s="13" t="str">
        <f>VLOOKUP($G76,'Visu totale'!$D$3:$DT$129,L$1,0)</f>
        <v>NANCY_D</v>
      </c>
      <c r="M76" s="13">
        <f>VLOOKUP($G76,'Visu totale'!$D$3:$DT$129,M$1,0)</f>
        <v>18</v>
      </c>
      <c r="N76" s="13">
        <f>VLOOKUP($G76,'Visu totale'!$D$3:$DT$129,N$1,0)</f>
        <v>18</v>
      </c>
      <c r="O76" s="13" t="str">
        <f>VLOOKUP($G76,'Visu totale'!$D$3:$DT$129,O$1,0)</f>
        <v>NANCY_D</v>
      </c>
      <c r="P76" s="13" t="str">
        <f>VLOOKUP($G76,'Visu totale'!$D$3:$DT$129,P$1,0)</f>
        <v>NANCY_D</v>
      </c>
      <c r="Q76" s="13" t="str">
        <f>VLOOKUP($G76,'Visu totale'!$D$3:$DT$129,Q$1,0)</f>
        <v>NANCY_D</v>
      </c>
      <c r="R76" s="15" t="str">
        <f>VLOOKUP($G76,'Visu totale'!$D$3:$DT$129,R$1,0)</f>
        <v>NANCY_D</v>
      </c>
      <c r="S76" s="14">
        <f>VLOOKUP($G76,'Visu totale'!$D$3:$DT$129,S$1,0)</f>
        <v>18</v>
      </c>
      <c r="T76" s="13">
        <f>VLOOKUP($G76,'Visu totale'!$D$3:$DT$129,T$1,0)</f>
        <v>18</v>
      </c>
      <c r="U76" s="13" t="str">
        <f>VLOOKUP($G76,'Visu totale'!$D$3:$DT$129,U$1,0)</f>
        <v>NDJAMENA_D</v>
      </c>
      <c r="V76" s="13" t="str">
        <f>VLOOKUP($G76,'Visu totale'!$D$3:$DT$129,V$1,0)</f>
        <v>NDJAMENA_D</v>
      </c>
      <c r="W76" s="13" t="str">
        <f>VLOOKUP($G76,'Visu totale'!$D$3:$DT$129,W$1,0)</f>
        <v>NDJAMENA_D</v>
      </c>
      <c r="X76" s="13" t="str">
        <f>VLOOKUP($G76,'Visu totale'!$D$3:$DT$129,X$1,0)</f>
        <v>NDJAMENA_D</v>
      </c>
      <c r="Y76" s="13">
        <f>VLOOKUP($G76,'Visu totale'!$D$3:$DT$129,Y$1,0)</f>
        <v>18</v>
      </c>
      <c r="Z76" s="13">
        <f>VLOOKUP($G76,'Visu totale'!$D$3:$DT$129,Z$1,0)</f>
        <v>18</v>
      </c>
      <c r="AA76" s="13" t="str">
        <f>VLOOKUP($G76,'Visu totale'!$D$3:$DT$129,AA$1,0)</f>
        <v>NANCY_D</v>
      </c>
      <c r="AB76" s="13" t="str">
        <f>VLOOKUP($G76,'Visu totale'!$D$3:$DT$129,AB$1,0)</f>
        <v>NANCY_D</v>
      </c>
      <c r="AC76" s="13" t="str">
        <f>VLOOKUP($G76,'Visu totale'!$D$3:$DT$129,AC$1,0)</f>
        <v>NANCY_D</v>
      </c>
      <c r="AD76" s="15" t="str">
        <f>VLOOKUP($G76,'Visu totale'!$D$3:$DT$129,AD$1,0)</f>
        <v>NANCY_D</v>
      </c>
      <c r="AE76" s="14">
        <f>VLOOKUP($G76,'Visu totale'!$D$3:$DT$129,AE$1,0)</f>
        <v>18</v>
      </c>
      <c r="AF76" s="13">
        <f>VLOOKUP($G76,'Visu totale'!$D$3:$DT$129,AF$1,0)</f>
        <v>18</v>
      </c>
      <c r="AG76" s="13" t="str">
        <f>VLOOKUP($G76,'Visu totale'!$D$3:$DT$129,AG$1,0)</f>
        <v>NANCY_D</v>
      </c>
      <c r="AH76" s="13" t="str">
        <f>VLOOKUP($G76,'Visu totale'!$D$3:$DT$129,AH$1,0)</f>
        <v>NANCY_D</v>
      </c>
      <c r="AI76" s="13" t="str">
        <f>VLOOKUP($G76,'Visu totale'!$D$3:$DT$129,AI$1,0)</f>
        <v>NANCY_D</v>
      </c>
      <c r="AJ76" s="13" t="str">
        <f>VLOOKUP($G76,'Visu totale'!$D$3:$DT$129,AJ$1,0)</f>
        <v>NANCY_D</v>
      </c>
      <c r="AK76" s="13">
        <f>VLOOKUP($G76,'Visu totale'!$D$3:$DT$129,AK$1,0)</f>
        <v>18</v>
      </c>
      <c r="AL76" s="13">
        <f>VLOOKUP($G76,'Visu totale'!$D$3:$DT$129,AL$1,0)</f>
        <v>18</v>
      </c>
      <c r="AM76" s="13" t="str">
        <f>VLOOKUP($G76,'Visu totale'!$D$3:$DT$129,AM$1,0)</f>
        <v>NANCY_D</v>
      </c>
      <c r="AN76" s="13" t="str">
        <f>VLOOKUP($G76,'Visu totale'!$D$3:$DT$129,AN$1,0)</f>
        <v>NANCY_D</v>
      </c>
      <c r="AO76" s="13" t="str">
        <f>VLOOKUP($G76,'Visu totale'!$D$3:$DT$129,AO$1,0)</f>
        <v>NANCY_D</v>
      </c>
      <c r="AP76" s="15" t="str">
        <f>VLOOKUP($G76,'Visu totale'!$D$3:$DT$129,AP$1,0)</f>
        <v>NANCY_D</v>
      </c>
      <c r="AQ76" s="14">
        <f>VLOOKUP($G76,'Visu totale'!$D$3:$DT$129,AQ$1,0)</f>
        <v>18</v>
      </c>
      <c r="AR76" s="13">
        <f>VLOOKUP($G76,'Visu totale'!$D$3:$DT$129,AR$1,0)</f>
        <v>18</v>
      </c>
      <c r="AS76" s="13">
        <f>VLOOKUP($G76,'Visu totale'!$D$3:$DT$129,AS$1,0)</f>
        <v>18</v>
      </c>
      <c r="AT76" s="13">
        <f>VLOOKUP($G76,'Visu totale'!$D$3:$DT$129,AT$1,0)</f>
        <v>18</v>
      </c>
      <c r="AU76" s="13">
        <f>VLOOKUP($G76,'Visu totale'!$D$3:$DT$129,AU$1,0)</f>
        <v>18</v>
      </c>
      <c r="AV76" s="13">
        <f>VLOOKUP($G76,'Visu totale'!$D$3:$DT$129,AV$1,0)</f>
        <v>18</v>
      </c>
      <c r="AW76" s="13">
        <f>VLOOKUP($G76,'Visu totale'!$D$3:$DT$129,AW$1,0)</f>
        <v>0</v>
      </c>
      <c r="AX76" s="13">
        <f>VLOOKUP($G76,'Visu totale'!$D$3:$DT$129,AX$1,0)</f>
        <v>0</v>
      </c>
      <c r="AY76" s="13">
        <f>VLOOKUP($G76,'Visu totale'!$D$3:$DT$129,AY$1,0)</f>
        <v>0</v>
      </c>
      <c r="AZ76" s="13" t="str">
        <f>VLOOKUP($G76,'Visu totale'!$D$3:$DT$129,AZ$1,0)</f>
        <v>V30</v>
      </c>
      <c r="BA76" s="13" t="str">
        <f>VLOOKUP($G76,'Visu totale'!$D$3:$DT$129,BA$1,0)</f>
        <v>V30</v>
      </c>
      <c r="BB76" s="15" t="str">
        <f>VLOOKUP($G76,'Visu totale'!$D$3:$DT$129,BB$1,0)</f>
        <v>V30</v>
      </c>
      <c r="BC76" s="14" t="str">
        <f>VLOOKUP($G76,'Visu totale'!$D$3:$DT$129,BC$1,0)</f>
        <v>V30</v>
      </c>
      <c r="BD76" s="13" t="str">
        <f>VLOOKUP($G76,'Visu totale'!$D$3:$DT$129,BD$1,0)</f>
        <v>V30</v>
      </c>
      <c r="BE76" s="13" t="str">
        <f>VLOOKUP($G76,'Visu totale'!$D$3:$DT$129,BE$1,0)</f>
        <v>V30</v>
      </c>
      <c r="BF76" s="13">
        <f>VLOOKUP($G76,'Visu totale'!$D$3:$DT$129,BF$1,0)</f>
        <v>18</v>
      </c>
      <c r="BG76" s="13">
        <f>VLOOKUP($G76,'Visu totale'!$D$3:$DT$129,BG$1,0)</f>
        <v>18</v>
      </c>
      <c r="BH76" s="13" t="str">
        <f>VLOOKUP($G76,'Visu totale'!$D$3:$DT$129,BH$1,0)</f>
        <v>CHAMMAL_D</v>
      </c>
      <c r="BI76" s="13" t="str">
        <f>VLOOKUP($G76,'Visu totale'!$D$3:$DT$129,BI$1,0)</f>
        <v>CHAMMAL_D</v>
      </c>
      <c r="BJ76" s="13" t="str">
        <f>VLOOKUP($G76,'Visu totale'!$D$3:$DT$129,BJ$1,0)</f>
        <v>CHAMMAL_D</v>
      </c>
      <c r="BK76" s="13" t="str">
        <f>VLOOKUP($G76,'Visu totale'!$D$3:$DT$129,BK$1,0)</f>
        <v>CHAMMAL_D</v>
      </c>
      <c r="BL76" s="13">
        <f>VLOOKUP($G76,'Visu totale'!$D$3:$DT$129,BL$1,0)</f>
        <v>18</v>
      </c>
      <c r="BM76" s="13">
        <f>VLOOKUP($G76,'Visu totale'!$D$3:$DT$129,BM$1,0)</f>
        <v>18</v>
      </c>
      <c r="BN76" s="15" t="str">
        <f>VLOOKUP($G76,'Visu totale'!$D$3:$DT$129,BN$1,0)</f>
        <v>NDJAMENA_D</v>
      </c>
      <c r="BO76" s="14">
        <f>VLOOKUP($G76,'Visu totale'!$D$3:$DT$129,BO$1,0)</f>
        <v>18</v>
      </c>
      <c r="BP76" s="13" t="str">
        <f>VLOOKUP($G76,'Visu totale'!$D$3:$DT$129,BP$1,0)</f>
        <v>V25</v>
      </c>
      <c r="BQ76" s="13" t="str">
        <f>VLOOKUP($G76,'Visu totale'!$D$3:$DT$129,BQ$1,0)</f>
        <v>V25</v>
      </c>
      <c r="BR76" s="13" t="str">
        <f>VLOOKUP($G76,'Visu totale'!$D$3:$DT$129,BR$1,0)</f>
        <v>V25</v>
      </c>
      <c r="BS76" s="13" t="str">
        <f>VLOOKUP($G76,'Visu totale'!$D$3:$DT$129,BS$1,0)</f>
        <v>V25</v>
      </c>
      <c r="BT76" s="13" t="str">
        <f>VLOOKUP($G76,'Visu totale'!$D$3:$DT$129,BT$1,0)</f>
        <v>V25</v>
      </c>
      <c r="BU76" s="13" t="str">
        <f>VLOOKUP($G76,'Visu totale'!$D$3:$DT$129,BU$1,0)</f>
        <v>V25</v>
      </c>
      <c r="BV76" s="13">
        <f>VLOOKUP($G76,'Visu totale'!$D$3:$DT$129,BV$1,0)</f>
        <v>18</v>
      </c>
      <c r="BW76" s="13">
        <f>VLOOKUP($G76,'Visu totale'!$D$3:$DT$129,BW$1,0)</f>
        <v>18</v>
      </c>
      <c r="BX76" s="13" t="str">
        <f>VLOOKUP($G76,'Visu totale'!$D$3:$DT$129,BX$1,0)</f>
        <v>NANCY_D</v>
      </c>
      <c r="BY76" s="13" t="str">
        <f>VLOOKUP($G76,'Visu totale'!$D$3:$DT$129,BY$1,0)</f>
        <v>NANCY_D</v>
      </c>
      <c r="BZ76" s="15" t="str">
        <f>VLOOKUP($G76,'Visu totale'!$D$3:$DT$129,BZ$1,0)</f>
        <v>NANCY_D</v>
      </c>
      <c r="CA76" s="14" t="str">
        <f>VLOOKUP($G76,'Visu totale'!$D$3:$DT$129,CA$1,0)</f>
        <v>NANCY_D</v>
      </c>
      <c r="CB76" s="13">
        <f>VLOOKUP($G76,'Visu totale'!$D$3:$DT$129,CB$1,0)</f>
        <v>18</v>
      </c>
      <c r="CC76" s="13">
        <f>VLOOKUP($G76,'Visu totale'!$D$3:$DT$129,CC$1,0)</f>
        <v>18</v>
      </c>
      <c r="CD76" s="13" t="str">
        <f>VLOOKUP($G76,'Visu totale'!$D$3:$DT$129,CD$1,0)</f>
        <v>NANCY_D</v>
      </c>
      <c r="CE76" s="13" t="str">
        <f>VLOOKUP($G76,'Visu totale'!$D$3:$DT$129,CE$1,0)</f>
        <v>NANCY_D</v>
      </c>
      <c r="CF76" s="13" t="str">
        <f>VLOOKUP($G76,'Visu totale'!$D$3:$DT$129,CF$1,0)</f>
        <v>NANCY_D</v>
      </c>
      <c r="CG76" s="13" t="str">
        <f>VLOOKUP($G76,'Visu totale'!$D$3:$DT$129,CG$1,0)</f>
        <v>NANCY_D</v>
      </c>
      <c r="CH76" s="13">
        <f>VLOOKUP($G76,'Visu totale'!$D$3:$DT$129,CH$1,0)</f>
        <v>18</v>
      </c>
      <c r="CI76" s="13">
        <f>VLOOKUP($G76,'Visu totale'!$D$3:$DT$129,CI$1,0)</f>
        <v>18</v>
      </c>
      <c r="CJ76" s="13" t="str">
        <f>VLOOKUP($G76,'Visu totale'!$D$3:$DT$129,CJ$1,0)</f>
        <v>NANCY_D</v>
      </c>
      <c r="CK76" s="13" t="str">
        <f>VLOOKUP($G76,'Visu totale'!$D$3:$DT$129,CK$1,0)</f>
        <v>NANCY_D</v>
      </c>
      <c r="CL76" s="15" t="str">
        <f>VLOOKUP($G76,'Visu totale'!$D$3:$DT$129,CL$1,0)</f>
        <v>NANCY_D</v>
      </c>
      <c r="CM76" s="14" t="str">
        <f>VLOOKUP($G76,'Visu totale'!$D$3:$DT$129,CM$1,0)</f>
        <v>NANCY_D</v>
      </c>
      <c r="CN76" s="13">
        <f>VLOOKUP($G76,'Visu totale'!$D$3:$DT$129,CN$1,0)</f>
        <v>18</v>
      </c>
      <c r="CO76" s="13">
        <f>VLOOKUP($G76,'Visu totale'!$D$3:$DT$129,CO$1,0)</f>
        <v>18</v>
      </c>
      <c r="CP76" s="13" t="str">
        <f>VLOOKUP($G76,'Visu totale'!$D$3:$DT$129,CP$1,0)</f>
        <v>NANCY_D</v>
      </c>
      <c r="CQ76" s="13" t="str">
        <f>VLOOKUP($G76,'Visu totale'!$D$3:$DT$129,CQ$1,0)</f>
        <v>NANCY_D</v>
      </c>
      <c r="CR76" s="13" t="str">
        <f>VLOOKUP($G76,'Visu totale'!$D$3:$DT$129,CR$1,0)</f>
        <v>NANCY_D</v>
      </c>
      <c r="CS76" s="13" t="str">
        <f>VLOOKUP($G76,'Visu totale'!$D$3:$DT$129,CS$1,0)</f>
        <v>NANCY_D</v>
      </c>
      <c r="CT76" s="13">
        <f>VLOOKUP($G76,'Visu totale'!$D$3:$DT$129,CT$1,0)</f>
        <v>18</v>
      </c>
      <c r="CU76" s="13">
        <f>VLOOKUP($G76,'Visu totale'!$D$3:$DT$129,CU$1,0)</f>
        <v>18</v>
      </c>
      <c r="CV76" s="13">
        <f>VLOOKUP($G76,'Visu totale'!$D$3:$DT$129,CV$1,0)</f>
        <v>18</v>
      </c>
      <c r="CW76" s="13">
        <f>VLOOKUP($G76,'Visu totale'!$D$3:$DT$129,CW$1,0)</f>
        <v>18</v>
      </c>
      <c r="CX76" s="15">
        <f>VLOOKUP($G76,'Visu totale'!$D$3:$DT$129,CX$1,0)</f>
        <v>18</v>
      </c>
      <c r="CY76" s="14">
        <f>VLOOKUP($G76,'Visu totale'!$D$3:$DT$129,CY$1,0)</f>
        <v>0</v>
      </c>
      <c r="CZ76" s="13">
        <f>VLOOKUP($G76,'Visu totale'!$D$3:$DT$129,CZ$1,0)</f>
        <v>0</v>
      </c>
      <c r="DA76" s="13">
        <f>VLOOKUP($G76,'Visu totale'!$D$3:$DT$129,DA$1,0)</f>
        <v>0</v>
      </c>
      <c r="DB76" s="13">
        <f>VLOOKUP($G76,'Visu totale'!$D$3:$DT$129,DB$1,0)</f>
        <v>0</v>
      </c>
      <c r="DC76" s="13">
        <f>VLOOKUP($G76,'Visu totale'!$D$3:$DT$129,DC$1,0)</f>
        <v>0</v>
      </c>
      <c r="DD76" s="13">
        <f>VLOOKUP($G76,'Visu totale'!$D$3:$DT$129,DD$1,0)</f>
        <v>0</v>
      </c>
      <c r="DE76" s="13">
        <f>VLOOKUP($G76,'Visu totale'!$D$3:$DT$129,DE$1,0)</f>
        <v>0</v>
      </c>
      <c r="DF76" s="13">
        <f>VLOOKUP($G76,'Visu totale'!$D$3:$DT$129,DF$1,0)</f>
        <v>0</v>
      </c>
      <c r="DG76" s="13">
        <f>VLOOKUP($G76,'Visu totale'!$D$3:$DT$129,DG$1,0)</f>
        <v>0</v>
      </c>
      <c r="DH76" s="13">
        <f>VLOOKUP($G76,'Visu totale'!$D$3:$DT$129,DH$1,0)</f>
        <v>0</v>
      </c>
      <c r="DI76" s="13">
        <f>VLOOKUP($G76,'Visu totale'!$D$3:$DT$129,DI$1,0)</f>
        <v>0</v>
      </c>
      <c r="DJ76" s="15">
        <f>VLOOKUP($G76,'Visu totale'!$D$3:$DT$129,DJ$1,0)</f>
        <v>0</v>
      </c>
      <c r="DK76" s="14">
        <f>VLOOKUP($G76,'Visu totale'!$D$3:$DT$129,DK$1,0)</f>
        <v>0</v>
      </c>
      <c r="DL76" s="13">
        <f>VLOOKUP($G76,'Visu totale'!$D$3:$DT$129,DL$1,0)</f>
        <v>0</v>
      </c>
      <c r="DM76" s="13">
        <f>VLOOKUP($G76,'Visu totale'!$D$3:$DT$129,DM$1,0)</f>
        <v>0</v>
      </c>
      <c r="DN76" s="13">
        <f>VLOOKUP($G76,'Visu totale'!$D$3:$DT$129,DN$1,0)</f>
        <v>0</v>
      </c>
      <c r="DO76" s="13">
        <f>VLOOKUP($G76,'Visu totale'!$D$3:$DT$129,DO$1,0)</f>
        <v>0</v>
      </c>
      <c r="DP76" s="13">
        <f>VLOOKUP($G76,'Visu totale'!$D$3:$DT$129,DP$1,0)</f>
        <v>0</v>
      </c>
      <c r="DQ76" s="13">
        <f>VLOOKUP($G76,'Visu totale'!$D$3:$DT$129,DQ$1,0)</f>
        <v>0</v>
      </c>
      <c r="DR76" s="13">
        <f>VLOOKUP($G76,'Visu totale'!$D$3:$DT$129,DR$1,0)</f>
        <v>0</v>
      </c>
      <c r="DS76" s="13">
        <f>VLOOKUP($G76,'Visu totale'!$D$3:$DT$129,DS$1,0)</f>
        <v>0</v>
      </c>
      <c r="DT76" s="13">
        <f>VLOOKUP($G76,'Visu totale'!$D$3:$DT$129,DT$1,0)</f>
        <v>0</v>
      </c>
      <c r="DU76" s="13">
        <f>VLOOKUP($G76,'Visu totale'!$D$3:$DT$129,DU$1,0)</f>
        <v>0</v>
      </c>
      <c r="DV76" s="15">
        <f>VLOOKUP($G76,'Visu totale'!$D$3:$DT$129,DV$1,0)</f>
        <v>0</v>
      </c>
    </row>
    <row r="77" spans="1:126" x14ac:dyDescent="0.25">
      <c r="A77" s="13"/>
      <c r="B77" s="13"/>
      <c r="C77" s="13"/>
      <c r="D77" s="16"/>
      <c r="E77" s="14"/>
      <c r="F77" s="13"/>
      <c r="G77" s="17" t="s">
        <v>79</v>
      </c>
      <c r="H77" s="13">
        <f>VLOOKUP($G77,'Visu totale'!$D$3:$DT$129,H$1,0)</f>
        <v>18</v>
      </c>
      <c r="I77" s="13" t="str">
        <f>VLOOKUP($G77,'Visu totale'!$D$3:$DT$129,I$1,0)</f>
        <v>CHAMMAL_D</v>
      </c>
      <c r="J77" s="13" t="str">
        <f>VLOOKUP($G77,'Visu totale'!$D$3:$DT$129,J$1,0)</f>
        <v>CHAMMAL_D</v>
      </c>
      <c r="K77" s="13" t="str">
        <f>VLOOKUP($G77,'Visu totale'!$D$3:$DT$129,K$1,0)</f>
        <v>CHAMMAL_D</v>
      </c>
      <c r="L77" s="13" t="str">
        <f>VLOOKUP($G77,'Visu totale'!$D$3:$DT$129,L$1,0)</f>
        <v>CHAMMAL_D</v>
      </c>
      <c r="M77" s="13">
        <f>VLOOKUP($G77,'Visu totale'!$D$3:$DT$129,M$1,0)</f>
        <v>18</v>
      </c>
      <c r="N77" s="13">
        <f>VLOOKUP($G77,'Visu totale'!$D$3:$DT$129,N$1,0)</f>
        <v>18</v>
      </c>
      <c r="O77" s="13" t="str">
        <f>VLOOKUP($G77,'Visu totale'!$D$3:$DT$129,O$1,0)</f>
        <v>CHAMMAL_D</v>
      </c>
      <c r="P77" s="13" t="str">
        <f>VLOOKUP($G77,'Visu totale'!$D$3:$DT$129,P$1,0)</f>
        <v>CHAMMAL_D</v>
      </c>
      <c r="Q77" s="13" t="str">
        <f>VLOOKUP($G77,'Visu totale'!$D$3:$DT$129,Q$1,0)</f>
        <v>CHAMMAL_D</v>
      </c>
      <c r="R77" s="15" t="str">
        <f>VLOOKUP($G77,'Visu totale'!$D$3:$DT$129,R$1,0)</f>
        <v>CHAMMAL_D</v>
      </c>
      <c r="S77" s="14">
        <f>VLOOKUP($G77,'Visu totale'!$D$3:$DT$129,S$1,0)</f>
        <v>18</v>
      </c>
      <c r="T77" s="13">
        <f>VLOOKUP($G77,'Visu totale'!$D$3:$DT$129,T$1,0)</f>
        <v>18</v>
      </c>
      <c r="U77" s="13" t="str">
        <f>VLOOKUP($G77,'Visu totale'!$D$3:$DT$129,U$1,0)</f>
        <v>NANCY_D</v>
      </c>
      <c r="V77" s="13" t="str">
        <f>VLOOKUP($G77,'Visu totale'!$D$3:$DT$129,V$1,0)</f>
        <v>NANCY_D</v>
      </c>
      <c r="W77" s="13" t="str">
        <f>VLOOKUP($G77,'Visu totale'!$D$3:$DT$129,W$1,0)</f>
        <v>NANCY_D</v>
      </c>
      <c r="X77" s="13" t="str">
        <f>VLOOKUP($G77,'Visu totale'!$D$3:$DT$129,X$1,0)</f>
        <v>NANCY_D</v>
      </c>
      <c r="Y77" s="13">
        <f>VLOOKUP($G77,'Visu totale'!$D$3:$DT$129,Y$1,0)</f>
        <v>18</v>
      </c>
      <c r="Z77" s="13">
        <f>VLOOKUP($G77,'Visu totale'!$D$3:$DT$129,Z$1,0)</f>
        <v>18</v>
      </c>
      <c r="AA77" s="13">
        <f>VLOOKUP($G77,'Visu totale'!$D$3:$DT$129,AA$1,0)</f>
        <v>18</v>
      </c>
      <c r="AB77" s="13">
        <f>VLOOKUP($G77,'Visu totale'!$D$3:$DT$129,AB$1,0)</f>
        <v>18</v>
      </c>
      <c r="AC77" s="13">
        <f>VLOOKUP($G77,'Visu totale'!$D$3:$DT$129,AC$1,0)</f>
        <v>18</v>
      </c>
      <c r="AD77" s="15">
        <f>VLOOKUP($G77,'Visu totale'!$D$3:$DT$129,AD$1,0)</f>
        <v>18</v>
      </c>
      <c r="AE77" s="14">
        <f>VLOOKUP($G77,'Visu totale'!$D$3:$DT$129,AE$1,0)</f>
        <v>18</v>
      </c>
      <c r="AF77" s="13">
        <f>VLOOKUP($G77,'Visu totale'!$D$3:$DT$129,AF$1,0)</f>
        <v>18</v>
      </c>
      <c r="AG77" s="13">
        <f>VLOOKUP($G77,'Visu totale'!$D$3:$DT$129,AG$1,0)</f>
        <v>18</v>
      </c>
      <c r="AH77" s="13">
        <f>VLOOKUP($G77,'Visu totale'!$D$3:$DT$129,AH$1,0)</f>
        <v>18</v>
      </c>
      <c r="AI77" s="13">
        <f>VLOOKUP($G77,'Visu totale'!$D$3:$DT$129,AI$1,0)</f>
        <v>18</v>
      </c>
      <c r="AJ77" s="13">
        <f>VLOOKUP($G77,'Visu totale'!$D$3:$DT$129,AJ$1,0)</f>
        <v>0</v>
      </c>
      <c r="AK77" s="13">
        <f>VLOOKUP($G77,'Visu totale'!$D$3:$DT$129,AK$1,0)</f>
        <v>0</v>
      </c>
      <c r="AL77" s="13">
        <f>VLOOKUP($G77,'Visu totale'!$D$3:$DT$129,AL$1,0)</f>
        <v>0</v>
      </c>
      <c r="AM77" s="13">
        <f>VLOOKUP($G77,'Visu totale'!$D$3:$DT$129,AM$1,0)</f>
        <v>0</v>
      </c>
      <c r="AN77" s="13">
        <f>VLOOKUP($G77,'Visu totale'!$D$3:$DT$129,AN$1,0)</f>
        <v>0</v>
      </c>
      <c r="AO77" s="13">
        <f>VLOOKUP($G77,'Visu totale'!$D$3:$DT$129,AO$1,0)</f>
        <v>0</v>
      </c>
      <c r="AP77" s="15">
        <f>VLOOKUP($G77,'Visu totale'!$D$3:$DT$129,AP$1,0)</f>
        <v>0</v>
      </c>
      <c r="AQ77" s="14">
        <f>VLOOKUP($G77,'Visu totale'!$D$3:$DT$129,AQ$1,0)</f>
        <v>0</v>
      </c>
      <c r="AR77" s="13">
        <f>VLOOKUP($G77,'Visu totale'!$D$3:$DT$129,AR$1,0)</f>
        <v>0</v>
      </c>
      <c r="AS77" s="13">
        <f>VLOOKUP($G77,'Visu totale'!$D$3:$DT$129,AS$1,0)</f>
        <v>0</v>
      </c>
      <c r="AT77" s="13">
        <f>VLOOKUP($G77,'Visu totale'!$D$3:$DT$129,AT$1,0)</f>
        <v>0</v>
      </c>
      <c r="AU77" s="13">
        <f>VLOOKUP($G77,'Visu totale'!$D$3:$DT$129,AU$1,0)</f>
        <v>0</v>
      </c>
      <c r="AV77" s="13">
        <f>VLOOKUP($G77,'Visu totale'!$D$3:$DT$129,AV$1,0)</f>
        <v>0</v>
      </c>
      <c r="AW77" s="13">
        <f>VLOOKUP($G77,'Visu totale'!$D$3:$DT$129,AW$1,0)</f>
        <v>0</v>
      </c>
      <c r="AX77" s="13">
        <f>VLOOKUP($G77,'Visu totale'!$D$3:$DT$129,AX$1,0)</f>
        <v>0</v>
      </c>
      <c r="AY77" s="13">
        <f>VLOOKUP($G77,'Visu totale'!$D$3:$DT$129,AY$1,0)</f>
        <v>0</v>
      </c>
      <c r="AZ77" s="13">
        <f>VLOOKUP($G77,'Visu totale'!$D$3:$DT$129,AZ$1,0)</f>
        <v>0</v>
      </c>
      <c r="BA77" s="13">
        <f>VLOOKUP($G77,'Visu totale'!$D$3:$DT$129,BA$1,0)</f>
        <v>0</v>
      </c>
      <c r="BB77" s="15">
        <f>VLOOKUP($G77,'Visu totale'!$D$3:$DT$129,BB$1,0)</f>
        <v>0</v>
      </c>
      <c r="BC77" s="14">
        <f>VLOOKUP($G77,'Visu totale'!$D$3:$DT$129,BC$1,0)</f>
        <v>0</v>
      </c>
      <c r="BD77" s="13">
        <f>VLOOKUP($G77,'Visu totale'!$D$3:$DT$129,BD$1,0)</f>
        <v>0</v>
      </c>
      <c r="BE77" s="13" t="str">
        <f>VLOOKUP($G77,'Visu totale'!$D$3:$DT$129,BE$1,0)</f>
        <v>V30</v>
      </c>
      <c r="BF77" s="13" t="str">
        <f>VLOOKUP($G77,'Visu totale'!$D$3:$DT$129,BF$1,0)</f>
        <v>V30</v>
      </c>
      <c r="BG77" s="13" t="str">
        <f>VLOOKUP($G77,'Visu totale'!$D$3:$DT$129,BG$1,0)</f>
        <v>V30</v>
      </c>
      <c r="BH77" s="13" t="str">
        <f>VLOOKUP($G77,'Visu totale'!$D$3:$DT$129,BH$1,0)</f>
        <v>V30</v>
      </c>
      <c r="BI77" s="13" t="str">
        <f>VLOOKUP($G77,'Visu totale'!$D$3:$DT$129,BI$1,0)</f>
        <v>V30</v>
      </c>
      <c r="BJ77" s="13" t="str">
        <f>VLOOKUP($G77,'Visu totale'!$D$3:$DT$129,BJ$1,0)</f>
        <v>V30</v>
      </c>
      <c r="BK77" s="13">
        <f>VLOOKUP($G77,'Visu totale'!$D$3:$DT$129,BK$1,0)</f>
        <v>18</v>
      </c>
      <c r="BL77" s="13">
        <f>VLOOKUP($G77,'Visu totale'!$D$3:$DT$129,BL$1,0)</f>
        <v>18</v>
      </c>
      <c r="BM77" s="13" t="str">
        <f>VLOOKUP($G77,'Visu totale'!$D$3:$DT$129,BM$1,0)</f>
        <v>CHAMMAL_D</v>
      </c>
      <c r="BN77" s="15" t="str">
        <f>VLOOKUP($G77,'Visu totale'!$D$3:$DT$129,BN$1,0)</f>
        <v>CHAMMAL_D</v>
      </c>
      <c r="BO77" s="14" t="str">
        <f>VLOOKUP($G77,'Visu totale'!$D$3:$DT$129,BO$1,0)</f>
        <v>V25</v>
      </c>
      <c r="BP77" s="13" t="str">
        <f>VLOOKUP($G77,'Visu totale'!$D$3:$DT$129,BP$1,0)</f>
        <v>V25</v>
      </c>
      <c r="BQ77" s="13" t="str">
        <f>VLOOKUP($G77,'Visu totale'!$D$3:$DT$129,BQ$1,0)</f>
        <v>V25</v>
      </c>
      <c r="BR77" s="13" t="str">
        <f>VLOOKUP($G77,'Visu totale'!$D$3:$DT$129,BR$1,0)</f>
        <v>V25</v>
      </c>
      <c r="BS77" s="13" t="str">
        <f>VLOOKUP($G77,'Visu totale'!$D$3:$DT$129,BS$1,0)</f>
        <v>V25</v>
      </c>
      <c r="BT77" s="13">
        <f>VLOOKUP($G77,'Visu totale'!$D$3:$DT$129,BT$1,0)</f>
        <v>18</v>
      </c>
      <c r="BU77" s="13">
        <f>VLOOKUP($G77,'Visu totale'!$D$3:$DT$129,BU$1,0)</f>
        <v>18</v>
      </c>
      <c r="BV77" s="13" t="str">
        <f>VLOOKUP($G77,'Visu totale'!$D$3:$DT$129,BV$1,0)</f>
        <v>NANCY_D</v>
      </c>
      <c r="BW77" s="13" t="str">
        <f>VLOOKUP($G77,'Visu totale'!$D$3:$DT$129,BW$1,0)</f>
        <v>NANCY_D</v>
      </c>
      <c r="BX77" s="13" t="str">
        <f>VLOOKUP($G77,'Visu totale'!$D$3:$DT$129,BX$1,0)</f>
        <v>NANCY_D</v>
      </c>
      <c r="BY77" s="13" t="str">
        <f>VLOOKUP($G77,'Visu totale'!$D$3:$DT$129,BY$1,0)</f>
        <v>NANCY_D</v>
      </c>
      <c r="BZ77" s="15">
        <f>VLOOKUP($G77,'Visu totale'!$D$3:$DT$129,BZ$1,0)</f>
        <v>18</v>
      </c>
      <c r="CA77" s="14">
        <f>VLOOKUP($G77,'Visu totale'!$D$3:$DT$129,CA$1,0)</f>
        <v>18</v>
      </c>
      <c r="CB77" s="13" t="str">
        <f>VLOOKUP($G77,'Visu totale'!$D$3:$DT$129,CB$1,0)</f>
        <v>NANCY_D</v>
      </c>
      <c r="CC77" s="13" t="str">
        <f>VLOOKUP($G77,'Visu totale'!$D$3:$DT$129,CC$1,0)</f>
        <v>NANCY_D</v>
      </c>
      <c r="CD77" s="13" t="str">
        <f>VLOOKUP($G77,'Visu totale'!$D$3:$DT$129,CD$1,0)</f>
        <v>NANCY_D</v>
      </c>
      <c r="CE77" s="13" t="str">
        <f>VLOOKUP($G77,'Visu totale'!$D$3:$DT$129,CE$1,0)</f>
        <v>NANCY_D</v>
      </c>
      <c r="CF77" s="13">
        <f>VLOOKUP($G77,'Visu totale'!$D$3:$DT$129,CF$1,0)</f>
        <v>18</v>
      </c>
      <c r="CG77" s="13">
        <f>VLOOKUP($G77,'Visu totale'!$D$3:$DT$129,CG$1,0)</f>
        <v>18</v>
      </c>
      <c r="CH77" s="13" t="str">
        <f>VLOOKUP($G77,'Visu totale'!$D$3:$DT$129,CH$1,0)</f>
        <v>NANCY_D</v>
      </c>
      <c r="CI77" s="13" t="str">
        <f>VLOOKUP($G77,'Visu totale'!$D$3:$DT$129,CI$1,0)</f>
        <v>NANCY_D</v>
      </c>
      <c r="CJ77" s="13" t="str">
        <f>VLOOKUP($G77,'Visu totale'!$D$3:$DT$129,CJ$1,0)</f>
        <v>NANCY_D</v>
      </c>
      <c r="CK77" s="13" t="str">
        <f>VLOOKUP($G77,'Visu totale'!$D$3:$DT$129,CK$1,0)</f>
        <v>NANCY_D</v>
      </c>
      <c r="CL77" s="15">
        <f>VLOOKUP($G77,'Visu totale'!$D$3:$DT$129,CL$1,0)</f>
        <v>18</v>
      </c>
      <c r="CM77" s="14">
        <f>VLOOKUP($G77,'Visu totale'!$D$3:$DT$129,CM$1,0)</f>
        <v>18</v>
      </c>
      <c r="CN77" s="13" t="str">
        <f>VLOOKUP($G77,'Visu totale'!$D$3:$DT$129,CN$1,0)</f>
        <v>NANCY_D</v>
      </c>
      <c r="CO77" s="13" t="str">
        <f>VLOOKUP($G77,'Visu totale'!$D$3:$DT$129,CO$1,0)</f>
        <v>NANCY_D</v>
      </c>
      <c r="CP77" s="13" t="str">
        <f>VLOOKUP($G77,'Visu totale'!$D$3:$DT$129,CP$1,0)</f>
        <v>NANCY_D</v>
      </c>
      <c r="CQ77" s="13" t="str">
        <f>VLOOKUP($G77,'Visu totale'!$D$3:$DT$129,CQ$1,0)</f>
        <v>NANCY_D</v>
      </c>
      <c r="CR77" s="13">
        <f>VLOOKUP($G77,'Visu totale'!$D$3:$DT$129,CR$1,0)</f>
        <v>18</v>
      </c>
      <c r="CS77" s="13">
        <f>VLOOKUP($G77,'Visu totale'!$D$3:$DT$129,CS$1,0)</f>
        <v>18</v>
      </c>
      <c r="CT77" s="13">
        <f>VLOOKUP($G77,'Visu totale'!$D$3:$DT$129,CT$1,0)</f>
        <v>18</v>
      </c>
      <c r="CU77" s="13">
        <f>VLOOKUP($G77,'Visu totale'!$D$3:$DT$129,CU$1,0)</f>
        <v>18</v>
      </c>
      <c r="CV77" s="13">
        <f>VLOOKUP($G77,'Visu totale'!$D$3:$DT$129,CV$1,0)</f>
        <v>18</v>
      </c>
      <c r="CW77" s="13">
        <f>VLOOKUP($G77,'Visu totale'!$D$3:$DT$129,CW$1,0)</f>
        <v>18</v>
      </c>
      <c r="CX77" s="15">
        <f>VLOOKUP($G77,'Visu totale'!$D$3:$DT$129,CX$1,0)</f>
        <v>18</v>
      </c>
      <c r="CY77" s="14">
        <f>VLOOKUP($G77,'Visu totale'!$D$3:$DT$129,CY$1,0)</f>
        <v>0</v>
      </c>
      <c r="CZ77" s="13">
        <f>VLOOKUP($G77,'Visu totale'!$D$3:$DT$129,CZ$1,0)</f>
        <v>0</v>
      </c>
      <c r="DA77" s="13">
        <f>VLOOKUP($G77,'Visu totale'!$D$3:$DT$129,DA$1,0)</f>
        <v>0</v>
      </c>
      <c r="DB77" s="13">
        <f>VLOOKUP($G77,'Visu totale'!$D$3:$DT$129,DB$1,0)</f>
        <v>0</v>
      </c>
      <c r="DC77" s="13">
        <f>VLOOKUP($G77,'Visu totale'!$D$3:$DT$129,DC$1,0)</f>
        <v>0</v>
      </c>
      <c r="DD77" s="13">
        <f>VLOOKUP($G77,'Visu totale'!$D$3:$DT$129,DD$1,0)</f>
        <v>0</v>
      </c>
      <c r="DE77" s="13">
        <f>VLOOKUP($G77,'Visu totale'!$D$3:$DT$129,DE$1,0)</f>
        <v>0</v>
      </c>
      <c r="DF77" s="13">
        <f>VLOOKUP($G77,'Visu totale'!$D$3:$DT$129,DF$1,0)</f>
        <v>0</v>
      </c>
      <c r="DG77" s="13">
        <f>VLOOKUP($G77,'Visu totale'!$D$3:$DT$129,DG$1,0)</f>
        <v>0</v>
      </c>
      <c r="DH77" s="13">
        <f>VLOOKUP($G77,'Visu totale'!$D$3:$DT$129,DH$1,0)</f>
        <v>0</v>
      </c>
      <c r="DI77" s="13">
        <f>VLOOKUP($G77,'Visu totale'!$D$3:$DT$129,DI$1,0)</f>
        <v>0</v>
      </c>
      <c r="DJ77" s="15">
        <f>VLOOKUP($G77,'Visu totale'!$D$3:$DT$129,DJ$1,0)</f>
        <v>0</v>
      </c>
      <c r="DK77" s="14">
        <f>VLOOKUP($G77,'Visu totale'!$D$3:$DT$129,DK$1,0)</f>
        <v>0</v>
      </c>
      <c r="DL77" s="13">
        <f>VLOOKUP($G77,'Visu totale'!$D$3:$DT$129,DL$1,0)</f>
        <v>0</v>
      </c>
      <c r="DM77" s="13">
        <f>VLOOKUP($G77,'Visu totale'!$D$3:$DT$129,DM$1,0)</f>
        <v>0</v>
      </c>
      <c r="DN77" s="13">
        <f>VLOOKUP($G77,'Visu totale'!$D$3:$DT$129,DN$1,0)</f>
        <v>0</v>
      </c>
      <c r="DO77" s="13">
        <f>VLOOKUP($G77,'Visu totale'!$D$3:$DT$129,DO$1,0)</f>
        <v>0</v>
      </c>
      <c r="DP77" s="13">
        <f>VLOOKUP($G77,'Visu totale'!$D$3:$DT$129,DP$1,0)</f>
        <v>0</v>
      </c>
      <c r="DQ77" s="13">
        <f>VLOOKUP($G77,'Visu totale'!$D$3:$DT$129,DQ$1,0)</f>
        <v>0</v>
      </c>
      <c r="DR77" s="13">
        <f>VLOOKUP($G77,'Visu totale'!$D$3:$DT$129,DR$1,0)</f>
        <v>0</v>
      </c>
      <c r="DS77" s="13">
        <f>VLOOKUP($G77,'Visu totale'!$D$3:$DT$129,DS$1,0)</f>
        <v>0</v>
      </c>
      <c r="DT77" s="13">
        <f>VLOOKUP($G77,'Visu totale'!$D$3:$DT$129,DT$1,0)</f>
        <v>0</v>
      </c>
      <c r="DU77" s="13">
        <f>VLOOKUP($G77,'Visu totale'!$D$3:$DT$129,DU$1,0)</f>
        <v>0</v>
      </c>
      <c r="DV77" s="15">
        <f>VLOOKUP($G77,'Visu totale'!$D$3:$DT$129,DV$1,0)</f>
        <v>0</v>
      </c>
    </row>
  </sheetData>
  <mergeCells count="10">
    <mergeCell ref="CA2:CL2"/>
    <mergeCell ref="CM2:CX2"/>
    <mergeCell ref="CY2:DJ2"/>
    <mergeCell ref="DK2:DV2"/>
    <mergeCell ref="H2:R2"/>
    <mergeCell ref="S2:AD2"/>
    <mergeCell ref="AE2:AP2"/>
    <mergeCell ref="AQ2:BB2"/>
    <mergeCell ref="BC2:BN2"/>
    <mergeCell ref="BO2:BZ2"/>
  </mergeCells>
  <conditionalFormatting sqref="H4:DV77">
    <cfRule type="beginsWith" dxfId="7" priority="1" operator="beginsWith" text="S">
      <formula>LEFT(H4,LEN("S"))="S"</formula>
    </cfRule>
    <cfRule type="cellIs" dxfId="6" priority="2" operator="equal">
      <formula>"x"</formula>
    </cfRule>
    <cfRule type="beginsWith" dxfId="5" priority="3" operator="beginsWith" text="V">
      <formula>LEFT(H4,LEN("V"))="V"</formula>
    </cfRule>
    <cfRule type="cellIs" dxfId="4" priority="4" operator="greaterThan">
      <formula>25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EG130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BC2" sqref="BC2:BN2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6.7109375" bestFit="1" customWidth="1"/>
    <col min="4" max="4" width="9" bestFit="1" customWidth="1"/>
    <col min="5" max="5" width="13.85546875" bestFit="1" customWidth="1"/>
    <col min="6" max="6" width="9.710937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570312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1406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5703125" bestFit="1" customWidth="1"/>
    <col min="74" max="74" width="6.85546875" bestFit="1" customWidth="1"/>
    <col min="75" max="75" width="6.5703125" bestFit="1" customWidth="1"/>
    <col min="76" max="76" width="6.42578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7" width="6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489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489" ht="20.25" x14ac:dyDescent="0.25">
      <c r="A2" s="11"/>
      <c r="B2" s="11"/>
      <c r="C2" s="11"/>
      <c r="D2" s="11"/>
      <c r="E2" s="11"/>
      <c r="F2" s="11"/>
      <c r="G2" s="24">
        <f>YEAR(DATE(2018,1,1))</f>
        <v>2018</v>
      </c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  <c r="S2" s="24">
        <f>YEAR(DATE(2018,13,1))</f>
        <v>2019</v>
      </c>
      <c r="T2" s="25"/>
      <c r="U2" s="25"/>
      <c r="V2" s="25"/>
      <c r="W2" s="25"/>
      <c r="X2" s="25"/>
      <c r="Y2" s="25"/>
      <c r="Z2" s="25"/>
      <c r="AA2" s="25"/>
      <c r="AB2" s="25"/>
      <c r="AC2" s="25"/>
      <c r="AD2" s="26"/>
      <c r="AE2" s="24">
        <f>YEAR(DATE(2018,25,1))</f>
        <v>2020</v>
      </c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6"/>
      <c r="AQ2" s="24">
        <f>YEAR(DATE(2018,37,1))</f>
        <v>2021</v>
      </c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6"/>
      <c r="BC2" s="24">
        <f>YEAR(DATE(2018,49,1))</f>
        <v>2022</v>
      </c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6"/>
      <c r="BO2" s="24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6"/>
      <c r="CA2" s="24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6"/>
      <c r="CM2" s="24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6"/>
      <c r="CY2" s="24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6"/>
      <c r="DK2" s="24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6"/>
    </row>
    <row r="3" spans="1:1489" x14ac:dyDescent="0.25">
      <c r="A3" s="7" t="s">
        <v>141</v>
      </c>
      <c r="B3" s="7" t="s">
        <v>145</v>
      </c>
      <c r="C3" s="7" t="s">
        <v>148</v>
      </c>
      <c r="D3" s="7" t="s">
        <v>142</v>
      </c>
      <c r="E3" s="7" t="s">
        <v>143</v>
      </c>
      <c r="F3" s="7" t="s">
        <v>144</v>
      </c>
      <c r="G3" s="8">
        <f>DATE(2018,1,1)</f>
        <v>43101</v>
      </c>
      <c r="H3" s="9">
        <f>DATE(2018,2,1)</f>
        <v>43132</v>
      </c>
      <c r="I3" s="9">
        <f>DATE(2018,3,1)</f>
        <v>43160</v>
      </c>
      <c r="J3" s="9">
        <f>DATE(2018,4,1)</f>
        <v>43191</v>
      </c>
      <c r="K3" s="9">
        <f>DATE(2018,5,1)</f>
        <v>43221</v>
      </c>
      <c r="L3" s="9">
        <f>DATE(2018,6,1)</f>
        <v>43252</v>
      </c>
      <c r="M3" s="9">
        <f>DATE(2018,7,1)</f>
        <v>43282</v>
      </c>
      <c r="N3" s="9">
        <f>DATE(2018,8,1)</f>
        <v>43313</v>
      </c>
      <c r="O3" s="9">
        <f>DATE(2018,9,1)</f>
        <v>43344</v>
      </c>
      <c r="P3" s="9">
        <f>DATE(2018,10,1)</f>
        <v>43374</v>
      </c>
      <c r="Q3" s="9">
        <f>DATE(2018,11,1)</f>
        <v>43405</v>
      </c>
      <c r="R3" s="10">
        <f>DATE(2018,12,1)</f>
        <v>43435</v>
      </c>
      <c r="S3" s="8">
        <f>DATE(2018,13,1)</f>
        <v>43466</v>
      </c>
      <c r="T3" s="9">
        <f>DATE(2018,14,1)</f>
        <v>43497</v>
      </c>
      <c r="U3" s="9">
        <f>DATE(2018,15,1)</f>
        <v>43525</v>
      </c>
      <c r="V3" s="9">
        <f>DATE(2018,16,1)</f>
        <v>43556</v>
      </c>
      <c r="W3" s="9">
        <f>DATE(2018,17,1)</f>
        <v>43586</v>
      </c>
      <c r="X3" s="9">
        <f>DATE(2018,18,1)</f>
        <v>43617</v>
      </c>
      <c r="Y3" s="9">
        <f>DATE(2018,19,1)</f>
        <v>43647</v>
      </c>
      <c r="Z3" s="9">
        <f>DATE(2018,20,1)</f>
        <v>43678</v>
      </c>
      <c r="AA3" s="9">
        <f>DATE(2018,21,1)</f>
        <v>43709</v>
      </c>
      <c r="AB3" s="9">
        <f>DATE(2018,22,1)</f>
        <v>43739</v>
      </c>
      <c r="AC3" s="9">
        <f>DATE(2018,23,1)</f>
        <v>43770</v>
      </c>
      <c r="AD3" s="10">
        <f>DATE(2018,24,1)</f>
        <v>43800</v>
      </c>
      <c r="AE3" s="8">
        <f>DATE(2018,25,1)</f>
        <v>43831</v>
      </c>
      <c r="AF3" s="9">
        <f>DATE(2018,26,1)</f>
        <v>43862</v>
      </c>
      <c r="AG3" s="9">
        <f>DATE(2018,27,1)</f>
        <v>43891</v>
      </c>
      <c r="AH3" s="9">
        <f>DATE(2018,28,1)</f>
        <v>43922</v>
      </c>
      <c r="AI3" s="9">
        <f>DATE(2018,29,1)</f>
        <v>43952</v>
      </c>
      <c r="AJ3" s="9">
        <f>DATE(2018,30,1)</f>
        <v>43983</v>
      </c>
      <c r="AK3" s="9">
        <f>DATE(2018,31,1)</f>
        <v>44013</v>
      </c>
      <c r="AL3" s="9">
        <f>DATE(2018,32,1)</f>
        <v>44044</v>
      </c>
      <c r="AM3" s="9">
        <f>DATE(2018,33,1)</f>
        <v>44075</v>
      </c>
      <c r="AN3" s="9">
        <f>DATE(2018,34,1)</f>
        <v>44105</v>
      </c>
      <c r="AO3" s="9">
        <f>DATE(2018,35,1)</f>
        <v>44136</v>
      </c>
      <c r="AP3" s="10">
        <f>DATE(2018,36,1)</f>
        <v>44166</v>
      </c>
      <c r="AQ3" s="8">
        <f>DATE(2018,37,1)</f>
        <v>44197</v>
      </c>
      <c r="AR3" s="9">
        <f>DATE(2018,38,1)</f>
        <v>44228</v>
      </c>
      <c r="AS3" s="9">
        <f>DATE(2018,39,1)</f>
        <v>44256</v>
      </c>
      <c r="AT3" s="9">
        <f>DATE(2018,40,1)</f>
        <v>44287</v>
      </c>
      <c r="AU3" s="9">
        <f>DATE(2018,41,1)</f>
        <v>44317</v>
      </c>
      <c r="AV3" s="9">
        <f>DATE(2018,42,1)</f>
        <v>44348</v>
      </c>
      <c r="AW3" s="9">
        <f>DATE(2018,43,1)</f>
        <v>44378</v>
      </c>
      <c r="AX3" s="9">
        <f>DATE(2018,44,1)</f>
        <v>44409</v>
      </c>
      <c r="AY3" s="9">
        <f>DATE(2018,45,1)</f>
        <v>44440</v>
      </c>
      <c r="AZ3" s="9">
        <f>DATE(2018,46,1)</f>
        <v>44470</v>
      </c>
      <c r="BA3" s="9">
        <f>DATE(2018,47,1)</f>
        <v>44501</v>
      </c>
      <c r="BB3" s="10">
        <f>DATE(2018,48,1)</f>
        <v>44531</v>
      </c>
      <c r="BC3" s="8">
        <f>DATE(2018,49,1)</f>
        <v>44562</v>
      </c>
      <c r="BD3" s="9">
        <f>DATE(2018,50,1)</f>
        <v>44593</v>
      </c>
      <c r="BE3" s="9">
        <f>DATE(2018,51,1)</f>
        <v>44621</v>
      </c>
      <c r="BF3" s="9">
        <f>DATE(2018,52,1)</f>
        <v>44652</v>
      </c>
      <c r="BG3" s="9">
        <f>DATE(2018,53,1)</f>
        <v>44682</v>
      </c>
      <c r="BH3" s="9">
        <f>DATE(2018,54,1)</f>
        <v>44713</v>
      </c>
      <c r="BI3" s="9">
        <f>DATE(2018,55,1)</f>
        <v>44743</v>
      </c>
      <c r="BJ3" s="9">
        <f>DATE(2018,56,1)</f>
        <v>44774</v>
      </c>
      <c r="BK3" s="9">
        <f>DATE(2018,57,1)</f>
        <v>44805</v>
      </c>
      <c r="BL3" s="9">
        <f>DATE(2018,58,1)</f>
        <v>44835</v>
      </c>
      <c r="BM3" s="9">
        <f>DATE(2018,59,1)</f>
        <v>44866</v>
      </c>
      <c r="BN3" s="10">
        <f>DATE(2018,60,1)</f>
        <v>44896</v>
      </c>
      <c r="BO3" s="8"/>
      <c r="BP3" s="9"/>
      <c r="BQ3" s="9"/>
      <c r="BR3" s="9"/>
      <c r="BS3" s="9"/>
      <c r="BT3" s="9"/>
      <c r="BU3" s="9"/>
      <c r="BV3" s="9"/>
      <c r="BW3" s="9"/>
      <c r="BX3" s="9"/>
      <c r="BY3" s="9"/>
      <c r="BZ3" s="10"/>
      <c r="CA3" s="8"/>
      <c r="CB3" s="9"/>
      <c r="CC3" s="9"/>
      <c r="CD3" s="9"/>
      <c r="CE3" s="9"/>
      <c r="CF3" s="9"/>
      <c r="CG3" s="9"/>
      <c r="CH3" s="9"/>
      <c r="CI3" s="9"/>
      <c r="CJ3" s="9"/>
      <c r="CK3" s="9"/>
      <c r="CL3" s="10"/>
      <c r="CM3" s="8"/>
      <c r="CN3" s="9"/>
      <c r="CO3" s="9"/>
      <c r="CP3" s="9"/>
      <c r="CQ3" s="9"/>
      <c r="CR3" s="9"/>
      <c r="CS3" s="9"/>
      <c r="CT3" s="9"/>
      <c r="CU3" s="9"/>
      <c r="CV3" s="9"/>
      <c r="CW3" s="9"/>
      <c r="CX3" s="10"/>
      <c r="CY3" s="8"/>
      <c r="CZ3" s="9"/>
      <c r="DA3" s="9"/>
      <c r="DB3" s="9"/>
      <c r="DC3" s="9"/>
      <c r="DD3" s="9"/>
      <c r="DE3" s="9"/>
      <c r="DF3" s="9"/>
      <c r="DG3" s="9"/>
      <c r="DH3" s="9"/>
      <c r="DI3" s="9"/>
      <c r="DJ3" s="10"/>
      <c r="DK3" s="8"/>
      <c r="DL3" s="9"/>
      <c r="DM3" s="9"/>
      <c r="DN3" s="9"/>
      <c r="DO3" s="9"/>
      <c r="DP3" s="9"/>
      <c r="DQ3" s="9"/>
      <c r="DR3" s="9"/>
      <c r="DS3" s="9"/>
      <c r="DT3" s="9"/>
      <c r="DU3" s="9"/>
      <c r="DV3" s="10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</row>
    <row r="4" spans="1:1489" s="12" customFormat="1" x14ac:dyDescent="0.25">
      <c r="A4" s="13"/>
      <c r="B4" s="13"/>
      <c r="C4" s="13"/>
      <c r="D4" s="13"/>
      <c r="E4" s="13"/>
      <c r="F4" s="17" t="s">
        <v>104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489" s="12" customFormat="1" x14ac:dyDescent="0.25">
      <c r="A5" s="13"/>
      <c r="B5" s="13"/>
      <c r="C5" s="13"/>
      <c r="D5" s="13"/>
      <c r="E5" s="13"/>
      <c r="F5" s="17" t="s">
        <v>105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489" s="12" customFormat="1" x14ac:dyDescent="0.25">
      <c r="A6" s="13"/>
      <c r="B6" s="13"/>
      <c r="C6" s="13"/>
      <c r="D6" s="13"/>
      <c r="E6" s="13"/>
      <c r="F6" s="17" t="s">
        <v>106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489" s="12" customFormat="1" x14ac:dyDescent="0.25">
      <c r="A7" s="13"/>
      <c r="B7" s="13"/>
      <c r="C7" s="13"/>
      <c r="D7" s="13"/>
      <c r="E7" s="13"/>
      <c r="F7" s="17" t="s">
        <v>107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489" s="12" customFormat="1" x14ac:dyDescent="0.25">
      <c r="A8" s="13"/>
      <c r="B8" s="13"/>
      <c r="C8" s="13"/>
      <c r="D8" s="13"/>
      <c r="E8" s="13"/>
      <c r="F8" s="17" t="s">
        <v>108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489" s="12" customFormat="1" x14ac:dyDescent="0.25">
      <c r="A9" s="13"/>
      <c r="B9" s="13"/>
      <c r="C9" s="13"/>
      <c r="D9" s="13"/>
      <c r="E9" s="13"/>
      <c r="F9" s="17" t="s">
        <v>109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489" s="12" customFormat="1" x14ac:dyDescent="0.25">
      <c r="A10" s="13"/>
      <c r="B10" s="13"/>
      <c r="C10" s="13"/>
      <c r="D10" s="13"/>
      <c r="E10" s="13"/>
      <c r="F10" s="17" t="s">
        <v>110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489" s="12" customFormat="1" x14ac:dyDescent="0.25">
      <c r="A11" s="13"/>
      <c r="B11" s="13"/>
      <c r="C11" s="13"/>
      <c r="D11" s="13"/>
      <c r="E11" s="13"/>
      <c r="F11" s="17" t="s">
        <v>111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12" spans="1:1489" s="12" customFormat="1" x14ac:dyDescent="0.25">
      <c r="A12" s="13"/>
      <c r="B12" s="13"/>
      <c r="C12" s="13"/>
      <c r="D12" s="13"/>
      <c r="E12" s="13"/>
      <c r="F12" s="17" t="s">
        <v>112</v>
      </c>
      <c r="G12" s="14">
        <f>VLOOKUP($F12,'Visu totale'!$D$3:$DT$129,G$1,0)</f>
        <v>0</v>
      </c>
      <c r="H12" s="13">
        <f>VLOOKUP($F12,'Visu totale'!$D$3:$DT$129,H$1,0)</f>
        <v>0</v>
      </c>
      <c r="I12" s="13">
        <f>VLOOKUP($F12,'Visu totale'!$D$3:$DT$129,I$1,0)</f>
        <v>0</v>
      </c>
      <c r="J12" s="13">
        <f>VLOOKUP($F12,'Visu totale'!$D$3:$DT$129,J$1,0)</f>
        <v>0</v>
      </c>
      <c r="K12" s="13">
        <f>VLOOKUP($F12,'Visu totale'!$D$3:$DT$129,K$1,0)</f>
        <v>0</v>
      </c>
      <c r="L12" s="13">
        <f>VLOOKUP($F12,'Visu totale'!$D$3:$DT$129,L$1,0)</f>
        <v>0</v>
      </c>
      <c r="M12" s="13">
        <f>VLOOKUP($F12,'Visu totale'!$D$3:$DT$129,M$1,0)</f>
        <v>0</v>
      </c>
      <c r="N12" s="13">
        <f>VLOOKUP($F12,'Visu totale'!$D$3:$DT$129,N$1,0)</f>
        <v>0</v>
      </c>
      <c r="O12" s="13">
        <f>VLOOKUP($F12,'Visu totale'!$D$3:$DT$129,O$1,0)</f>
        <v>0</v>
      </c>
      <c r="P12" s="13">
        <f>VLOOKUP($F12,'Visu totale'!$D$3:$DT$129,P$1,0)</f>
        <v>0</v>
      </c>
      <c r="Q12" s="13">
        <f>VLOOKUP($F12,'Visu totale'!$D$3:$DT$129,Q$1,0)</f>
        <v>0</v>
      </c>
      <c r="R12" s="15">
        <f>VLOOKUP($F12,'Visu totale'!$D$3:$DT$129,R$1,0)</f>
        <v>0</v>
      </c>
      <c r="S12" s="14">
        <f>VLOOKUP($F12,'Visu totale'!$D$3:$DT$129,S$1,0)</f>
        <v>0</v>
      </c>
      <c r="T12" s="13">
        <f>VLOOKUP($F12,'Visu totale'!$D$3:$DT$129,T$1,0)</f>
        <v>0</v>
      </c>
      <c r="U12" s="13">
        <f>VLOOKUP($F12,'Visu totale'!$D$3:$DT$129,U$1,0)</f>
        <v>0</v>
      </c>
      <c r="V12" s="13">
        <f>VLOOKUP($F12,'Visu totale'!$D$3:$DT$129,V$1,0)</f>
        <v>0</v>
      </c>
      <c r="W12" s="13">
        <f>VLOOKUP($F12,'Visu totale'!$D$3:$DT$129,W$1,0)</f>
        <v>0</v>
      </c>
      <c r="X12" s="13">
        <f>VLOOKUP($F12,'Visu totale'!$D$3:$DT$129,X$1,0)</f>
        <v>0</v>
      </c>
      <c r="Y12" s="13">
        <f>VLOOKUP($F12,'Visu totale'!$D$3:$DT$129,Y$1,0)</f>
        <v>0</v>
      </c>
      <c r="Z12" s="13">
        <f>VLOOKUP($F12,'Visu totale'!$D$3:$DT$129,Z$1,0)</f>
        <v>0</v>
      </c>
      <c r="AA12" s="13">
        <f>VLOOKUP($F12,'Visu totale'!$D$3:$DT$129,AA$1,0)</f>
        <v>0</v>
      </c>
      <c r="AB12" s="13">
        <f>VLOOKUP($F12,'Visu totale'!$D$3:$DT$129,AB$1,0)</f>
        <v>0</v>
      </c>
      <c r="AC12" s="13">
        <f>VLOOKUP($F12,'Visu totale'!$D$3:$DT$129,AC$1,0)</f>
        <v>0</v>
      </c>
      <c r="AD12" s="15">
        <f>VLOOKUP($F12,'Visu totale'!$D$3:$DT$129,AD$1,0)</f>
        <v>0</v>
      </c>
      <c r="AE12" s="14">
        <f>VLOOKUP($F12,'Visu totale'!$D$3:$DT$129,AE$1,0)</f>
        <v>0</v>
      </c>
      <c r="AF12" s="13">
        <f>VLOOKUP($F12,'Visu totale'!$D$3:$DT$129,AF$1,0)</f>
        <v>0</v>
      </c>
      <c r="AG12" s="13">
        <f>VLOOKUP($F12,'Visu totale'!$D$3:$DT$129,AG$1,0)</f>
        <v>0</v>
      </c>
      <c r="AH12" s="13">
        <f>VLOOKUP($F12,'Visu totale'!$D$3:$DT$129,AH$1,0)</f>
        <v>0</v>
      </c>
      <c r="AI12" s="13">
        <f>VLOOKUP($F12,'Visu totale'!$D$3:$DT$129,AI$1,0)</f>
        <v>0</v>
      </c>
      <c r="AJ12" s="13">
        <f>VLOOKUP($F12,'Visu totale'!$D$3:$DT$129,AJ$1,0)</f>
        <v>0</v>
      </c>
      <c r="AK12" s="13">
        <f>VLOOKUP($F12,'Visu totale'!$D$3:$DT$129,AK$1,0)</f>
        <v>0</v>
      </c>
      <c r="AL12" s="13">
        <f>VLOOKUP($F12,'Visu totale'!$D$3:$DT$129,AL$1,0)</f>
        <v>0</v>
      </c>
      <c r="AM12" s="13">
        <f>VLOOKUP($F12,'Visu totale'!$D$3:$DT$129,AM$1,0)</f>
        <v>0</v>
      </c>
      <c r="AN12" s="13">
        <f>VLOOKUP($F12,'Visu totale'!$D$3:$DT$129,AN$1,0)</f>
        <v>0</v>
      </c>
      <c r="AO12" s="13">
        <f>VLOOKUP($F12,'Visu totale'!$D$3:$DT$129,AO$1,0)</f>
        <v>0</v>
      </c>
      <c r="AP12" s="15">
        <f>VLOOKUP($F12,'Visu totale'!$D$3:$DT$129,AP$1,0)</f>
        <v>0</v>
      </c>
      <c r="AQ12" s="14">
        <f>VLOOKUP($F12,'Visu totale'!$D$3:$DT$129,AQ$1,0)</f>
        <v>0</v>
      </c>
      <c r="AR12" s="13">
        <f>VLOOKUP($F12,'Visu totale'!$D$3:$DT$129,AR$1,0)</f>
        <v>0</v>
      </c>
      <c r="AS12" s="13">
        <f>VLOOKUP($F12,'Visu totale'!$D$3:$DT$129,AS$1,0)</f>
        <v>0</v>
      </c>
      <c r="AT12" s="13">
        <f>VLOOKUP($F12,'Visu totale'!$D$3:$DT$129,AT$1,0)</f>
        <v>0</v>
      </c>
      <c r="AU12" s="13">
        <f>VLOOKUP($F12,'Visu totale'!$D$3:$DT$129,AU$1,0)</f>
        <v>0</v>
      </c>
      <c r="AV12" s="13">
        <f>VLOOKUP($F12,'Visu totale'!$D$3:$DT$129,AV$1,0)</f>
        <v>0</v>
      </c>
      <c r="AW12" s="13">
        <f>VLOOKUP($F12,'Visu totale'!$D$3:$DT$129,AW$1,0)</f>
        <v>0</v>
      </c>
      <c r="AX12" s="13">
        <f>VLOOKUP($F12,'Visu totale'!$D$3:$DT$129,AX$1,0)</f>
        <v>0</v>
      </c>
      <c r="AY12" s="13">
        <f>VLOOKUP($F12,'Visu totale'!$D$3:$DT$129,AY$1,0)</f>
        <v>0</v>
      </c>
      <c r="AZ12" s="13">
        <f>VLOOKUP($F12,'Visu totale'!$D$3:$DT$129,AZ$1,0)</f>
        <v>0</v>
      </c>
      <c r="BA12" s="13">
        <f>VLOOKUP($F12,'Visu totale'!$D$3:$DT$129,BA$1,0)</f>
        <v>0</v>
      </c>
      <c r="BB12" s="15">
        <f>VLOOKUP($F12,'Visu totale'!$D$3:$DT$129,BB$1,0)</f>
        <v>0</v>
      </c>
      <c r="BC12" s="14">
        <f>VLOOKUP($F12,'Visu totale'!$D$3:$DT$129,BC$1,0)</f>
        <v>0</v>
      </c>
      <c r="BD12" s="13">
        <f>VLOOKUP($F12,'Visu totale'!$D$3:$DT$129,BD$1,0)</f>
        <v>0</v>
      </c>
      <c r="BE12" s="13">
        <f>VLOOKUP($F12,'Visu totale'!$D$3:$DT$129,BE$1,0)</f>
        <v>0</v>
      </c>
      <c r="BF12" s="13">
        <f>VLOOKUP($F12,'Visu totale'!$D$3:$DT$129,BF$1,0)</f>
        <v>0</v>
      </c>
      <c r="BG12" s="13">
        <f>VLOOKUP($F12,'Visu totale'!$D$3:$DT$129,BG$1,0)</f>
        <v>0</v>
      </c>
      <c r="BH12" s="13">
        <f>VLOOKUP($F12,'Visu totale'!$D$3:$DT$129,BH$1,0)</f>
        <v>0</v>
      </c>
      <c r="BI12" s="13">
        <f>VLOOKUP($F12,'Visu totale'!$D$3:$DT$129,BI$1,0)</f>
        <v>0</v>
      </c>
      <c r="BJ12" s="13">
        <f>VLOOKUP($F12,'Visu totale'!$D$3:$DT$129,BJ$1,0)</f>
        <v>0</v>
      </c>
      <c r="BK12" s="13">
        <f>VLOOKUP($F12,'Visu totale'!$D$3:$DT$129,BK$1,0)</f>
        <v>0</v>
      </c>
      <c r="BL12" s="13">
        <f>VLOOKUP($F12,'Visu totale'!$D$3:$DT$129,BL$1,0)</f>
        <v>0</v>
      </c>
      <c r="BM12" s="13">
        <f>VLOOKUP($F12,'Visu totale'!$D$3:$DT$129,BM$1,0)</f>
        <v>0</v>
      </c>
      <c r="BN12" s="15">
        <f>VLOOKUP($F12,'Visu totale'!$D$3:$DT$129,BN$1,0)</f>
        <v>0</v>
      </c>
      <c r="BO12" s="14">
        <f>VLOOKUP($F12,'Visu totale'!$D$3:$DT$129,BO$1,0)</f>
        <v>0</v>
      </c>
      <c r="BP12" s="13">
        <f>VLOOKUP($F12,'Visu totale'!$D$3:$DT$129,BP$1,0)</f>
        <v>0</v>
      </c>
      <c r="BQ12" s="13">
        <f>VLOOKUP($F12,'Visu totale'!$D$3:$DT$129,BQ$1,0)</f>
        <v>0</v>
      </c>
      <c r="BR12" s="13">
        <f>VLOOKUP($F12,'Visu totale'!$D$3:$DT$129,BR$1,0)</f>
        <v>0</v>
      </c>
      <c r="BS12" s="13">
        <f>VLOOKUP($F12,'Visu totale'!$D$3:$DT$129,BS$1,0)</f>
        <v>0</v>
      </c>
      <c r="BT12" s="13">
        <f>VLOOKUP($F12,'Visu totale'!$D$3:$DT$129,BT$1,0)</f>
        <v>0</v>
      </c>
      <c r="BU12" s="13">
        <f>VLOOKUP($F12,'Visu totale'!$D$3:$DT$129,BU$1,0)</f>
        <v>0</v>
      </c>
      <c r="BV12" s="13">
        <f>VLOOKUP($F12,'Visu totale'!$D$3:$DT$129,BV$1,0)</f>
        <v>0</v>
      </c>
      <c r="BW12" s="13">
        <f>VLOOKUP($F12,'Visu totale'!$D$3:$DT$129,BW$1,0)</f>
        <v>0</v>
      </c>
      <c r="BX12" s="13">
        <f>VLOOKUP($F12,'Visu totale'!$D$3:$DT$129,BX$1,0)</f>
        <v>0</v>
      </c>
      <c r="BY12" s="13">
        <f>VLOOKUP($F12,'Visu totale'!$D$3:$DT$129,BY$1,0)</f>
        <v>0</v>
      </c>
      <c r="BZ12" s="15">
        <f>VLOOKUP($F12,'Visu totale'!$D$3:$DT$129,BZ$1,0)</f>
        <v>0</v>
      </c>
      <c r="CA12" s="14">
        <f>VLOOKUP($F12,'Visu totale'!$D$3:$DT$129,CA$1,0)</f>
        <v>0</v>
      </c>
      <c r="CB12" s="13">
        <f>VLOOKUP($F12,'Visu totale'!$D$3:$DT$129,CB$1,0)</f>
        <v>0</v>
      </c>
      <c r="CC12" s="13">
        <f>VLOOKUP($F12,'Visu totale'!$D$3:$DT$129,CC$1,0)</f>
        <v>0</v>
      </c>
      <c r="CD12" s="13">
        <f>VLOOKUP($F12,'Visu totale'!$D$3:$DT$129,CD$1,0)</f>
        <v>0</v>
      </c>
      <c r="CE12" s="13">
        <f>VLOOKUP($F12,'Visu totale'!$D$3:$DT$129,CE$1,0)</f>
        <v>0</v>
      </c>
      <c r="CF12" s="13">
        <f>VLOOKUP($F12,'Visu totale'!$D$3:$DT$129,CF$1,0)</f>
        <v>0</v>
      </c>
      <c r="CG12" s="13">
        <f>VLOOKUP($F12,'Visu totale'!$D$3:$DT$129,CG$1,0)</f>
        <v>0</v>
      </c>
      <c r="CH12" s="13">
        <f>VLOOKUP($F12,'Visu totale'!$D$3:$DT$129,CH$1,0)</f>
        <v>0</v>
      </c>
      <c r="CI12" s="13">
        <f>VLOOKUP($F12,'Visu totale'!$D$3:$DT$129,CI$1,0)</f>
        <v>0</v>
      </c>
      <c r="CJ12" s="13">
        <f>VLOOKUP($F12,'Visu totale'!$D$3:$DT$129,CJ$1,0)</f>
        <v>0</v>
      </c>
      <c r="CK12" s="13">
        <f>VLOOKUP($F12,'Visu totale'!$D$3:$DT$129,CK$1,0)</f>
        <v>0</v>
      </c>
      <c r="CL12" s="15">
        <f>VLOOKUP($F12,'Visu totale'!$D$3:$DT$129,CL$1,0)</f>
        <v>0</v>
      </c>
      <c r="CM12" s="14">
        <f>VLOOKUP($F12,'Visu totale'!$D$3:$DT$129,CM$1,0)</f>
        <v>0</v>
      </c>
      <c r="CN12" s="13">
        <f>VLOOKUP($F12,'Visu totale'!$D$3:$DT$129,CN$1,0)</f>
        <v>0</v>
      </c>
      <c r="CO12" s="13">
        <f>VLOOKUP($F12,'Visu totale'!$D$3:$DT$129,CO$1,0)</f>
        <v>0</v>
      </c>
      <c r="CP12" s="13">
        <f>VLOOKUP($F12,'Visu totale'!$D$3:$DT$129,CP$1,0)</f>
        <v>0</v>
      </c>
      <c r="CQ12" s="13">
        <f>VLOOKUP($F12,'Visu totale'!$D$3:$DT$129,CQ$1,0)</f>
        <v>0</v>
      </c>
      <c r="CR12" s="13">
        <f>VLOOKUP($F12,'Visu totale'!$D$3:$DT$129,CR$1,0)</f>
        <v>0</v>
      </c>
      <c r="CS12" s="13">
        <f>VLOOKUP($F12,'Visu totale'!$D$3:$DT$129,CS$1,0)</f>
        <v>0</v>
      </c>
      <c r="CT12" s="13">
        <f>VLOOKUP($F12,'Visu totale'!$D$3:$DT$129,CT$1,0)</f>
        <v>0</v>
      </c>
      <c r="CU12" s="13">
        <f>VLOOKUP($F12,'Visu totale'!$D$3:$DT$129,CU$1,0)</f>
        <v>0</v>
      </c>
      <c r="CV12" s="13">
        <f>VLOOKUP($F12,'Visu totale'!$D$3:$DT$129,CV$1,0)</f>
        <v>0</v>
      </c>
      <c r="CW12" s="13">
        <f>VLOOKUP($F12,'Visu totale'!$D$3:$DT$129,CW$1,0)</f>
        <v>0</v>
      </c>
      <c r="CX12" s="15">
        <f>VLOOKUP($F12,'Visu totale'!$D$3:$DT$129,CX$1,0)</f>
        <v>0</v>
      </c>
      <c r="CY12" s="14">
        <f>VLOOKUP($F12,'Visu totale'!$D$3:$DT$129,CY$1,0)</f>
        <v>0</v>
      </c>
      <c r="CZ12" s="13">
        <f>VLOOKUP($F12,'Visu totale'!$D$3:$DT$129,CZ$1,0)</f>
        <v>0</v>
      </c>
      <c r="DA12" s="13">
        <f>VLOOKUP($F12,'Visu totale'!$D$3:$DT$129,DA$1,0)</f>
        <v>0</v>
      </c>
      <c r="DB12" s="13">
        <f>VLOOKUP($F12,'Visu totale'!$D$3:$DT$129,DB$1,0)</f>
        <v>0</v>
      </c>
      <c r="DC12" s="13">
        <f>VLOOKUP($F12,'Visu totale'!$D$3:$DT$129,DC$1,0)</f>
        <v>0</v>
      </c>
      <c r="DD12" s="13">
        <f>VLOOKUP($F12,'Visu totale'!$D$3:$DT$129,DD$1,0)</f>
        <v>0</v>
      </c>
      <c r="DE12" s="13">
        <f>VLOOKUP($F12,'Visu totale'!$D$3:$DT$129,DE$1,0)</f>
        <v>0</v>
      </c>
      <c r="DF12" s="13">
        <f>VLOOKUP($F12,'Visu totale'!$D$3:$DT$129,DF$1,0)</f>
        <v>0</v>
      </c>
      <c r="DG12" s="13">
        <f>VLOOKUP($F12,'Visu totale'!$D$3:$DT$129,DG$1,0)</f>
        <v>0</v>
      </c>
      <c r="DH12" s="13">
        <f>VLOOKUP($F12,'Visu totale'!$D$3:$DT$129,DH$1,0)</f>
        <v>0</v>
      </c>
      <c r="DI12" s="13">
        <f>VLOOKUP($F12,'Visu totale'!$D$3:$DT$129,DI$1,0)</f>
        <v>0</v>
      </c>
      <c r="DJ12" s="15">
        <f>VLOOKUP($F12,'Visu totale'!$D$3:$DT$129,DJ$1,0)</f>
        <v>0</v>
      </c>
      <c r="DK12" s="14">
        <f>VLOOKUP($F12,'Visu totale'!$D$3:$DT$129,DK$1,0)</f>
        <v>0</v>
      </c>
      <c r="DL12" s="13">
        <f>VLOOKUP($F12,'Visu totale'!$D$3:$DT$129,DL$1,0)</f>
        <v>0</v>
      </c>
      <c r="DM12" s="13">
        <f>VLOOKUP($F12,'Visu totale'!$D$3:$DT$129,DM$1,0)</f>
        <v>0</v>
      </c>
      <c r="DN12" s="13">
        <f>VLOOKUP($F12,'Visu totale'!$D$3:$DT$129,DN$1,0)</f>
        <v>0</v>
      </c>
      <c r="DO12" s="13">
        <f>VLOOKUP($F12,'Visu totale'!$D$3:$DT$129,DO$1,0)</f>
        <v>0</v>
      </c>
      <c r="DP12" s="13">
        <f>VLOOKUP($F12,'Visu totale'!$D$3:$DT$129,DP$1,0)</f>
        <v>0</v>
      </c>
      <c r="DQ12" s="13">
        <f>VLOOKUP($F12,'Visu totale'!$D$3:$DT$129,DQ$1,0)</f>
        <v>0</v>
      </c>
      <c r="DR12" s="13">
        <f>VLOOKUP($F12,'Visu totale'!$D$3:$DT$129,DR$1,0)</f>
        <v>0</v>
      </c>
      <c r="DS12" s="13">
        <f>VLOOKUP($F12,'Visu totale'!$D$3:$DT$129,DS$1,0)</f>
        <v>0</v>
      </c>
      <c r="DT12" s="13">
        <f>VLOOKUP($F12,'Visu totale'!$D$3:$DT$129,DT$1,0)</f>
        <v>0</v>
      </c>
      <c r="DU12" s="13">
        <f>VLOOKUP($F12,'Visu totale'!$D$3:$DT$129,DU$1,0)</f>
        <v>0</v>
      </c>
      <c r="DV12" s="15">
        <f>VLOOKUP($F12,'Visu totale'!$D$3:$DT$129,DV$1,0)</f>
        <v>0</v>
      </c>
    </row>
    <row r="13" spans="1:1489" s="12" customFormat="1" x14ac:dyDescent="0.25">
      <c r="A13" s="13"/>
      <c r="B13" s="13"/>
      <c r="C13" s="13"/>
      <c r="D13" s="13"/>
      <c r="E13" s="13"/>
      <c r="F13" s="17" t="s">
        <v>113</v>
      </c>
      <c r="G13" s="14">
        <f>VLOOKUP($F13,'Visu totale'!$D$3:$DT$129,G$1,0)</f>
        <v>0</v>
      </c>
      <c r="H13" s="13">
        <f>VLOOKUP($F13,'Visu totale'!$D$3:$DT$129,H$1,0)</f>
        <v>0</v>
      </c>
      <c r="I13" s="13">
        <f>VLOOKUP($F13,'Visu totale'!$D$3:$DT$129,I$1,0)</f>
        <v>0</v>
      </c>
      <c r="J13" s="13">
        <f>VLOOKUP($F13,'Visu totale'!$D$3:$DT$129,J$1,0)</f>
        <v>0</v>
      </c>
      <c r="K13" s="13">
        <f>VLOOKUP($F13,'Visu totale'!$D$3:$DT$129,K$1,0)</f>
        <v>0</v>
      </c>
      <c r="L13" s="13">
        <f>VLOOKUP($F13,'Visu totale'!$D$3:$DT$129,L$1,0)</f>
        <v>0</v>
      </c>
      <c r="M13" s="13">
        <f>VLOOKUP($F13,'Visu totale'!$D$3:$DT$129,M$1,0)</f>
        <v>0</v>
      </c>
      <c r="N13" s="13">
        <f>VLOOKUP($F13,'Visu totale'!$D$3:$DT$129,N$1,0)</f>
        <v>0</v>
      </c>
      <c r="O13" s="13">
        <f>VLOOKUP($F13,'Visu totale'!$D$3:$DT$129,O$1,0)</f>
        <v>0</v>
      </c>
      <c r="P13" s="13">
        <f>VLOOKUP($F13,'Visu totale'!$D$3:$DT$129,P$1,0)</f>
        <v>0</v>
      </c>
      <c r="Q13" s="13">
        <f>VLOOKUP($F13,'Visu totale'!$D$3:$DT$129,Q$1,0)</f>
        <v>0</v>
      </c>
      <c r="R13" s="15">
        <f>VLOOKUP($F13,'Visu totale'!$D$3:$DT$129,R$1,0)</f>
        <v>0</v>
      </c>
      <c r="S13" s="14">
        <f>VLOOKUP($F13,'Visu totale'!$D$3:$DT$129,S$1,0)</f>
        <v>0</v>
      </c>
      <c r="T13" s="13">
        <f>VLOOKUP($F13,'Visu totale'!$D$3:$DT$129,T$1,0)</f>
        <v>0</v>
      </c>
      <c r="U13" s="13">
        <f>VLOOKUP($F13,'Visu totale'!$D$3:$DT$129,U$1,0)</f>
        <v>0</v>
      </c>
      <c r="V13" s="13">
        <f>VLOOKUP($F13,'Visu totale'!$D$3:$DT$129,V$1,0)</f>
        <v>0</v>
      </c>
      <c r="W13" s="13">
        <f>VLOOKUP($F13,'Visu totale'!$D$3:$DT$129,W$1,0)</f>
        <v>0</v>
      </c>
      <c r="X13" s="13">
        <f>VLOOKUP($F13,'Visu totale'!$D$3:$DT$129,X$1,0)</f>
        <v>0</v>
      </c>
      <c r="Y13" s="13">
        <f>VLOOKUP($F13,'Visu totale'!$D$3:$DT$129,Y$1,0)</f>
        <v>0</v>
      </c>
      <c r="Z13" s="13">
        <f>VLOOKUP($F13,'Visu totale'!$D$3:$DT$129,Z$1,0)</f>
        <v>0</v>
      </c>
      <c r="AA13" s="13">
        <f>VLOOKUP($F13,'Visu totale'!$D$3:$DT$129,AA$1,0)</f>
        <v>0</v>
      </c>
      <c r="AB13" s="13">
        <f>VLOOKUP($F13,'Visu totale'!$D$3:$DT$129,AB$1,0)</f>
        <v>0</v>
      </c>
      <c r="AC13" s="13">
        <f>VLOOKUP($F13,'Visu totale'!$D$3:$DT$129,AC$1,0)</f>
        <v>0</v>
      </c>
      <c r="AD13" s="15">
        <f>VLOOKUP($F13,'Visu totale'!$D$3:$DT$129,AD$1,0)</f>
        <v>0</v>
      </c>
      <c r="AE13" s="14">
        <f>VLOOKUP($F13,'Visu totale'!$D$3:$DT$129,AE$1,0)</f>
        <v>0</v>
      </c>
      <c r="AF13" s="13">
        <f>VLOOKUP($F13,'Visu totale'!$D$3:$DT$129,AF$1,0)</f>
        <v>0</v>
      </c>
      <c r="AG13" s="13">
        <f>VLOOKUP($F13,'Visu totale'!$D$3:$DT$129,AG$1,0)</f>
        <v>0</v>
      </c>
      <c r="AH13" s="13">
        <f>VLOOKUP($F13,'Visu totale'!$D$3:$DT$129,AH$1,0)</f>
        <v>0</v>
      </c>
      <c r="AI13" s="13">
        <f>VLOOKUP($F13,'Visu totale'!$D$3:$DT$129,AI$1,0)</f>
        <v>0</v>
      </c>
      <c r="AJ13" s="13">
        <f>VLOOKUP($F13,'Visu totale'!$D$3:$DT$129,AJ$1,0)</f>
        <v>0</v>
      </c>
      <c r="AK13" s="13">
        <f>VLOOKUP($F13,'Visu totale'!$D$3:$DT$129,AK$1,0)</f>
        <v>0</v>
      </c>
      <c r="AL13" s="13">
        <f>VLOOKUP($F13,'Visu totale'!$D$3:$DT$129,AL$1,0)</f>
        <v>0</v>
      </c>
      <c r="AM13" s="13">
        <f>VLOOKUP($F13,'Visu totale'!$D$3:$DT$129,AM$1,0)</f>
        <v>0</v>
      </c>
      <c r="AN13" s="13">
        <f>VLOOKUP($F13,'Visu totale'!$D$3:$DT$129,AN$1,0)</f>
        <v>0</v>
      </c>
      <c r="AO13" s="13">
        <f>VLOOKUP($F13,'Visu totale'!$D$3:$DT$129,AO$1,0)</f>
        <v>0</v>
      </c>
      <c r="AP13" s="15">
        <f>VLOOKUP($F13,'Visu totale'!$D$3:$DT$129,AP$1,0)</f>
        <v>0</v>
      </c>
      <c r="AQ13" s="14">
        <f>VLOOKUP($F13,'Visu totale'!$D$3:$DT$129,AQ$1,0)</f>
        <v>0</v>
      </c>
      <c r="AR13" s="13">
        <f>VLOOKUP($F13,'Visu totale'!$D$3:$DT$129,AR$1,0)</f>
        <v>0</v>
      </c>
      <c r="AS13" s="13">
        <f>VLOOKUP($F13,'Visu totale'!$D$3:$DT$129,AS$1,0)</f>
        <v>0</v>
      </c>
      <c r="AT13" s="13">
        <f>VLOOKUP($F13,'Visu totale'!$D$3:$DT$129,AT$1,0)</f>
        <v>0</v>
      </c>
      <c r="AU13" s="13">
        <f>VLOOKUP($F13,'Visu totale'!$D$3:$DT$129,AU$1,0)</f>
        <v>0</v>
      </c>
      <c r="AV13" s="13">
        <f>VLOOKUP($F13,'Visu totale'!$D$3:$DT$129,AV$1,0)</f>
        <v>0</v>
      </c>
      <c r="AW13" s="13">
        <f>VLOOKUP($F13,'Visu totale'!$D$3:$DT$129,AW$1,0)</f>
        <v>0</v>
      </c>
      <c r="AX13" s="13">
        <f>VLOOKUP($F13,'Visu totale'!$D$3:$DT$129,AX$1,0)</f>
        <v>0</v>
      </c>
      <c r="AY13" s="13">
        <f>VLOOKUP($F13,'Visu totale'!$D$3:$DT$129,AY$1,0)</f>
        <v>0</v>
      </c>
      <c r="AZ13" s="13">
        <f>VLOOKUP($F13,'Visu totale'!$D$3:$DT$129,AZ$1,0)</f>
        <v>0</v>
      </c>
      <c r="BA13" s="13">
        <f>VLOOKUP($F13,'Visu totale'!$D$3:$DT$129,BA$1,0)</f>
        <v>0</v>
      </c>
      <c r="BB13" s="15">
        <f>VLOOKUP($F13,'Visu totale'!$D$3:$DT$129,BB$1,0)</f>
        <v>0</v>
      </c>
      <c r="BC13" s="14">
        <f>VLOOKUP($F13,'Visu totale'!$D$3:$DT$129,BC$1,0)</f>
        <v>0</v>
      </c>
      <c r="BD13" s="13">
        <f>VLOOKUP($F13,'Visu totale'!$D$3:$DT$129,BD$1,0)</f>
        <v>0</v>
      </c>
      <c r="BE13" s="13">
        <f>VLOOKUP($F13,'Visu totale'!$D$3:$DT$129,BE$1,0)</f>
        <v>0</v>
      </c>
      <c r="BF13" s="13">
        <f>VLOOKUP($F13,'Visu totale'!$D$3:$DT$129,BF$1,0)</f>
        <v>0</v>
      </c>
      <c r="BG13" s="13">
        <f>VLOOKUP($F13,'Visu totale'!$D$3:$DT$129,BG$1,0)</f>
        <v>0</v>
      </c>
      <c r="BH13" s="13">
        <f>VLOOKUP($F13,'Visu totale'!$D$3:$DT$129,BH$1,0)</f>
        <v>0</v>
      </c>
      <c r="BI13" s="13">
        <f>VLOOKUP($F13,'Visu totale'!$D$3:$DT$129,BI$1,0)</f>
        <v>0</v>
      </c>
      <c r="BJ13" s="13">
        <f>VLOOKUP($F13,'Visu totale'!$D$3:$DT$129,BJ$1,0)</f>
        <v>0</v>
      </c>
      <c r="BK13" s="13">
        <f>VLOOKUP($F13,'Visu totale'!$D$3:$DT$129,BK$1,0)</f>
        <v>0</v>
      </c>
      <c r="BL13" s="13">
        <f>VLOOKUP($F13,'Visu totale'!$D$3:$DT$129,BL$1,0)</f>
        <v>0</v>
      </c>
      <c r="BM13" s="13">
        <f>VLOOKUP($F13,'Visu totale'!$D$3:$DT$129,BM$1,0)</f>
        <v>0</v>
      </c>
      <c r="BN13" s="15">
        <f>VLOOKUP($F13,'Visu totale'!$D$3:$DT$129,BN$1,0)</f>
        <v>0</v>
      </c>
      <c r="BO13" s="14">
        <f>VLOOKUP($F13,'Visu totale'!$D$3:$DT$129,BO$1,0)</f>
        <v>0</v>
      </c>
      <c r="BP13" s="13">
        <f>VLOOKUP($F13,'Visu totale'!$D$3:$DT$129,BP$1,0)</f>
        <v>0</v>
      </c>
      <c r="BQ13" s="13">
        <f>VLOOKUP($F13,'Visu totale'!$D$3:$DT$129,BQ$1,0)</f>
        <v>0</v>
      </c>
      <c r="BR13" s="13">
        <f>VLOOKUP($F13,'Visu totale'!$D$3:$DT$129,BR$1,0)</f>
        <v>0</v>
      </c>
      <c r="BS13" s="13">
        <f>VLOOKUP($F13,'Visu totale'!$D$3:$DT$129,BS$1,0)</f>
        <v>0</v>
      </c>
      <c r="BT13" s="13">
        <f>VLOOKUP($F13,'Visu totale'!$D$3:$DT$129,BT$1,0)</f>
        <v>0</v>
      </c>
      <c r="BU13" s="13">
        <f>VLOOKUP($F13,'Visu totale'!$D$3:$DT$129,BU$1,0)</f>
        <v>0</v>
      </c>
      <c r="BV13" s="13">
        <f>VLOOKUP($F13,'Visu totale'!$D$3:$DT$129,BV$1,0)</f>
        <v>0</v>
      </c>
      <c r="BW13" s="13">
        <f>VLOOKUP($F13,'Visu totale'!$D$3:$DT$129,BW$1,0)</f>
        <v>0</v>
      </c>
      <c r="BX13" s="13">
        <f>VLOOKUP($F13,'Visu totale'!$D$3:$DT$129,BX$1,0)</f>
        <v>0</v>
      </c>
      <c r="BY13" s="13">
        <f>VLOOKUP($F13,'Visu totale'!$D$3:$DT$129,BY$1,0)</f>
        <v>0</v>
      </c>
      <c r="BZ13" s="15">
        <f>VLOOKUP($F13,'Visu totale'!$D$3:$DT$129,BZ$1,0)</f>
        <v>0</v>
      </c>
      <c r="CA13" s="14">
        <f>VLOOKUP($F13,'Visu totale'!$D$3:$DT$129,CA$1,0)</f>
        <v>0</v>
      </c>
      <c r="CB13" s="13">
        <f>VLOOKUP($F13,'Visu totale'!$D$3:$DT$129,CB$1,0)</f>
        <v>0</v>
      </c>
      <c r="CC13" s="13">
        <f>VLOOKUP($F13,'Visu totale'!$D$3:$DT$129,CC$1,0)</f>
        <v>0</v>
      </c>
      <c r="CD13" s="13">
        <f>VLOOKUP($F13,'Visu totale'!$D$3:$DT$129,CD$1,0)</f>
        <v>0</v>
      </c>
      <c r="CE13" s="13">
        <f>VLOOKUP($F13,'Visu totale'!$D$3:$DT$129,CE$1,0)</f>
        <v>0</v>
      </c>
      <c r="CF13" s="13">
        <f>VLOOKUP($F13,'Visu totale'!$D$3:$DT$129,CF$1,0)</f>
        <v>0</v>
      </c>
      <c r="CG13" s="13">
        <f>VLOOKUP($F13,'Visu totale'!$D$3:$DT$129,CG$1,0)</f>
        <v>0</v>
      </c>
      <c r="CH13" s="13">
        <f>VLOOKUP($F13,'Visu totale'!$D$3:$DT$129,CH$1,0)</f>
        <v>0</v>
      </c>
      <c r="CI13" s="13">
        <f>VLOOKUP($F13,'Visu totale'!$D$3:$DT$129,CI$1,0)</f>
        <v>0</v>
      </c>
      <c r="CJ13" s="13">
        <f>VLOOKUP($F13,'Visu totale'!$D$3:$DT$129,CJ$1,0)</f>
        <v>0</v>
      </c>
      <c r="CK13" s="13">
        <f>VLOOKUP($F13,'Visu totale'!$D$3:$DT$129,CK$1,0)</f>
        <v>0</v>
      </c>
      <c r="CL13" s="15">
        <f>VLOOKUP($F13,'Visu totale'!$D$3:$DT$129,CL$1,0)</f>
        <v>0</v>
      </c>
      <c r="CM13" s="14">
        <f>VLOOKUP($F13,'Visu totale'!$D$3:$DT$129,CM$1,0)</f>
        <v>0</v>
      </c>
      <c r="CN13" s="13">
        <f>VLOOKUP($F13,'Visu totale'!$D$3:$DT$129,CN$1,0)</f>
        <v>0</v>
      </c>
      <c r="CO13" s="13">
        <f>VLOOKUP($F13,'Visu totale'!$D$3:$DT$129,CO$1,0)</f>
        <v>0</v>
      </c>
      <c r="CP13" s="13">
        <f>VLOOKUP($F13,'Visu totale'!$D$3:$DT$129,CP$1,0)</f>
        <v>0</v>
      </c>
      <c r="CQ13" s="13">
        <f>VLOOKUP($F13,'Visu totale'!$D$3:$DT$129,CQ$1,0)</f>
        <v>0</v>
      </c>
      <c r="CR13" s="13">
        <f>VLOOKUP($F13,'Visu totale'!$D$3:$DT$129,CR$1,0)</f>
        <v>0</v>
      </c>
      <c r="CS13" s="13">
        <f>VLOOKUP($F13,'Visu totale'!$D$3:$DT$129,CS$1,0)</f>
        <v>0</v>
      </c>
      <c r="CT13" s="13">
        <f>VLOOKUP($F13,'Visu totale'!$D$3:$DT$129,CT$1,0)</f>
        <v>0</v>
      </c>
      <c r="CU13" s="13">
        <f>VLOOKUP($F13,'Visu totale'!$D$3:$DT$129,CU$1,0)</f>
        <v>0</v>
      </c>
      <c r="CV13" s="13">
        <f>VLOOKUP($F13,'Visu totale'!$D$3:$DT$129,CV$1,0)</f>
        <v>0</v>
      </c>
      <c r="CW13" s="13">
        <f>VLOOKUP($F13,'Visu totale'!$D$3:$DT$129,CW$1,0)</f>
        <v>0</v>
      </c>
      <c r="CX13" s="15">
        <f>VLOOKUP($F13,'Visu totale'!$D$3:$DT$129,CX$1,0)</f>
        <v>0</v>
      </c>
      <c r="CY13" s="14">
        <f>VLOOKUP($F13,'Visu totale'!$D$3:$DT$129,CY$1,0)</f>
        <v>0</v>
      </c>
      <c r="CZ13" s="13">
        <f>VLOOKUP($F13,'Visu totale'!$D$3:$DT$129,CZ$1,0)</f>
        <v>0</v>
      </c>
      <c r="DA13" s="13">
        <f>VLOOKUP($F13,'Visu totale'!$D$3:$DT$129,DA$1,0)</f>
        <v>0</v>
      </c>
      <c r="DB13" s="13">
        <f>VLOOKUP($F13,'Visu totale'!$D$3:$DT$129,DB$1,0)</f>
        <v>0</v>
      </c>
      <c r="DC13" s="13">
        <f>VLOOKUP($F13,'Visu totale'!$D$3:$DT$129,DC$1,0)</f>
        <v>0</v>
      </c>
      <c r="DD13" s="13">
        <f>VLOOKUP($F13,'Visu totale'!$D$3:$DT$129,DD$1,0)</f>
        <v>0</v>
      </c>
      <c r="DE13" s="13">
        <f>VLOOKUP($F13,'Visu totale'!$D$3:$DT$129,DE$1,0)</f>
        <v>0</v>
      </c>
      <c r="DF13" s="13">
        <f>VLOOKUP($F13,'Visu totale'!$D$3:$DT$129,DF$1,0)</f>
        <v>0</v>
      </c>
      <c r="DG13" s="13">
        <f>VLOOKUP($F13,'Visu totale'!$D$3:$DT$129,DG$1,0)</f>
        <v>0</v>
      </c>
      <c r="DH13" s="13">
        <f>VLOOKUP($F13,'Visu totale'!$D$3:$DT$129,DH$1,0)</f>
        <v>0</v>
      </c>
      <c r="DI13" s="13">
        <f>VLOOKUP($F13,'Visu totale'!$D$3:$DT$129,DI$1,0)</f>
        <v>0</v>
      </c>
      <c r="DJ13" s="15">
        <f>VLOOKUP($F13,'Visu totale'!$D$3:$DT$129,DJ$1,0)</f>
        <v>0</v>
      </c>
      <c r="DK13" s="14">
        <f>VLOOKUP($F13,'Visu totale'!$D$3:$DT$129,DK$1,0)</f>
        <v>0</v>
      </c>
      <c r="DL13" s="13">
        <f>VLOOKUP($F13,'Visu totale'!$D$3:$DT$129,DL$1,0)</f>
        <v>0</v>
      </c>
      <c r="DM13" s="13">
        <f>VLOOKUP($F13,'Visu totale'!$D$3:$DT$129,DM$1,0)</f>
        <v>0</v>
      </c>
      <c r="DN13" s="13">
        <f>VLOOKUP($F13,'Visu totale'!$D$3:$DT$129,DN$1,0)</f>
        <v>0</v>
      </c>
      <c r="DO13" s="13">
        <f>VLOOKUP($F13,'Visu totale'!$D$3:$DT$129,DO$1,0)</f>
        <v>0</v>
      </c>
      <c r="DP13" s="13">
        <f>VLOOKUP($F13,'Visu totale'!$D$3:$DT$129,DP$1,0)</f>
        <v>0</v>
      </c>
      <c r="DQ13" s="13">
        <f>VLOOKUP($F13,'Visu totale'!$D$3:$DT$129,DQ$1,0)</f>
        <v>0</v>
      </c>
      <c r="DR13" s="13">
        <f>VLOOKUP($F13,'Visu totale'!$D$3:$DT$129,DR$1,0)</f>
        <v>0</v>
      </c>
      <c r="DS13" s="13">
        <f>VLOOKUP($F13,'Visu totale'!$D$3:$DT$129,DS$1,0)</f>
        <v>0</v>
      </c>
      <c r="DT13" s="13">
        <f>VLOOKUP($F13,'Visu totale'!$D$3:$DT$129,DT$1,0)</f>
        <v>0</v>
      </c>
      <c r="DU13" s="13">
        <f>VLOOKUP($F13,'Visu totale'!$D$3:$DT$129,DU$1,0)</f>
        <v>0</v>
      </c>
      <c r="DV13" s="15">
        <f>VLOOKUP($F13,'Visu totale'!$D$3:$DT$129,DV$1,0)</f>
        <v>0</v>
      </c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  <c r="EJ13" s="20"/>
      <c r="EK13" s="20"/>
      <c r="EL13" s="20"/>
      <c r="EM13" s="20"/>
      <c r="EN13" s="20"/>
      <c r="EO13" s="20"/>
      <c r="EP13" s="20"/>
      <c r="EQ13" s="20"/>
      <c r="ER13" s="20"/>
      <c r="ES13" s="20"/>
      <c r="ET13" s="20"/>
      <c r="EU13" s="20"/>
      <c r="EV13" s="20"/>
      <c r="EW13" s="20"/>
      <c r="EX13" s="20"/>
      <c r="EY13" s="20"/>
      <c r="EZ13" s="20"/>
      <c r="FA13" s="20"/>
      <c r="FB13" s="20"/>
      <c r="FC13" s="20"/>
      <c r="FD13" s="20"/>
      <c r="FE13" s="20"/>
      <c r="FF13" s="20"/>
      <c r="FG13" s="20"/>
      <c r="FH13" s="20"/>
      <c r="FI13" s="20"/>
      <c r="FJ13" s="20"/>
      <c r="FK13" s="20"/>
      <c r="FL13" s="20"/>
      <c r="FM13" s="20"/>
      <c r="FN13" s="20"/>
      <c r="FO13" s="20"/>
      <c r="FP13" s="20"/>
      <c r="FQ13" s="20"/>
      <c r="FR13" s="20"/>
      <c r="FS13" s="20"/>
      <c r="FT13" s="20"/>
      <c r="FU13" s="20"/>
      <c r="FV13" s="20"/>
      <c r="FW13" s="20"/>
      <c r="FX13" s="20"/>
      <c r="FY13" s="20"/>
      <c r="FZ13" s="20"/>
      <c r="GA13" s="20"/>
      <c r="GB13" s="20"/>
      <c r="GC13" s="20"/>
      <c r="GD13" s="20"/>
      <c r="GE13" s="20"/>
      <c r="GF13" s="20"/>
      <c r="GG13" s="20"/>
      <c r="GH13" s="20"/>
      <c r="GI13" s="20"/>
      <c r="GJ13" s="20"/>
      <c r="GK13" s="20"/>
      <c r="GL13" s="20"/>
      <c r="GM13" s="20"/>
      <c r="GN13" s="20"/>
      <c r="GO13" s="20"/>
      <c r="GP13" s="20"/>
      <c r="GQ13" s="20"/>
      <c r="GR13" s="20"/>
      <c r="GS13" s="20"/>
      <c r="GT13" s="20"/>
      <c r="GU13" s="20"/>
      <c r="GV13" s="20"/>
      <c r="GW13" s="20"/>
      <c r="GX13" s="20"/>
      <c r="GY13" s="20"/>
      <c r="GZ13" s="20"/>
      <c r="HA13" s="20"/>
      <c r="HB13" s="20"/>
      <c r="HC13" s="20"/>
      <c r="HD13" s="20"/>
      <c r="HE13" s="20"/>
      <c r="HF13" s="20"/>
      <c r="HG13" s="20"/>
      <c r="HH13" s="20"/>
      <c r="HI13" s="20"/>
      <c r="HJ13" s="20"/>
      <c r="HK13" s="20"/>
      <c r="HL13" s="20"/>
      <c r="HM13" s="20"/>
      <c r="HN13" s="20"/>
      <c r="HO13" s="20"/>
      <c r="HP13" s="20"/>
      <c r="HQ13" s="20"/>
      <c r="HR13" s="20"/>
      <c r="HS13" s="20"/>
      <c r="HT13" s="20"/>
      <c r="HU13" s="20"/>
      <c r="HV13" s="20"/>
      <c r="HW13" s="20"/>
      <c r="HX13" s="20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20"/>
      <c r="IK13" s="20"/>
      <c r="IL13" s="20"/>
      <c r="IM13" s="20"/>
      <c r="IN13" s="20"/>
      <c r="IO13" s="20"/>
      <c r="IP13" s="20"/>
      <c r="IQ13" s="20"/>
      <c r="IR13" s="20"/>
      <c r="IS13" s="20"/>
      <c r="IT13" s="20"/>
      <c r="IU13" s="20"/>
      <c r="IV13" s="20"/>
      <c r="IW13" s="20"/>
      <c r="IX13" s="20"/>
      <c r="IY13" s="20"/>
      <c r="IZ13" s="20"/>
      <c r="JA13" s="20"/>
      <c r="JB13" s="20"/>
      <c r="JC13" s="20"/>
      <c r="JD13" s="20"/>
      <c r="JE13" s="20"/>
      <c r="JF13" s="20"/>
      <c r="JG13" s="20"/>
      <c r="JH13" s="20"/>
      <c r="JI13" s="20"/>
      <c r="JJ13" s="20"/>
      <c r="JK13" s="20"/>
      <c r="JL13" s="20"/>
      <c r="JM13" s="20"/>
      <c r="JN13" s="20"/>
      <c r="JO13" s="20"/>
      <c r="JP13" s="20"/>
      <c r="JQ13" s="20"/>
      <c r="JR13" s="20"/>
      <c r="JS13" s="20"/>
      <c r="JT13" s="20"/>
      <c r="JU13" s="20"/>
      <c r="JV13" s="20"/>
      <c r="JW13" s="20"/>
      <c r="JX13" s="20"/>
      <c r="JY13" s="20"/>
      <c r="JZ13" s="20"/>
      <c r="KA13" s="20"/>
      <c r="KB13" s="20"/>
      <c r="KC13" s="20"/>
      <c r="KD13" s="20"/>
      <c r="KE13" s="20"/>
      <c r="KF13" s="20"/>
      <c r="KG13" s="20"/>
      <c r="KH13" s="20"/>
      <c r="KI13" s="20"/>
      <c r="KJ13" s="20"/>
      <c r="KK13" s="20"/>
      <c r="KL13" s="20"/>
      <c r="KM13" s="20"/>
      <c r="KN13" s="20"/>
      <c r="KO13" s="20"/>
      <c r="KP13" s="20"/>
      <c r="KQ13" s="20"/>
      <c r="KR13" s="20"/>
      <c r="KS13" s="20"/>
      <c r="KT13" s="20"/>
      <c r="KU13" s="20"/>
      <c r="KV13" s="20"/>
      <c r="KW13" s="20"/>
      <c r="KX13" s="20"/>
      <c r="KY13" s="20"/>
      <c r="KZ13" s="20"/>
      <c r="LA13" s="20"/>
      <c r="LB13" s="20"/>
      <c r="LC13" s="20"/>
      <c r="LD13" s="20"/>
      <c r="LE13" s="20"/>
      <c r="LF13" s="20"/>
      <c r="LG13" s="20"/>
      <c r="LH13" s="20"/>
      <c r="LI13" s="20"/>
      <c r="LJ13" s="20"/>
      <c r="LK13" s="20"/>
      <c r="LL13" s="20"/>
      <c r="LM13" s="20"/>
      <c r="LN13" s="20"/>
      <c r="LO13" s="20"/>
      <c r="LP13" s="20"/>
      <c r="LQ13" s="20"/>
      <c r="LR13" s="20"/>
      <c r="LS13" s="20"/>
      <c r="LT13" s="20"/>
      <c r="LU13" s="20"/>
      <c r="LV13" s="20"/>
      <c r="LW13" s="20"/>
      <c r="LX13" s="20"/>
      <c r="LY13" s="20"/>
      <c r="LZ13" s="20"/>
      <c r="MA13" s="20"/>
      <c r="MB13" s="20"/>
      <c r="MC13" s="20"/>
      <c r="MD13" s="20"/>
      <c r="ME13" s="20"/>
      <c r="MF13" s="20"/>
      <c r="MG13" s="20"/>
      <c r="MH13" s="20"/>
      <c r="MI13" s="20"/>
      <c r="MJ13" s="20"/>
      <c r="MK13" s="20"/>
      <c r="ML13" s="20"/>
      <c r="MM13" s="20"/>
      <c r="MN13" s="20"/>
      <c r="MO13" s="20"/>
      <c r="MP13" s="20"/>
      <c r="MQ13" s="20"/>
      <c r="MR13" s="20"/>
      <c r="MS13" s="20"/>
      <c r="MT13" s="20"/>
      <c r="MU13" s="20"/>
      <c r="MV13" s="20"/>
      <c r="MW13" s="20"/>
      <c r="MX13" s="20"/>
      <c r="MY13" s="20"/>
      <c r="MZ13" s="20"/>
      <c r="NA13" s="20"/>
      <c r="NB13" s="20"/>
      <c r="NC13" s="20"/>
      <c r="ND13" s="20"/>
      <c r="NE13" s="20"/>
      <c r="NF13" s="20"/>
      <c r="NG13" s="20"/>
      <c r="NH13" s="20"/>
      <c r="NI13" s="20"/>
      <c r="NJ13" s="20"/>
      <c r="NK13" s="20"/>
      <c r="NL13" s="20"/>
      <c r="NM13" s="20"/>
      <c r="NN13" s="20"/>
      <c r="NO13" s="20"/>
      <c r="NP13" s="20"/>
      <c r="NQ13" s="20"/>
      <c r="NR13" s="20"/>
      <c r="NS13" s="20"/>
      <c r="NT13" s="20"/>
      <c r="NU13" s="20"/>
      <c r="NV13" s="20"/>
      <c r="NW13" s="20"/>
      <c r="NX13" s="20"/>
      <c r="NY13" s="20"/>
      <c r="NZ13" s="20"/>
      <c r="OA13" s="20"/>
      <c r="OB13" s="20"/>
      <c r="OC13" s="20"/>
      <c r="OD13" s="20"/>
      <c r="OE13" s="20"/>
      <c r="OF13" s="20"/>
      <c r="OG13" s="20"/>
      <c r="OH13" s="20"/>
      <c r="OI13" s="20"/>
      <c r="OJ13" s="20"/>
      <c r="OK13" s="20"/>
      <c r="OL13" s="20"/>
      <c r="OM13" s="20"/>
      <c r="ON13" s="20"/>
      <c r="OO13" s="20"/>
      <c r="OP13" s="20"/>
      <c r="OQ13" s="20"/>
      <c r="OR13" s="20"/>
      <c r="OS13" s="20"/>
      <c r="OT13" s="20"/>
      <c r="OU13" s="20"/>
      <c r="OV13" s="20"/>
      <c r="OW13" s="20"/>
      <c r="OX13" s="20"/>
      <c r="OY13" s="20"/>
      <c r="OZ13" s="20"/>
      <c r="PA13" s="20"/>
      <c r="PB13" s="20"/>
      <c r="PC13" s="20"/>
      <c r="PD13" s="20"/>
      <c r="PE13" s="20"/>
      <c r="PF13" s="20"/>
      <c r="PG13" s="20"/>
      <c r="PH13" s="20"/>
      <c r="PI13" s="20"/>
      <c r="PJ13" s="20"/>
      <c r="PK13" s="20"/>
      <c r="PL13" s="20"/>
      <c r="PM13" s="20"/>
      <c r="PN13" s="20"/>
      <c r="PO13" s="20"/>
      <c r="PP13" s="20"/>
      <c r="PQ13" s="20"/>
      <c r="PR13" s="20"/>
      <c r="PS13" s="20"/>
      <c r="PT13" s="20"/>
      <c r="PU13" s="20"/>
      <c r="PV13" s="20"/>
      <c r="PW13" s="20"/>
      <c r="PX13" s="20"/>
      <c r="PY13" s="20"/>
      <c r="PZ13" s="20"/>
      <c r="QA13" s="20"/>
      <c r="QB13" s="20"/>
      <c r="QC13" s="20"/>
      <c r="QD13" s="20"/>
      <c r="QE13" s="20"/>
      <c r="QF13" s="20"/>
      <c r="QG13" s="20"/>
      <c r="QH13" s="20"/>
      <c r="QI13" s="20"/>
      <c r="QJ13" s="20"/>
      <c r="QK13" s="20"/>
      <c r="QL13" s="20"/>
      <c r="QM13" s="20"/>
      <c r="QN13" s="20"/>
      <c r="QO13" s="20"/>
      <c r="QP13" s="20"/>
      <c r="QQ13" s="20"/>
      <c r="QR13" s="20"/>
      <c r="QS13" s="20"/>
      <c r="QT13" s="20"/>
      <c r="QU13" s="20"/>
      <c r="QV13" s="20"/>
      <c r="QW13" s="20"/>
      <c r="QX13" s="20"/>
      <c r="QY13" s="20"/>
      <c r="QZ13" s="20"/>
      <c r="RA13" s="20"/>
      <c r="RB13" s="20"/>
      <c r="RC13" s="20"/>
      <c r="RD13" s="20"/>
      <c r="RE13" s="20"/>
      <c r="RF13" s="20"/>
      <c r="RG13" s="20"/>
      <c r="RH13" s="20"/>
      <c r="RI13" s="20"/>
      <c r="RJ13" s="20"/>
      <c r="RK13" s="20"/>
      <c r="RL13" s="20"/>
      <c r="RM13" s="20"/>
      <c r="RN13" s="20"/>
      <c r="RO13" s="20"/>
      <c r="RP13" s="20"/>
      <c r="RQ13" s="20"/>
      <c r="RR13" s="20"/>
      <c r="RS13" s="20"/>
      <c r="RT13" s="20"/>
      <c r="RU13" s="20"/>
      <c r="RV13" s="20"/>
      <c r="RW13" s="20"/>
      <c r="RX13" s="20"/>
      <c r="RY13" s="20"/>
      <c r="RZ13" s="20"/>
      <c r="SA13" s="20"/>
      <c r="SB13" s="20"/>
      <c r="SC13" s="20"/>
      <c r="SD13" s="20"/>
      <c r="SE13" s="20"/>
      <c r="SF13" s="20"/>
      <c r="SG13" s="20"/>
      <c r="SH13" s="20"/>
      <c r="SI13" s="20"/>
      <c r="SJ13" s="20"/>
      <c r="SK13" s="20"/>
      <c r="SL13" s="20"/>
      <c r="SM13" s="20"/>
      <c r="SN13" s="20"/>
      <c r="SO13" s="20"/>
      <c r="SP13" s="20"/>
      <c r="SQ13" s="20"/>
      <c r="SR13" s="20"/>
      <c r="SS13" s="20"/>
      <c r="ST13" s="20"/>
      <c r="SU13" s="20"/>
      <c r="SV13" s="20"/>
      <c r="SW13" s="20"/>
      <c r="SX13" s="20"/>
      <c r="SY13" s="20"/>
      <c r="SZ13" s="20"/>
      <c r="TA13" s="20"/>
      <c r="TB13" s="20"/>
      <c r="TC13" s="20"/>
      <c r="TD13" s="20"/>
      <c r="TE13" s="20"/>
      <c r="TF13" s="20"/>
      <c r="TG13" s="20"/>
      <c r="TH13" s="20"/>
      <c r="TI13" s="20"/>
      <c r="TJ13" s="20"/>
      <c r="TK13" s="20"/>
      <c r="TL13" s="20"/>
      <c r="TM13" s="20"/>
      <c r="TN13" s="20"/>
      <c r="TO13" s="20"/>
      <c r="TP13" s="20"/>
      <c r="TQ13" s="20"/>
      <c r="TR13" s="20"/>
      <c r="TS13" s="20"/>
      <c r="TT13" s="20"/>
      <c r="TU13" s="20"/>
      <c r="TV13" s="20"/>
      <c r="TW13" s="20"/>
      <c r="TX13" s="20"/>
      <c r="TY13" s="20"/>
      <c r="TZ13" s="20"/>
      <c r="UA13" s="20"/>
      <c r="UB13" s="20"/>
      <c r="UC13" s="20"/>
      <c r="UD13" s="20"/>
      <c r="UE13" s="20"/>
      <c r="UF13" s="20"/>
      <c r="UG13" s="20"/>
      <c r="UH13" s="20"/>
      <c r="UI13" s="20"/>
      <c r="UJ13" s="20"/>
      <c r="UK13" s="20"/>
      <c r="UL13" s="20"/>
      <c r="UM13" s="20"/>
      <c r="UN13" s="20"/>
      <c r="UO13" s="20"/>
      <c r="UP13" s="20"/>
      <c r="UQ13" s="20"/>
      <c r="UR13" s="20"/>
      <c r="US13" s="20"/>
      <c r="UT13" s="20"/>
      <c r="UU13" s="20"/>
      <c r="UV13" s="20"/>
      <c r="UW13" s="20"/>
      <c r="UX13" s="20"/>
      <c r="UY13" s="20"/>
      <c r="UZ13" s="20"/>
      <c r="VA13" s="20"/>
      <c r="VB13" s="20"/>
      <c r="VC13" s="20"/>
      <c r="VD13" s="20"/>
      <c r="VE13" s="20"/>
      <c r="VF13" s="20"/>
      <c r="VG13" s="20"/>
      <c r="VH13" s="20"/>
      <c r="VI13" s="20"/>
      <c r="VJ13" s="20"/>
      <c r="VK13" s="20"/>
      <c r="VL13" s="20"/>
      <c r="VM13" s="20"/>
      <c r="VN13" s="20"/>
      <c r="VO13" s="20"/>
      <c r="VP13" s="20"/>
      <c r="VQ13" s="20"/>
      <c r="VR13" s="20"/>
      <c r="VS13" s="20"/>
      <c r="VT13" s="20"/>
      <c r="VU13" s="20"/>
      <c r="VV13" s="20"/>
      <c r="VW13" s="20"/>
      <c r="VX13" s="20"/>
      <c r="VY13" s="20"/>
      <c r="VZ13" s="20"/>
      <c r="WA13" s="20"/>
      <c r="WB13" s="20"/>
      <c r="WC13" s="20"/>
      <c r="WD13" s="20"/>
      <c r="WE13" s="20"/>
      <c r="WF13" s="20"/>
      <c r="WG13" s="20"/>
      <c r="WH13" s="20"/>
      <c r="WI13" s="20"/>
      <c r="WJ13" s="20"/>
      <c r="WK13" s="20"/>
      <c r="WL13" s="20"/>
      <c r="WM13" s="20"/>
      <c r="WN13" s="20"/>
      <c r="WO13" s="20"/>
      <c r="WP13" s="20"/>
      <c r="WQ13" s="20"/>
      <c r="WR13" s="20"/>
      <c r="WS13" s="20"/>
      <c r="WT13" s="20"/>
      <c r="WU13" s="20"/>
      <c r="WV13" s="20"/>
      <c r="WW13" s="20"/>
      <c r="WX13" s="20"/>
      <c r="WY13" s="20"/>
      <c r="WZ13" s="20"/>
      <c r="XA13" s="20"/>
      <c r="XB13" s="20"/>
      <c r="XC13" s="20"/>
      <c r="XD13" s="20"/>
      <c r="XE13" s="20"/>
      <c r="XF13" s="20"/>
      <c r="XG13" s="20"/>
      <c r="XH13" s="20"/>
      <c r="XI13" s="20"/>
      <c r="XJ13" s="20"/>
      <c r="XK13" s="20"/>
      <c r="XL13" s="20"/>
      <c r="XM13" s="20"/>
      <c r="XN13" s="20"/>
      <c r="XO13" s="20"/>
      <c r="XP13" s="20"/>
      <c r="XQ13" s="20"/>
      <c r="XR13" s="20"/>
      <c r="XS13" s="20"/>
      <c r="XT13" s="20"/>
      <c r="XU13" s="20"/>
      <c r="XV13" s="20"/>
      <c r="XW13" s="20"/>
      <c r="XX13" s="20"/>
      <c r="XY13" s="20"/>
      <c r="XZ13" s="20"/>
      <c r="YA13" s="20"/>
      <c r="YB13" s="20"/>
      <c r="YC13" s="20"/>
      <c r="YD13" s="20"/>
      <c r="YE13" s="20"/>
      <c r="YF13" s="20"/>
      <c r="YG13" s="20"/>
      <c r="YH13" s="20"/>
      <c r="YI13" s="20"/>
      <c r="YJ13" s="20"/>
      <c r="YK13" s="20"/>
      <c r="YL13" s="20"/>
      <c r="YM13" s="20"/>
      <c r="YN13" s="20"/>
      <c r="YO13" s="20"/>
      <c r="YP13" s="20"/>
      <c r="YQ13" s="20"/>
      <c r="YR13" s="20"/>
      <c r="YS13" s="20"/>
      <c r="YT13" s="20"/>
      <c r="YU13" s="20"/>
      <c r="YV13" s="20"/>
      <c r="YW13" s="20"/>
      <c r="YX13" s="20"/>
      <c r="YY13" s="20"/>
      <c r="YZ13" s="20"/>
      <c r="ZA13" s="20"/>
      <c r="ZB13" s="20"/>
      <c r="ZC13" s="20"/>
      <c r="ZD13" s="20"/>
      <c r="ZE13" s="20"/>
      <c r="ZF13" s="20"/>
      <c r="ZG13" s="20"/>
      <c r="ZH13" s="20"/>
      <c r="ZI13" s="20"/>
      <c r="ZJ13" s="20"/>
      <c r="ZK13" s="20"/>
      <c r="ZL13" s="20"/>
      <c r="ZM13" s="20"/>
      <c r="ZN13" s="20"/>
      <c r="ZO13" s="20"/>
      <c r="ZP13" s="20"/>
      <c r="ZQ13" s="20"/>
      <c r="ZR13" s="20"/>
      <c r="ZS13" s="20"/>
      <c r="ZT13" s="20"/>
      <c r="ZU13" s="20"/>
      <c r="ZV13" s="20"/>
      <c r="ZW13" s="20"/>
      <c r="ZX13" s="20"/>
      <c r="ZY13" s="20"/>
      <c r="ZZ13" s="20"/>
      <c r="AAA13" s="20"/>
      <c r="AAB13" s="20"/>
      <c r="AAC13" s="20"/>
      <c r="AAD13" s="20"/>
      <c r="AAE13" s="20"/>
      <c r="AAF13" s="20"/>
      <c r="AAG13" s="20"/>
      <c r="AAH13" s="20"/>
      <c r="AAI13" s="20"/>
      <c r="AAJ13" s="20"/>
      <c r="AAK13" s="20"/>
      <c r="AAL13" s="20"/>
      <c r="AAM13" s="20"/>
      <c r="AAN13" s="20"/>
      <c r="AAO13" s="20"/>
      <c r="AAP13" s="20"/>
      <c r="AAQ13" s="20"/>
      <c r="AAR13" s="20"/>
      <c r="AAS13" s="20"/>
      <c r="AAT13" s="20"/>
      <c r="AAU13" s="20"/>
      <c r="AAV13" s="20"/>
      <c r="AAW13" s="20"/>
      <c r="AAX13" s="20"/>
      <c r="AAY13" s="20"/>
      <c r="AAZ13" s="20"/>
      <c r="ABA13" s="20"/>
      <c r="ABB13" s="20"/>
      <c r="ABC13" s="20"/>
      <c r="ABD13" s="20"/>
      <c r="ABE13" s="20"/>
      <c r="ABF13" s="20"/>
      <c r="ABG13" s="20"/>
      <c r="ABH13" s="20"/>
      <c r="ABI13" s="20"/>
      <c r="ABJ13" s="20"/>
      <c r="ABK13" s="20"/>
      <c r="ABL13" s="20"/>
      <c r="ABM13" s="20"/>
      <c r="ABN13" s="20"/>
      <c r="ABO13" s="20"/>
      <c r="ABP13" s="20"/>
      <c r="ABQ13" s="20"/>
      <c r="ABR13" s="20"/>
      <c r="ABS13" s="20"/>
      <c r="ABT13" s="20"/>
      <c r="ABU13" s="20"/>
      <c r="ABV13" s="20"/>
      <c r="ABW13" s="20"/>
      <c r="ABX13" s="20"/>
      <c r="ABY13" s="20"/>
      <c r="ABZ13" s="20"/>
      <c r="ACA13" s="20"/>
      <c r="ACB13" s="20"/>
      <c r="ACC13" s="20"/>
      <c r="ACD13" s="20"/>
      <c r="ACE13" s="20"/>
      <c r="ACF13" s="20"/>
      <c r="ACG13" s="20"/>
      <c r="ACH13" s="20"/>
      <c r="ACI13" s="20"/>
      <c r="ACJ13" s="20"/>
      <c r="ACK13" s="20"/>
      <c r="ACL13" s="20"/>
      <c r="ACM13" s="20"/>
      <c r="ACN13" s="20"/>
      <c r="ACO13" s="20"/>
      <c r="ACP13" s="20"/>
      <c r="ACQ13" s="20"/>
      <c r="ACR13" s="20"/>
      <c r="ACS13" s="20"/>
      <c r="ACT13" s="20"/>
      <c r="ACU13" s="20"/>
      <c r="ACV13" s="20"/>
      <c r="ACW13" s="20"/>
      <c r="ACX13" s="20"/>
      <c r="ACY13" s="20"/>
      <c r="ACZ13" s="20"/>
      <c r="ADA13" s="20"/>
      <c r="ADB13" s="20"/>
      <c r="ADC13" s="20"/>
      <c r="ADD13" s="20"/>
      <c r="ADE13" s="20"/>
      <c r="ADF13" s="20"/>
      <c r="ADG13" s="20"/>
      <c r="ADH13" s="20"/>
      <c r="ADI13" s="20"/>
      <c r="ADJ13" s="20"/>
      <c r="ADK13" s="20"/>
      <c r="ADL13" s="20"/>
      <c r="ADM13" s="20"/>
      <c r="ADN13" s="20"/>
      <c r="ADO13" s="20"/>
      <c r="ADP13" s="20"/>
      <c r="ADQ13" s="20"/>
      <c r="ADR13" s="20"/>
      <c r="ADS13" s="20"/>
      <c r="ADT13" s="20"/>
      <c r="ADU13" s="20"/>
      <c r="ADV13" s="20"/>
      <c r="ADW13" s="20"/>
      <c r="ADX13" s="20"/>
      <c r="ADY13" s="20"/>
      <c r="ADZ13" s="20"/>
      <c r="AEA13" s="20"/>
      <c r="AEB13" s="20"/>
      <c r="AEC13" s="20"/>
      <c r="AED13" s="20"/>
      <c r="AEE13" s="20"/>
      <c r="AEF13" s="20"/>
      <c r="AEG13" s="20"/>
      <c r="AEH13" s="20"/>
      <c r="AEI13" s="20"/>
      <c r="AEJ13" s="20"/>
      <c r="AEK13" s="20"/>
      <c r="AEL13" s="20"/>
      <c r="AEM13" s="20"/>
      <c r="AEN13" s="20"/>
      <c r="AEO13" s="20"/>
      <c r="AEP13" s="20"/>
      <c r="AEQ13" s="20"/>
      <c r="AER13" s="20"/>
      <c r="AES13" s="20"/>
      <c r="AET13" s="20"/>
      <c r="AEU13" s="20"/>
      <c r="AEV13" s="20"/>
      <c r="AEW13" s="20"/>
      <c r="AEX13" s="20"/>
      <c r="AEY13" s="20"/>
      <c r="AEZ13" s="20"/>
      <c r="AFA13" s="20"/>
      <c r="AFB13" s="20"/>
      <c r="AFC13" s="20"/>
      <c r="AFD13" s="20"/>
      <c r="AFE13" s="20"/>
      <c r="AFF13" s="20"/>
      <c r="AFG13" s="20"/>
      <c r="AFH13" s="20"/>
      <c r="AFI13" s="20"/>
      <c r="AFJ13" s="20"/>
      <c r="AFK13" s="20"/>
      <c r="AFL13" s="20"/>
      <c r="AFM13" s="20"/>
      <c r="AFN13" s="20"/>
      <c r="AFO13" s="20"/>
      <c r="AFP13" s="20"/>
      <c r="AFQ13" s="20"/>
      <c r="AFR13" s="20"/>
      <c r="AFS13" s="20"/>
      <c r="AFT13" s="20"/>
      <c r="AFU13" s="20"/>
      <c r="AFV13" s="20"/>
      <c r="AFW13" s="20"/>
      <c r="AFX13" s="20"/>
      <c r="AFY13" s="20"/>
      <c r="AFZ13" s="20"/>
      <c r="AGA13" s="20"/>
      <c r="AGB13" s="20"/>
      <c r="AGC13" s="20"/>
      <c r="AGD13" s="20"/>
      <c r="AGE13" s="20"/>
      <c r="AGF13" s="20"/>
      <c r="AGG13" s="20"/>
      <c r="AGH13" s="20"/>
      <c r="AGI13" s="20"/>
      <c r="AGJ13" s="20"/>
      <c r="AGK13" s="20"/>
      <c r="AGL13" s="20"/>
      <c r="AGM13" s="20"/>
      <c r="AGN13" s="20"/>
      <c r="AGO13" s="20"/>
      <c r="AGP13" s="20"/>
      <c r="AGQ13" s="20"/>
      <c r="AGR13" s="20"/>
      <c r="AGS13" s="20"/>
      <c r="AGT13" s="20"/>
      <c r="AGU13" s="20"/>
      <c r="AGV13" s="20"/>
      <c r="AGW13" s="20"/>
      <c r="AGX13" s="20"/>
      <c r="AGY13" s="20"/>
      <c r="AGZ13" s="20"/>
      <c r="AHA13" s="20"/>
      <c r="AHB13" s="20"/>
      <c r="AHC13" s="20"/>
      <c r="AHD13" s="20"/>
      <c r="AHE13" s="20"/>
      <c r="AHF13" s="20"/>
      <c r="AHG13" s="20"/>
      <c r="AHH13" s="20"/>
      <c r="AHI13" s="20"/>
      <c r="AHJ13" s="20"/>
      <c r="AHK13" s="20"/>
      <c r="AHL13" s="20"/>
      <c r="AHM13" s="20"/>
      <c r="AHN13" s="20"/>
      <c r="AHO13" s="20"/>
      <c r="AHP13" s="20"/>
      <c r="AHQ13" s="20"/>
      <c r="AHR13" s="20"/>
      <c r="AHS13" s="20"/>
      <c r="AHT13" s="20"/>
      <c r="AHU13" s="20"/>
      <c r="AHV13" s="20"/>
      <c r="AHW13" s="20"/>
      <c r="AHX13" s="20"/>
      <c r="AHY13" s="20"/>
      <c r="AHZ13" s="20"/>
      <c r="AIA13" s="20"/>
      <c r="AIB13" s="20"/>
      <c r="AIC13" s="20"/>
      <c r="AID13" s="20"/>
      <c r="AIE13" s="20"/>
      <c r="AIF13" s="20"/>
      <c r="AIG13" s="20"/>
      <c r="AIH13" s="20"/>
      <c r="AII13" s="20"/>
      <c r="AIJ13" s="20"/>
      <c r="AIK13" s="20"/>
      <c r="AIL13" s="20"/>
      <c r="AIM13" s="20"/>
      <c r="AIN13" s="20"/>
      <c r="AIO13" s="20"/>
      <c r="AIP13" s="20"/>
      <c r="AIQ13" s="20"/>
      <c r="AIR13" s="20"/>
      <c r="AIS13" s="20"/>
      <c r="AIT13" s="20"/>
      <c r="AIU13" s="20"/>
      <c r="AIV13" s="20"/>
      <c r="AIW13" s="20"/>
      <c r="AIX13" s="20"/>
      <c r="AIY13" s="20"/>
      <c r="AIZ13" s="20"/>
      <c r="AJA13" s="20"/>
      <c r="AJB13" s="20"/>
      <c r="AJC13" s="20"/>
      <c r="AJD13" s="20"/>
      <c r="AJE13" s="20"/>
      <c r="AJF13" s="20"/>
      <c r="AJG13" s="20"/>
      <c r="AJH13" s="20"/>
      <c r="AJI13" s="20"/>
      <c r="AJJ13" s="20"/>
      <c r="AJK13" s="20"/>
      <c r="AJL13" s="20"/>
      <c r="AJM13" s="20"/>
      <c r="AJN13" s="20"/>
      <c r="AJO13" s="20"/>
      <c r="AJP13" s="20"/>
      <c r="AJQ13" s="20"/>
      <c r="AJR13" s="20"/>
      <c r="AJS13" s="20"/>
      <c r="AJT13" s="20"/>
      <c r="AJU13" s="20"/>
      <c r="AJV13" s="20"/>
      <c r="AJW13" s="20"/>
      <c r="AJX13" s="20"/>
      <c r="AJY13" s="20"/>
      <c r="AJZ13" s="20"/>
      <c r="AKA13" s="20"/>
      <c r="AKB13" s="20"/>
      <c r="AKC13" s="20"/>
      <c r="AKD13" s="20"/>
      <c r="AKE13" s="20"/>
      <c r="AKF13" s="20"/>
      <c r="AKG13" s="20"/>
      <c r="AKH13" s="20"/>
      <c r="AKI13" s="20"/>
      <c r="AKJ13" s="20"/>
      <c r="AKK13" s="20"/>
      <c r="AKL13" s="20"/>
      <c r="AKM13" s="20"/>
      <c r="AKN13" s="20"/>
      <c r="AKO13" s="20"/>
      <c r="AKP13" s="20"/>
      <c r="AKQ13" s="20"/>
      <c r="AKR13" s="20"/>
      <c r="AKS13" s="20"/>
      <c r="AKT13" s="20"/>
      <c r="AKU13" s="20"/>
      <c r="AKV13" s="20"/>
      <c r="AKW13" s="20"/>
      <c r="AKX13" s="20"/>
      <c r="AKY13" s="20"/>
      <c r="AKZ13" s="20"/>
      <c r="ALA13" s="20"/>
      <c r="ALB13" s="20"/>
      <c r="ALC13" s="20"/>
      <c r="ALD13" s="20"/>
      <c r="ALE13" s="20"/>
      <c r="ALF13" s="20"/>
      <c r="ALG13" s="20"/>
      <c r="ALH13" s="20"/>
      <c r="ALI13" s="20"/>
      <c r="ALJ13" s="20"/>
      <c r="ALK13" s="20"/>
      <c r="ALL13" s="20"/>
      <c r="ALM13" s="20"/>
      <c r="ALN13" s="20"/>
      <c r="ALO13" s="20"/>
      <c r="ALP13" s="20"/>
      <c r="ALQ13" s="20"/>
      <c r="ALR13" s="20"/>
      <c r="ALS13" s="20"/>
      <c r="ALT13" s="20"/>
      <c r="ALU13" s="20"/>
      <c r="ALV13" s="20"/>
      <c r="ALW13" s="20"/>
      <c r="ALX13" s="20"/>
      <c r="ALY13" s="20"/>
      <c r="ALZ13" s="20"/>
      <c r="AMA13" s="20"/>
      <c r="AMB13" s="20"/>
      <c r="AMC13" s="20"/>
      <c r="AMD13" s="20"/>
      <c r="AME13" s="20"/>
      <c r="AMF13" s="20"/>
      <c r="AMG13" s="20"/>
      <c r="AMH13" s="20"/>
      <c r="AMI13" s="20"/>
      <c r="AMJ13" s="20"/>
      <c r="AMK13" s="20"/>
      <c r="AML13" s="20"/>
      <c r="AMM13" s="20"/>
      <c r="AMN13" s="20"/>
      <c r="AMO13" s="20"/>
      <c r="AMP13" s="20"/>
      <c r="AMQ13" s="20"/>
      <c r="AMR13" s="20"/>
      <c r="AMS13" s="20"/>
      <c r="AMT13" s="20"/>
      <c r="AMU13" s="20"/>
      <c r="AMV13" s="20"/>
      <c r="AMW13" s="20"/>
      <c r="AMX13" s="20"/>
      <c r="AMY13" s="20"/>
      <c r="AMZ13" s="20"/>
      <c r="ANA13" s="20"/>
      <c r="ANB13" s="20"/>
      <c r="ANC13" s="20"/>
      <c r="AND13" s="20"/>
      <c r="ANE13" s="20"/>
      <c r="ANF13" s="20"/>
      <c r="ANG13" s="20"/>
      <c r="ANH13" s="20"/>
      <c r="ANI13" s="20"/>
      <c r="ANJ13" s="20"/>
      <c r="ANK13" s="20"/>
      <c r="ANL13" s="20"/>
      <c r="ANM13" s="20"/>
      <c r="ANN13" s="20"/>
      <c r="ANO13" s="20"/>
      <c r="ANP13" s="20"/>
      <c r="ANQ13" s="20"/>
      <c r="ANR13" s="20"/>
      <c r="ANS13" s="20"/>
      <c r="ANT13" s="20"/>
      <c r="ANU13" s="20"/>
      <c r="ANV13" s="20"/>
      <c r="ANW13" s="20"/>
      <c r="ANX13" s="20"/>
      <c r="ANY13" s="20"/>
      <c r="ANZ13" s="20"/>
      <c r="AOA13" s="20"/>
      <c r="AOB13" s="20"/>
      <c r="AOC13" s="20"/>
      <c r="AOD13" s="20"/>
      <c r="AOE13" s="20"/>
      <c r="AOF13" s="20"/>
      <c r="AOG13" s="20"/>
      <c r="AOH13" s="20"/>
      <c r="AOI13" s="20"/>
      <c r="AOJ13" s="20"/>
      <c r="AOK13" s="20"/>
      <c r="AOL13" s="20"/>
      <c r="AOM13" s="20"/>
      <c r="AON13" s="20"/>
      <c r="AOO13" s="20"/>
      <c r="AOP13" s="20"/>
      <c r="AOQ13" s="20"/>
      <c r="AOR13" s="20"/>
      <c r="AOS13" s="20"/>
      <c r="AOT13" s="20"/>
      <c r="AOU13" s="20"/>
      <c r="AOV13" s="20"/>
      <c r="AOW13" s="20"/>
      <c r="AOX13" s="20"/>
      <c r="AOY13" s="20"/>
      <c r="AOZ13" s="20"/>
      <c r="APA13" s="20"/>
      <c r="APB13" s="20"/>
      <c r="APC13" s="20"/>
      <c r="APD13" s="20"/>
      <c r="APE13" s="20"/>
      <c r="APF13" s="20"/>
      <c r="APG13" s="20"/>
      <c r="APH13" s="20"/>
      <c r="API13" s="20"/>
      <c r="APJ13" s="20"/>
      <c r="APK13" s="20"/>
      <c r="APL13" s="20"/>
      <c r="APM13" s="20"/>
      <c r="APN13" s="20"/>
      <c r="APO13" s="20"/>
      <c r="APP13" s="20"/>
      <c r="APQ13" s="20"/>
      <c r="APR13" s="20"/>
      <c r="APS13" s="20"/>
      <c r="APT13" s="20"/>
      <c r="APU13" s="20"/>
      <c r="APV13" s="20"/>
      <c r="APW13" s="20"/>
      <c r="APX13" s="20"/>
      <c r="APY13" s="20"/>
      <c r="APZ13" s="20"/>
      <c r="AQA13" s="20"/>
      <c r="AQB13" s="20"/>
      <c r="AQC13" s="20"/>
      <c r="AQD13" s="20"/>
      <c r="AQE13" s="20"/>
      <c r="AQF13" s="20"/>
      <c r="AQG13" s="20"/>
      <c r="AQH13" s="20"/>
      <c r="AQI13" s="20"/>
      <c r="AQJ13" s="20"/>
      <c r="AQK13" s="20"/>
      <c r="AQL13" s="20"/>
      <c r="AQM13" s="20"/>
      <c r="AQN13" s="20"/>
      <c r="AQO13" s="20"/>
      <c r="AQP13" s="20"/>
      <c r="AQQ13" s="20"/>
      <c r="AQR13" s="20"/>
      <c r="AQS13" s="20"/>
      <c r="AQT13" s="20"/>
      <c r="AQU13" s="20"/>
      <c r="AQV13" s="20"/>
      <c r="AQW13" s="20"/>
      <c r="AQX13" s="20"/>
      <c r="AQY13" s="20"/>
      <c r="AQZ13" s="20"/>
      <c r="ARA13" s="20"/>
      <c r="ARB13" s="20"/>
      <c r="ARC13" s="20"/>
      <c r="ARD13" s="20"/>
      <c r="ARE13" s="20"/>
      <c r="ARF13" s="20"/>
      <c r="ARG13" s="20"/>
      <c r="ARH13" s="20"/>
      <c r="ARI13" s="20"/>
      <c r="ARJ13" s="20"/>
      <c r="ARK13" s="20"/>
      <c r="ARL13" s="20"/>
      <c r="ARM13" s="20"/>
      <c r="ARN13" s="20"/>
      <c r="ARO13" s="20"/>
      <c r="ARP13" s="20"/>
      <c r="ARQ13" s="20"/>
      <c r="ARR13" s="20"/>
      <c r="ARS13" s="20"/>
      <c r="ART13" s="20"/>
      <c r="ARU13" s="20"/>
      <c r="ARV13" s="20"/>
      <c r="ARW13" s="20"/>
      <c r="ARX13" s="20"/>
      <c r="ARY13" s="20"/>
      <c r="ARZ13" s="20"/>
      <c r="ASA13" s="20"/>
      <c r="ASB13" s="20"/>
      <c r="ASC13" s="20"/>
      <c r="ASD13" s="20"/>
      <c r="ASE13" s="20"/>
      <c r="ASF13" s="20"/>
      <c r="ASG13" s="20"/>
      <c r="ASH13" s="20"/>
      <c r="ASI13" s="20"/>
      <c r="ASJ13" s="20"/>
      <c r="ASK13" s="20"/>
      <c r="ASL13" s="20"/>
      <c r="ASM13" s="20"/>
      <c r="ASN13" s="20"/>
      <c r="ASO13" s="20"/>
      <c r="ASP13" s="20"/>
      <c r="ASQ13" s="20"/>
      <c r="ASR13" s="20"/>
      <c r="ASS13" s="20"/>
      <c r="AST13" s="20"/>
      <c r="ASU13" s="20"/>
      <c r="ASV13" s="20"/>
      <c r="ASW13" s="20"/>
      <c r="ASX13" s="20"/>
      <c r="ASY13" s="20"/>
      <c r="ASZ13" s="20"/>
      <c r="ATA13" s="20"/>
      <c r="ATB13" s="20"/>
      <c r="ATC13" s="20"/>
      <c r="ATD13" s="20"/>
      <c r="ATE13" s="20"/>
      <c r="ATF13" s="20"/>
      <c r="ATG13" s="20"/>
      <c r="ATH13" s="20"/>
      <c r="ATI13" s="20"/>
      <c r="ATJ13" s="20"/>
      <c r="ATK13" s="20"/>
      <c r="ATL13" s="20"/>
      <c r="ATM13" s="20"/>
      <c r="ATN13" s="20"/>
      <c r="ATO13" s="20"/>
      <c r="ATP13" s="20"/>
      <c r="ATQ13" s="20"/>
      <c r="ATR13" s="20"/>
      <c r="ATS13" s="20"/>
      <c r="ATT13" s="20"/>
      <c r="ATU13" s="20"/>
      <c r="ATV13" s="20"/>
      <c r="ATW13" s="20"/>
      <c r="ATX13" s="20"/>
      <c r="ATY13" s="20"/>
      <c r="ATZ13" s="20"/>
      <c r="AUA13" s="20"/>
      <c r="AUB13" s="20"/>
      <c r="AUC13" s="20"/>
      <c r="AUD13" s="20"/>
      <c r="AUE13" s="20"/>
      <c r="AUF13" s="20"/>
      <c r="AUG13" s="20"/>
      <c r="AUH13" s="20"/>
      <c r="AUI13" s="20"/>
      <c r="AUJ13" s="20"/>
      <c r="AUK13" s="20"/>
      <c r="AUL13" s="20"/>
      <c r="AUM13" s="20"/>
      <c r="AUN13" s="20"/>
      <c r="AUO13" s="20"/>
      <c r="AUP13" s="20"/>
      <c r="AUQ13" s="20"/>
      <c r="AUR13" s="20"/>
      <c r="AUS13" s="20"/>
      <c r="AUT13" s="20"/>
      <c r="AUU13" s="20"/>
      <c r="AUV13" s="20"/>
      <c r="AUW13" s="20"/>
      <c r="AUX13" s="20"/>
      <c r="AUY13" s="20"/>
      <c r="AUZ13" s="20"/>
      <c r="AVA13" s="20"/>
      <c r="AVB13" s="20"/>
      <c r="AVC13" s="20"/>
      <c r="AVD13" s="20"/>
      <c r="AVE13" s="20"/>
      <c r="AVF13" s="20"/>
      <c r="AVG13" s="20"/>
      <c r="AVH13" s="20"/>
      <c r="AVI13" s="20"/>
      <c r="AVJ13" s="20"/>
      <c r="AVK13" s="20"/>
      <c r="AVL13" s="20"/>
      <c r="AVM13" s="20"/>
      <c r="AVN13" s="20"/>
      <c r="AVO13" s="20"/>
      <c r="AVP13" s="20"/>
      <c r="AVQ13" s="20"/>
      <c r="AVR13" s="20"/>
      <c r="AVS13" s="20"/>
      <c r="AVT13" s="20"/>
      <c r="AVU13" s="20"/>
      <c r="AVV13" s="20"/>
      <c r="AVW13" s="20"/>
      <c r="AVX13" s="20"/>
      <c r="AVY13" s="20"/>
      <c r="AVZ13" s="20"/>
      <c r="AWA13" s="20"/>
      <c r="AWB13" s="20"/>
      <c r="AWC13" s="20"/>
      <c r="AWD13" s="20"/>
      <c r="AWE13" s="20"/>
      <c r="AWF13" s="20"/>
      <c r="AWG13" s="20"/>
      <c r="AWH13" s="20"/>
      <c r="AWI13" s="20"/>
      <c r="AWJ13" s="20"/>
      <c r="AWK13" s="20"/>
      <c r="AWL13" s="20"/>
      <c r="AWM13" s="20"/>
      <c r="AWN13" s="20"/>
      <c r="AWO13" s="20"/>
      <c r="AWP13" s="20"/>
      <c r="AWQ13" s="20"/>
      <c r="AWR13" s="20"/>
      <c r="AWS13" s="20"/>
      <c r="AWT13" s="20"/>
      <c r="AWU13" s="20"/>
      <c r="AWV13" s="20"/>
      <c r="AWW13" s="20"/>
      <c r="AWX13" s="20"/>
      <c r="AWY13" s="20"/>
      <c r="AWZ13" s="20"/>
      <c r="AXA13" s="20"/>
      <c r="AXB13" s="20"/>
      <c r="AXC13" s="20"/>
      <c r="AXD13" s="20"/>
      <c r="AXE13" s="20"/>
      <c r="AXF13" s="20"/>
      <c r="AXG13" s="20"/>
      <c r="AXH13" s="20"/>
      <c r="AXI13" s="20"/>
      <c r="AXJ13" s="20"/>
      <c r="AXK13" s="20"/>
      <c r="AXL13" s="20"/>
      <c r="AXM13" s="20"/>
      <c r="AXN13" s="20"/>
      <c r="AXO13" s="20"/>
      <c r="AXP13" s="20"/>
      <c r="AXQ13" s="20"/>
      <c r="AXR13" s="20"/>
      <c r="AXS13" s="20"/>
      <c r="AXT13" s="20"/>
      <c r="AXU13" s="20"/>
      <c r="AXV13" s="20"/>
      <c r="AXW13" s="20"/>
      <c r="AXX13" s="20"/>
      <c r="AXY13" s="20"/>
      <c r="AXZ13" s="20"/>
      <c r="AYA13" s="20"/>
      <c r="AYB13" s="20"/>
      <c r="AYC13" s="20"/>
      <c r="AYD13" s="20"/>
      <c r="AYE13" s="20"/>
      <c r="AYF13" s="20"/>
      <c r="AYG13" s="20"/>
      <c r="AYH13" s="20"/>
      <c r="AYI13" s="20"/>
      <c r="AYJ13" s="20"/>
      <c r="AYK13" s="20"/>
      <c r="AYL13" s="20"/>
      <c r="AYM13" s="20"/>
      <c r="AYN13" s="20"/>
      <c r="AYO13" s="20"/>
      <c r="AYP13" s="20"/>
      <c r="AYQ13" s="20"/>
      <c r="AYR13" s="20"/>
      <c r="AYS13" s="20"/>
      <c r="AYT13" s="20"/>
      <c r="AYU13" s="20"/>
      <c r="AYV13" s="20"/>
      <c r="AYW13" s="20"/>
      <c r="AYX13" s="20"/>
      <c r="AYY13" s="20"/>
      <c r="AYZ13" s="20"/>
      <c r="AZA13" s="20"/>
      <c r="AZB13" s="20"/>
      <c r="AZC13" s="20"/>
      <c r="AZD13" s="20"/>
      <c r="AZE13" s="20"/>
      <c r="AZF13" s="20"/>
      <c r="AZG13" s="20"/>
      <c r="AZH13" s="20"/>
      <c r="AZI13" s="20"/>
      <c r="AZJ13" s="20"/>
      <c r="AZK13" s="20"/>
      <c r="AZL13" s="20"/>
      <c r="AZM13" s="20"/>
      <c r="AZN13" s="20"/>
      <c r="AZO13" s="20"/>
      <c r="AZP13" s="20"/>
      <c r="AZQ13" s="20"/>
      <c r="AZR13" s="20"/>
      <c r="AZS13" s="20"/>
      <c r="AZT13" s="20"/>
      <c r="AZU13" s="20"/>
      <c r="AZV13" s="20"/>
      <c r="AZW13" s="20"/>
      <c r="AZX13" s="20"/>
      <c r="AZY13" s="20"/>
      <c r="AZZ13" s="20"/>
      <c r="BAA13" s="20"/>
      <c r="BAB13" s="20"/>
      <c r="BAC13" s="20"/>
      <c r="BAD13" s="20"/>
      <c r="BAE13" s="20"/>
      <c r="BAF13" s="20"/>
      <c r="BAG13" s="20"/>
      <c r="BAH13" s="20"/>
      <c r="BAI13" s="20"/>
      <c r="BAJ13" s="20"/>
      <c r="BAK13" s="20"/>
      <c r="BAL13" s="20"/>
      <c r="BAM13" s="20"/>
      <c r="BAN13" s="20"/>
      <c r="BAO13" s="20"/>
      <c r="BAP13" s="20"/>
      <c r="BAQ13" s="20"/>
      <c r="BAR13" s="20"/>
      <c r="BAS13" s="20"/>
      <c r="BAT13" s="20"/>
      <c r="BAU13" s="20"/>
      <c r="BAV13" s="20"/>
      <c r="BAW13" s="20"/>
      <c r="BAX13" s="20"/>
      <c r="BAY13" s="20"/>
      <c r="BAZ13" s="20"/>
      <c r="BBA13" s="20"/>
      <c r="BBB13" s="20"/>
      <c r="BBC13" s="20"/>
      <c r="BBD13" s="20"/>
      <c r="BBE13" s="20"/>
      <c r="BBF13" s="20"/>
      <c r="BBG13" s="20"/>
      <c r="BBH13" s="20"/>
      <c r="BBI13" s="20"/>
      <c r="BBJ13" s="20"/>
      <c r="BBK13" s="20"/>
      <c r="BBL13" s="20"/>
      <c r="BBM13" s="20"/>
      <c r="BBN13" s="20"/>
      <c r="BBO13" s="20"/>
      <c r="BBP13" s="20"/>
      <c r="BBQ13" s="20"/>
      <c r="BBR13" s="20"/>
      <c r="BBS13" s="20"/>
      <c r="BBT13" s="20"/>
      <c r="BBU13" s="20"/>
      <c r="BBV13" s="20"/>
      <c r="BBW13" s="20"/>
      <c r="BBX13" s="20"/>
      <c r="BBY13" s="20"/>
      <c r="BBZ13" s="20"/>
      <c r="BCA13" s="20"/>
      <c r="BCB13" s="20"/>
      <c r="BCC13" s="20"/>
      <c r="BCD13" s="20"/>
      <c r="BCE13" s="20"/>
      <c r="BCF13" s="20"/>
      <c r="BCG13" s="20"/>
      <c r="BCH13" s="20"/>
      <c r="BCI13" s="20"/>
      <c r="BCJ13" s="20"/>
      <c r="BCK13" s="20"/>
      <c r="BCL13" s="20"/>
      <c r="BCM13" s="20"/>
      <c r="BCN13" s="20"/>
      <c r="BCO13" s="20"/>
      <c r="BCP13" s="20"/>
      <c r="BCQ13" s="20"/>
      <c r="BCR13" s="20"/>
      <c r="BCS13" s="20"/>
      <c r="BCT13" s="20"/>
      <c r="BCU13" s="20"/>
      <c r="BCV13" s="20"/>
      <c r="BCW13" s="20"/>
      <c r="BCX13" s="20"/>
      <c r="BCY13" s="20"/>
      <c r="BCZ13" s="20"/>
      <c r="BDA13" s="20"/>
      <c r="BDB13" s="20"/>
      <c r="BDC13" s="20"/>
      <c r="BDD13" s="20"/>
      <c r="BDE13" s="20"/>
      <c r="BDF13" s="20"/>
      <c r="BDG13" s="20"/>
      <c r="BDH13" s="20"/>
      <c r="BDI13" s="20"/>
      <c r="BDJ13" s="20"/>
      <c r="BDK13" s="20"/>
      <c r="BDL13" s="20"/>
      <c r="BDM13" s="20"/>
      <c r="BDN13" s="20"/>
      <c r="BDO13" s="20"/>
      <c r="BDP13" s="20"/>
      <c r="BDQ13" s="20"/>
      <c r="BDR13" s="20"/>
      <c r="BDS13" s="20"/>
      <c r="BDT13" s="20"/>
      <c r="BDU13" s="20"/>
      <c r="BDV13" s="20"/>
      <c r="BDW13" s="20"/>
      <c r="BDX13" s="20"/>
      <c r="BDY13" s="20"/>
      <c r="BDZ13" s="20"/>
      <c r="BEA13" s="20"/>
      <c r="BEB13" s="20"/>
      <c r="BEC13" s="20"/>
      <c r="BED13" s="20"/>
      <c r="BEE13" s="20"/>
      <c r="BEF13" s="20"/>
      <c r="BEG13" s="20"/>
    </row>
    <row r="14" spans="1:1489" s="12" customFormat="1" x14ac:dyDescent="0.25">
      <c r="A14" s="13"/>
      <c r="B14" s="13"/>
      <c r="C14" s="13"/>
      <c r="D14" s="13"/>
      <c r="E14" s="13"/>
      <c r="F14" s="17" t="s">
        <v>128</v>
      </c>
      <c r="G14" s="14">
        <f>VLOOKUP($F14,'Visu totale'!$D$3:$DT$129,G$1,0)</f>
        <v>0</v>
      </c>
      <c r="H14" s="13">
        <f>VLOOKUP($F14,'Visu totale'!$D$3:$DT$129,H$1,0)</f>
        <v>0</v>
      </c>
      <c r="I14" s="13">
        <f>VLOOKUP($F14,'Visu totale'!$D$3:$DT$129,I$1,0)</f>
        <v>0</v>
      </c>
      <c r="J14" s="13">
        <f>VLOOKUP($F14,'Visu totale'!$D$3:$DT$129,J$1,0)</f>
        <v>0</v>
      </c>
      <c r="K14" s="13">
        <f>VLOOKUP($F14,'Visu totale'!$D$3:$DT$129,K$1,0)</f>
        <v>0</v>
      </c>
      <c r="L14" s="13">
        <f>VLOOKUP($F14,'Visu totale'!$D$3:$DT$129,L$1,0)</f>
        <v>0</v>
      </c>
      <c r="M14" s="13">
        <f>VLOOKUP($F14,'Visu totale'!$D$3:$DT$129,M$1,0)</f>
        <v>0</v>
      </c>
      <c r="N14" s="13">
        <f>VLOOKUP($F14,'Visu totale'!$D$3:$DT$129,N$1,0)</f>
        <v>0</v>
      </c>
      <c r="O14" s="13">
        <f>VLOOKUP($F14,'Visu totale'!$D$3:$DT$129,O$1,0)</f>
        <v>0</v>
      </c>
      <c r="P14" s="13">
        <f>VLOOKUP($F14,'Visu totale'!$D$3:$DT$129,P$1,0)</f>
        <v>0</v>
      </c>
      <c r="Q14" s="13">
        <f>VLOOKUP($F14,'Visu totale'!$D$3:$DT$129,Q$1,0)</f>
        <v>0</v>
      </c>
      <c r="R14" s="15">
        <f>VLOOKUP($F14,'Visu totale'!$D$3:$DT$129,R$1,0)</f>
        <v>0</v>
      </c>
      <c r="S14" s="14">
        <f>VLOOKUP($F14,'Visu totale'!$D$3:$DT$129,S$1,0)</f>
        <v>0</v>
      </c>
      <c r="T14" s="13">
        <f>VLOOKUP($F14,'Visu totale'!$D$3:$DT$129,T$1,0)</f>
        <v>0</v>
      </c>
      <c r="U14" s="13">
        <f>VLOOKUP($F14,'Visu totale'!$D$3:$DT$129,U$1,0)</f>
        <v>0</v>
      </c>
      <c r="V14" s="13">
        <f>VLOOKUP($F14,'Visu totale'!$D$3:$DT$129,V$1,0)</f>
        <v>0</v>
      </c>
      <c r="W14" s="13">
        <f>VLOOKUP($F14,'Visu totale'!$D$3:$DT$129,W$1,0)</f>
        <v>0</v>
      </c>
      <c r="X14" s="13">
        <f>VLOOKUP($F14,'Visu totale'!$D$3:$DT$129,X$1,0)</f>
        <v>0</v>
      </c>
      <c r="Y14" s="13">
        <f>VLOOKUP($F14,'Visu totale'!$D$3:$DT$129,Y$1,0)</f>
        <v>0</v>
      </c>
      <c r="Z14" s="13">
        <f>VLOOKUP($F14,'Visu totale'!$D$3:$DT$129,Z$1,0)</f>
        <v>0</v>
      </c>
      <c r="AA14" s="13">
        <f>VLOOKUP($F14,'Visu totale'!$D$3:$DT$129,AA$1,0)</f>
        <v>0</v>
      </c>
      <c r="AB14" s="13">
        <f>VLOOKUP($F14,'Visu totale'!$D$3:$DT$129,AB$1,0)</f>
        <v>0</v>
      </c>
      <c r="AC14" s="13">
        <f>VLOOKUP($F14,'Visu totale'!$D$3:$DT$129,AC$1,0)</f>
        <v>0</v>
      </c>
      <c r="AD14" s="15">
        <f>VLOOKUP($F14,'Visu totale'!$D$3:$DT$129,AD$1,0)</f>
        <v>0</v>
      </c>
      <c r="AE14" s="14">
        <f>VLOOKUP($F14,'Visu totale'!$D$3:$DT$129,AE$1,0)</f>
        <v>0</v>
      </c>
      <c r="AF14" s="13">
        <f>VLOOKUP($F14,'Visu totale'!$D$3:$DT$129,AF$1,0)</f>
        <v>0</v>
      </c>
      <c r="AG14" s="13">
        <f>VLOOKUP($F14,'Visu totale'!$D$3:$DT$129,AG$1,0)</f>
        <v>0</v>
      </c>
      <c r="AH14" s="13">
        <f>VLOOKUP($F14,'Visu totale'!$D$3:$DT$129,AH$1,0)</f>
        <v>0</v>
      </c>
      <c r="AI14" s="13">
        <f>VLOOKUP($F14,'Visu totale'!$D$3:$DT$129,AI$1,0)</f>
        <v>0</v>
      </c>
      <c r="AJ14" s="13">
        <f>VLOOKUP($F14,'Visu totale'!$D$3:$DT$129,AJ$1,0)</f>
        <v>0</v>
      </c>
      <c r="AK14" s="13">
        <f>VLOOKUP($F14,'Visu totale'!$D$3:$DT$129,AK$1,0)</f>
        <v>0</v>
      </c>
      <c r="AL14" s="13">
        <f>VLOOKUP($F14,'Visu totale'!$D$3:$DT$129,AL$1,0)</f>
        <v>0</v>
      </c>
      <c r="AM14" s="13">
        <f>VLOOKUP($F14,'Visu totale'!$D$3:$DT$129,AM$1,0)</f>
        <v>0</v>
      </c>
      <c r="AN14" s="13">
        <f>VLOOKUP($F14,'Visu totale'!$D$3:$DT$129,AN$1,0)</f>
        <v>0</v>
      </c>
      <c r="AO14" s="13">
        <f>VLOOKUP($F14,'Visu totale'!$D$3:$DT$129,AO$1,0)</f>
        <v>0</v>
      </c>
      <c r="AP14" s="15">
        <f>VLOOKUP($F14,'Visu totale'!$D$3:$DT$129,AP$1,0)</f>
        <v>0</v>
      </c>
      <c r="AQ14" s="14">
        <f>VLOOKUP($F14,'Visu totale'!$D$3:$DT$129,AQ$1,0)</f>
        <v>0</v>
      </c>
      <c r="AR14" s="13">
        <f>VLOOKUP($F14,'Visu totale'!$D$3:$DT$129,AR$1,0)</f>
        <v>0</v>
      </c>
      <c r="AS14" s="13">
        <f>VLOOKUP($F14,'Visu totale'!$D$3:$DT$129,AS$1,0)</f>
        <v>0</v>
      </c>
      <c r="AT14" s="13">
        <f>VLOOKUP($F14,'Visu totale'!$D$3:$DT$129,AT$1,0)</f>
        <v>0</v>
      </c>
      <c r="AU14" s="13">
        <f>VLOOKUP($F14,'Visu totale'!$D$3:$DT$129,AU$1,0)</f>
        <v>0</v>
      </c>
      <c r="AV14" s="13">
        <f>VLOOKUP($F14,'Visu totale'!$D$3:$DT$129,AV$1,0)</f>
        <v>0</v>
      </c>
      <c r="AW14" s="13">
        <f>VLOOKUP($F14,'Visu totale'!$D$3:$DT$129,AW$1,0)</f>
        <v>0</v>
      </c>
      <c r="AX14" s="13">
        <f>VLOOKUP($F14,'Visu totale'!$D$3:$DT$129,AX$1,0)</f>
        <v>0</v>
      </c>
      <c r="AY14" s="13">
        <f>VLOOKUP($F14,'Visu totale'!$D$3:$DT$129,AY$1,0)</f>
        <v>0</v>
      </c>
      <c r="AZ14" s="13">
        <f>VLOOKUP($F14,'Visu totale'!$D$3:$DT$129,AZ$1,0)</f>
        <v>0</v>
      </c>
      <c r="BA14" s="13">
        <f>VLOOKUP($F14,'Visu totale'!$D$3:$DT$129,BA$1,0)</f>
        <v>0</v>
      </c>
      <c r="BB14" s="15">
        <f>VLOOKUP($F14,'Visu totale'!$D$3:$DT$129,BB$1,0)</f>
        <v>0</v>
      </c>
      <c r="BC14" s="14">
        <f>VLOOKUP($F14,'Visu totale'!$D$3:$DT$129,BC$1,0)</f>
        <v>0</v>
      </c>
      <c r="BD14" s="13">
        <f>VLOOKUP($F14,'Visu totale'!$D$3:$DT$129,BD$1,0)</f>
        <v>0</v>
      </c>
      <c r="BE14" s="13">
        <f>VLOOKUP($F14,'Visu totale'!$D$3:$DT$129,BE$1,0)</f>
        <v>0</v>
      </c>
      <c r="BF14" s="13">
        <f>VLOOKUP($F14,'Visu totale'!$D$3:$DT$129,BF$1,0)</f>
        <v>0</v>
      </c>
      <c r="BG14" s="13">
        <f>VLOOKUP($F14,'Visu totale'!$D$3:$DT$129,BG$1,0)</f>
        <v>0</v>
      </c>
      <c r="BH14" s="13">
        <f>VLOOKUP($F14,'Visu totale'!$D$3:$DT$129,BH$1,0)</f>
        <v>0</v>
      </c>
      <c r="BI14" s="13">
        <f>VLOOKUP($F14,'Visu totale'!$D$3:$DT$129,BI$1,0)</f>
        <v>0</v>
      </c>
      <c r="BJ14" s="13">
        <f>VLOOKUP($F14,'Visu totale'!$D$3:$DT$129,BJ$1,0)</f>
        <v>0</v>
      </c>
      <c r="BK14" s="13">
        <f>VLOOKUP($F14,'Visu totale'!$D$3:$DT$129,BK$1,0)</f>
        <v>0</v>
      </c>
      <c r="BL14" s="13">
        <f>VLOOKUP($F14,'Visu totale'!$D$3:$DT$129,BL$1,0)</f>
        <v>0</v>
      </c>
      <c r="BM14" s="13">
        <f>VLOOKUP($F14,'Visu totale'!$D$3:$DT$129,BM$1,0)</f>
        <v>0</v>
      </c>
      <c r="BN14" s="15">
        <f>VLOOKUP($F14,'Visu totale'!$D$3:$DT$129,BN$1,0)</f>
        <v>0</v>
      </c>
      <c r="BO14" s="14">
        <f>VLOOKUP($F14,'Visu totale'!$D$3:$DT$129,BO$1,0)</f>
        <v>0</v>
      </c>
      <c r="BP14" s="13">
        <f>VLOOKUP($F14,'Visu totale'!$D$3:$DT$129,BP$1,0)</f>
        <v>0</v>
      </c>
      <c r="BQ14" s="13">
        <f>VLOOKUP($F14,'Visu totale'!$D$3:$DT$129,BQ$1,0)</f>
        <v>0</v>
      </c>
      <c r="BR14" s="13">
        <f>VLOOKUP($F14,'Visu totale'!$D$3:$DT$129,BR$1,0)</f>
        <v>0</v>
      </c>
      <c r="BS14" s="13">
        <f>VLOOKUP($F14,'Visu totale'!$D$3:$DT$129,BS$1,0)</f>
        <v>0</v>
      </c>
      <c r="BT14" s="13">
        <f>VLOOKUP($F14,'Visu totale'!$D$3:$DT$129,BT$1,0)</f>
        <v>0</v>
      </c>
      <c r="BU14" s="13">
        <f>VLOOKUP($F14,'Visu totale'!$D$3:$DT$129,BU$1,0)</f>
        <v>0</v>
      </c>
      <c r="BV14" s="13">
        <f>VLOOKUP($F14,'Visu totale'!$D$3:$DT$129,BV$1,0)</f>
        <v>0</v>
      </c>
      <c r="BW14" s="13">
        <f>VLOOKUP($F14,'Visu totale'!$D$3:$DT$129,BW$1,0)</f>
        <v>0</v>
      </c>
      <c r="BX14" s="13">
        <f>VLOOKUP($F14,'Visu totale'!$D$3:$DT$129,BX$1,0)</f>
        <v>0</v>
      </c>
      <c r="BY14" s="13">
        <f>VLOOKUP($F14,'Visu totale'!$D$3:$DT$129,BY$1,0)</f>
        <v>0</v>
      </c>
      <c r="BZ14" s="15">
        <f>VLOOKUP($F14,'Visu totale'!$D$3:$DT$129,BZ$1,0)</f>
        <v>0</v>
      </c>
      <c r="CA14" s="14">
        <f>VLOOKUP($F14,'Visu totale'!$D$3:$DT$129,CA$1,0)</f>
        <v>0</v>
      </c>
      <c r="CB14" s="13">
        <f>VLOOKUP($F14,'Visu totale'!$D$3:$DT$129,CB$1,0)</f>
        <v>0</v>
      </c>
      <c r="CC14" s="13">
        <f>VLOOKUP($F14,'Visu totale'!$D$3:$DT$129,CC$1,0)</f>
        <v>0</v>
      </c>
      <c r="CD14" s="13">
        <f>VLOOKUP($F14,'Visu totale'!$D$3:$DT$129,CD$1,0)</f>
        <v>0</v>
      </c>
      <c r="CE14" s="13">
        <f>VLOOKUP($F14,'Visu totale'!$D$3:$DT$129,CE$1,0)</f>
        <v>0</v>
      </c>
      <c r="CF14" s="13">
        <f>VLOOKUP($F14,'Visu totale'!$D$3:$DT$129,CF$1,0)</f>
        <v>0</v>
      </c>
      <c r="CG14" s="13">
        <f>VLOOKUP($F14,'Visu totale'!$D$3:$DT$129,CG$1,0)</f>
        <v>0</v>
      </c>
      <c r="CH14" s="13">
        <f>VLOOKUP($F14,'Visu totale'!$D$3:$DT$129,CH$1,0)</f>
        <v>0</v>
      </c>
      <c r="CI14" s="13">
        <f>VLOOKUP($F14,'Visu totale'!$D$3:$DT$129,CI$1,0)</f>
        <v>0</v>
      </c>
      <c r="CJ14" s="13">
        <f>VLOOKUP($F14,'Visu totale'!$D$3:$DT$129,CJ$1,0)</f>
        <v>0</v>
      </c>
      <c r="CK14" s="13">
        <f>VLOOKUP($F14,'Visu totale'!$D$3:$DT$129,CK$1,0)</f>
        <v>0</v>
      </c>
      <c r="CL14" s="15">
        <f>VLOOKUP($F14,'Visu totale'!$D$3:$DT$129,CL$1,0)</f>
        <v>0</v>
      </c>
      <c r="CM14" s="14">
        <f>VLOOKUP($F14,'Visu totale'!$D$3:$DT$129,CM$1,0)</f>
        <v>0</v>
      </c>
      <c r="CN14" s="13">
        <f>VLOOKUP($F14,'Visu totale'!$D$3:$DT$129,CN$1,0)</f>
        <v>0</v>
      </c>
      <c r="CO14" s="13">
        <f>VLOOKUP($F14,'Visu totale'!$D$3:$DT$129,CO$1,0)</f>
        <v>0</v>
      </c>
      <c r="CP14" s="13">
        <f>VLOOKUP($F14,'Visu totale'!$D$3:$DT$129,CP$1,0)</f>
        <v>0</v>
      </c>
      <c r="CQ14" s="13">
        <f>VLOOKUP($F14,'Visu totale'!$D$3:$DT$129,CQ$1,0)</f>
        <v>0</v>
      </c>
      <c r="CR14" s="13">
        <f>VLOOKUP($F14,'Visu totale'!$D$3:$DT$129,CR$1,0)</f>
        <v>0</v>
      </c>
      <c r="CS14" s="13">
        <f>VLOOKUP($F14,'Visu totale'!$D$3:$DT$129,CS$1,0)</f>
        <v>0</v>
      </c>
      <c r="CT14" s="13">
        <f>VLOOKUP($F14,'Visu totale'!$D$3:$DT$129,CT$1,0)</f>
        <v>0</v>
      </c>
      <c r="CU14" s="13">
        <f>VLOOKUP($F14,'Visu totale'!$D$3:$DT$129,CU$1,0)</f>
        <v>0</v>
      </c>
      <c r="CV14" s="13">
        <f>VLOOKUP($F14,'Visu totale'!$D$3:$DT$129,CV$1,0)</f>
        <v>0</v>
      </c>
      <c r="CW14" s="13">
        <f>VLOOKUP($F14,'Visu totale'!$D$3:$DT$129,CW$1,0)</f>
        <v>0</v>
      </c>
      <c r="CX14" s="15">
        <f>VLOOKUP($F14,'Visu totale'!$D$3:$DT$129,CX$1,0)</f>
        <v>0</v>
      </c>
      <c r="CY14" s="14">
        <f>VLOOKUP($F14,'Visu totale'!$D$3:$DT$129,CY$1,0)</f>
        <v>0</v>
      </c>
      <c r="CZ14" s="13">
        <f>VLOOKUP($F14,'Visu totale'!$D$3:$DT$129,CZ$1,0)</f>
        <v>0</v>
      </c>
      <c r="DA14" s="13">
        <f>VLOOKUP($F14,'Visu totale'!$D$3:$DT$129,DA$1,0)</f>
        <v>0</v>
      </c>
      <c r="DB14" s="13">
        <f>VLOOKUP($F14,'Visu totale'!$D$3:$DT$129,DB$1,0)</f>
        <v>0</v>
      </c>
      <c r="DC14" s="13">
        <f>VLOOKUP($F14,'Visu totale'!$D$3:$DT$129,DC$1,0)</f>
        <v>0</v>
      </c>
      <c r="DD14" s="13">
        <f>VLOOKUP($F14,'Visu totale'!$D$3:$DT$129,DD$1,0)</f>
        <v>0</v>
      </c>
      <c r="DE14" s="13">
        <f>VLOOKUP($F14,'Visu totale'!$D$3:$DT$129,DE$1,0)</f>
        <v>0</v>
      </c>
      <c r="DF14" s="13">
        <f>VLOOKUP($F14,'Visu totale'!$D$3:$DT$129,DF$1,0)</f>
        <v>0</v>
      </c>
      <c r="DG14" s="13">
        <f>VLOOKUP($F14,'Visu totale'!$D$3:$DT$129,DG$1,0)</f>
        <v>0</v>
      </c>
      <c r="DH14" s="13">
        <f>VLOOKUP($F14,'Visu totale'!$D$3:$DT$129,DH$1,0)</f>
        <v>0</v>
      </c>
      <c r="DI14" s="13">
        <f>VLOOKUP($F14,'Visu totale'!$D$3:$DT$129,DI$1,0)</f>
        <v>0</v>
      </c>
      <c r="DJ14" s="15">
        <f>VLOOKUP($F14,'Visu totale'!$D$3:$DT$129,DJ$1,0)</f>
        <v>0</v>
      </c>
      <c r="DK14" s="14">
        <f>VLOOKUP($F14,'Visu totale'!$D$3:$DT$129,DK$1,0)</f>
        <v>0</v>
      </c>
      <c r="DL14" s="13">
        <f>VLOOKUP($F14,'Visu totale'!$D$3:$DT$129,DL$1,0)</f>
        <v>0</v>
      </c>
      <c r="DM14" s="13">
        <f>VLOOKUP($F14,'Visu totale'!$D$3:$DT$129,DM$1,0)</f>
        <v>0</v>
      </c>
      <c r="DN14" s="13">
        <f>VLOOKUP($F14,'Visu totale'!$D$3:$DT$129,DN$1,0)</f>
        <v>0</v>
      </c>
      <c r="DO14" s="13">
        <f>VLOOKUP($F14,'Visu totale'!$D$3:$DT$129,DO$1,0)</f>
        <v>0</v>
      </c>
      <c r="DP14" s="13">
        <f>VLOOKUP($F14,'Visu totale'!$D$3:$DT$129,DP$1,0)</f>
        <v>0</v>
      </c>
      <c r="DQ14" s="13">
        <f>VLOOKUP($F14,'Visu totale'!$D$3:$DT$129,DQ$1,0)</f>
        <v>0</v>
      </c>
      <c r="DR14" s="13">
        <f>VLOOKUP($F14,'Visu totale'!$D$3:$DT$129,DR$1,0)</f>
        <v>0</v>
      </c>
      <c r="DS14" s="13">
        <f>VLOOKUP($F14,'Visu totale'!$D$3:$DT$129,DS$1,0)</f>
        <v>0</v>
      </c>
      <c r="DT14" s="13">
        <f>VLOOKUP($F14,'Visu totale'!$D$3:$DT$129,DT$1,0)</f>
        <v>0</v>
      </c>
      <c r="DU14" s="13">
        <f>VLOOKUP($F14,'Visu totale'!$D$3:$DT$129,DU$1,0)</f>
        <v>0</v>
      </c>
      <c r="DV14" s="15">
        <f>VLOOKUP($F14,'Visu totale'!$D$3:$DT$129,DV$1,0)</f>
        <v>0</v>
      </c>
    </row>
    <row r="15" spans="1:1489" s="12" customFormat="1" x14ac:dyDescent="0.25">
      <c r="A15" s="13"/>
      <c r="B15" s="13"/>
      <c r="C15" s="13"/>
      <c r="D15" s="13"/>
      <c r="E15" s="13"/>
      <c r="F15" s="17" t="s">
        <v>129</v>
      </c>
      <c r="G15" s="14">
        <f>VLOOKUP($F15,'Visu totale'!$D$3:$DT$129,G$1,0)</f>
        <v>0</v>
      </c>
      <c r="H15" s="13">
        <f>VLOOKUP($F15,'Visu totale'!$D$3:$DT$129,H$1,0)</f>
        <v>0</v>
      </c>
      <c r="I15" s="13">
        <f>VLOOKUP($F15,'Visu totale'!$D$3:$DT$129,I$1,0)</f>
        <v>0</v>
      </c>
      <c r="J15" s="13">
        <f>VLOOKUP($F15,'Visu totale'!$D$3:$DT$129,J$1,0)</f>
        <v>0</v>
      </c>
      <c r="K15" s="13">
        <f>VLOOKUP($F15,'Visu totale'!$D$3:$DT$129,K$1,0)</f>
        <v>0</v>
      </c>
      <c r="L15" s="13">
        <f>VLOOKUP($F15,'Visu totale'!$D$3:$DT$129,L$1,0)</f>
        <v>0</v>
      </c>
      <c r="M15" s="13">
        <f>VLOOKUP($F15,'Visu totale'!$D$3:$DT$129,M$1,0)</f>
        <v>0</v>
      </c>
      <c r="N15" s="13">
        <f>VLOOKUP($F15,'Visu totale'!$D$3:$DT$129,N$1,0)</f>
        <v>0</v>
      </c>
      <c r="O15" s="13">
        <f>VLOOKUP($F15,'Visu totale'!$D$3:$DT$129,O$1,0)</f>
        <v>0</v>
      </c>
      <c r="P15" s="13">
        <f>VLOOKUP($F15,'Visu totale'!$D$3:$DT$129,P$1,0)</f>
        <v>0</v>
      </c>
      <c r="Q15" s="13">
        <f>VLOOKUP($F15,'Visu totale'!$D$3:$DT$129,Q$1,0)</f>
        <v>0</v>
      </c>
      <c r="R15" s="15">
        <f>VLOOKUP($F15,'Visu totale'!$D$3:$DT$129,R$1,0)</f>
        <v>0</v>
      </c>
      <c r="S15" s="14">
        <f>VLOOKUP($F15,'Visu totale'!$D$3:$DT$129,S$1,0)</f>
        <v>0</v>
      </c>
      <c r="T15" s="13">
        <f>VLOOKUP($F15,'Visu totale'!$D$3:$DT$129,T$1,0)</f>
        <v>0</v>
      </c>
      <c r="U15" s="13">
        <f>VLOOKUP($F15,'Visu totale'!$D$3:$DT$129,U$1,0)</f>
        <v>0</v>
      </c>
      <c r="V15" s="13">
        <f>VLOOKUP($F15,'Visu totale'!$D$3:$DT$129,V$1,0)</f>
        <v>0</v>
      </c>
      <c r="W15" s="13">
        <f>VLOOKUP($F15,'Visu totale'!$D$3:$DT$129,W$1,0)</f>
        <v>0</v>
      </c>
      <c r="X15" s="13">
        <f>VLOOKUP($F15,'Visu totale'!$D$3:$DT$129,X$1,0)</f>
        <v>0</v>
      </c>
      <c r="Y15" s="13">
        <f>VLOOKUP($F15,'Visu totale'!$D$3:$DT$129,Y$1,0)</f>
        <v>0</v>
      </c>
      <c r="Z15" s="13">
        <f>VLOOKUP($F15,'Visu totale'!$D$3:$DT$129,Z$1,0)</f>
        <v>0</v>
      </c>
      <c r="AA15" s="13">
        <f>VLOOKUP($F15,'Visu totale'!$D$3:$DT$129,AA$1,0)</f>
        <v>0</v>
      </c>
      <c r="AB15" s="13">
        <f>VLOOKUP($F15,'Visu totale'!$D$3:$DT$129,AB$1,0)</f>
        <v>0</v>
      </c>
      <c r="AC15" s="13">
        <f>VLOOKUP($F15,'Visu totale'!$D$3:$DT$129,AC$1,0)</f>
        <v>0</v>
      </c>
      <c r="AD15" s="15">
        <f>VLOOKUP($F15,'Visu totale'!$D$3:$DT$129,AD$1,0)</f>
        <v>0</v>
      </c>
      <c r="AE15" s="14">
        <f>VLOOKUP($F15,'Visu totale'!$D$3:$DT$129,AE$1,0)</f>
        <v>0</v>
      </c>
      <c r="AF15" s="13">
        <f>VLOOKUP($F15,'Visu totale'!$D$3:$DT$129,AF$1,0)</f>
        <v>0</v>
      </c>
      <c r="AG15" s="13">
        <f>VLOOKUP($F15,'Visu totale'!$D$3:$DT$129,AG$1,0)</f>
        <v>0</v>
      </c>
      <c r="AH15" s="13">
        <f>VLOOKUP($F15,'Visu totale'!$D$3:$DT$129,AH$1,0)</f>
        <v>0</v>
      </c>
      <c r="AI15" s="13">
        <f>VLOOKUP($F15,'Visu totale'!$D$3:$DT$129,AI$1,0)</f>
        <v>0</v>
      </c>
      <c r="AJ15" s="13">
        <f>VLOOKUP($F15,'Visu totale'!$D$3:$DT$129,AJ$1,0)</f>
        <v>0</v>
      </c>
      <c r="AK15" s="13">
        <f>VLOOKUP($F15,'Visu totale'!$D$3:$DT$129,AK$1,0)</f>
        <v>0</v>
      </c>
      <c r="AL15" s="13">
        <f>VLOOKUP($F15,'Visu totale'!$D$3:$DT$129,AL$1,0)</f>
        <v>0</v>
      </c>
      <c r="AM15" s="13">
        <f>VLOOKUP($F15,'Visu totale'!$D$3:$DT$129,AM$1,0)</f>
        <v>0</v>
      </c>
      <c r="AN15" s="13">
        <f>VLOOKUP($F15,'Visu totale'!$D$3:$DT$129,AN$1,0)</f>
        <v>0</v>
      </c>
      <c r="AO15" s="13">
        <f>VLOOKUP($F15,'Visu totale'!$D$3:$DT$129,AO$1,0)</f>
        <v>0</v>
      </c>
      <c r="AP15" s="15">
        <f>VLOOKUP($F15,'Visu totale'!$D$3:$DT$129,AP$1,0)</f>
        <v>0</v>
      </c>
      <c r="AQ15" s="14">
        <f>VLOOKUP($F15,'Visu totale'!$D$3:$DT$129,AQ$1,0)</f>
        <v>0</v>
      </c>
      <c r="AR15" s="13">
        <f>VLOOKUP($F15,'Visu totale'!$D$3:$DT$129,AR$1,0)</f>
        <v>0</v>
      </c>
      <c r="AS15" s="13">
        <f>VLOOKUP($F15,'Visu totale'!$D$3:$DT$129,AS$1,0)</f>
        <v>0</v>
      </c>
      <c r="AT15" s="13">
        <f>VLOOKUP($F15,'Visu totale'!$D$3:$DT$129,AT$1,0)</f>
        <v>0</v>
      </c>
      <c r="AU15" s="13">
        <f>VLOOKUP($F15,'Visu totale'!$D$3:$DT$129,AU$1,0)</f>
        <v>0</v>
      </c>
      <c r="AV15" s="13">
        <f>VLOOKUP($F15,'Visu totale'!$D$3:$DT$129,AV$1,0)</f>
        <v>0</v>
      </c>
      <c r="AW15" s="13">
        <f>VLOOKUP($F15,'Visu totale'!$D$3:$DT$129,AW$1,0)</f>
        <v>0</v>
      </c>
      <c r="AX15" s="13">
        <f>VLOOKUP($F15,'Visu totale'!$D$3:$DT$129,AX$1,0)</f>
        <v>0</v>
      </c>
      <c r="AY15" s="13">
        <f>VLOOKUP($F15,'Visu totale'!$D$3:$DT$129,AY$1,0)</f>
        <v>0</v>
      </c>
      <c r="AZ15" s="13">
        <f>VLOOKUP($F15,'Visu totale'!$D$3:$DT$129,AZ$1,0)</f>
        <v>0</v>
      </c>
      <c r="BA15" s="13">
        <f>VLOOKUP($F15,'Visu totale'!$D$3:$DT$129,BA$1,0)</f>
        <v>0</v>
      </c>
      <c r="BB15" s="15">
        <f>VLOOKUP($F15,'Visu totale'!$D$3:$DT$129,BB$1,0)</f>
        <v>0</v>
      </c>
      <c r="BC15" s="14">
        <f>VLOOKUP($F15,'Visu totale'!$D$3:$DT$129,BC$1,0)</f>
        <v>0</v>
      </c>
      <c r="BD15" s="13">
        <f>VLOOKUP($F15,'Visu totale'!$D$3:$DT$129,BD$1,0)</f>
        <v>0</v>
      </c>
      <c r="BE15" s="13">
        <f>VLOOKUP($F15,'Visu totale'!$D$3:$DT$129,BE$1,0)</f>
        <v>0</v>
      </c>
      <c r="BF15" s="13">
        <f>VLOOKUP($F15,'Visu totale'!$D$3:$DT$129,BF$1,0)</f>
        <v>0</v>
      </c>
      <c r="BG15" s="13">
        <f>VLOOKUP($F15,'Visu totale'!$D$3:$DT$129,BG$1,0)</f>
        <v>0</v>
      </c>
      <c r="BH15" s="13">
        <f>VLOOKUP($F15,'Visu totale'!$D$3:$DT$129,BH$1,0)</f>
        <v>0</v>
      </c>
      <c r="BI15" s="13">
        <f>VLOOKUP($F15,'Visu totale'!$D$3:$DT$129,BI$1,0)</f>
        <v>0</v>
      </c>
      <c r="BJ15" s="13">
        <f>VLOOKUP($F15,'Visu totale'!$D$3:$DT$129,BJ$1,0)</f>
        <v>0</v>
      </c>
      <c r="BK15" s="13">
        <f>VLOOKUP($F15,'Visu totale'!$D$3:$DT$129,BK$1,0)</f>
        <v>0</v>
      </c>
      <c r="BL15" s="13">
        <f>VLOOKUP($F15,'Visu totale'!$D$3:$DT$129,BL$1,0)</f>
        <v>0</v>
      </c>
      <c r="BM15" s="13">
        <f>VLOOKUP($F15,'Visu totale'!$D$3:$DT$129,BM$1,0)</f>
        <v>0</v>
      </c>
      <c r="BN15" s="15">
        <f>VLOOKUP($F15,'Visu totale'!$D$3:$DT$129,BN$1,0)</f>
        <v>0</v>
      </c>
      <c r="BO15" s="14">
        <f>VLOOKUP($F15,'Visu totale'!$D$3:$DT$129,BO$1,0)</f>
        <v>0</v>
      </c>
      <c r="BP15" s="13">
        <f>VLOOKUP($F15,'Visu totale'!$D$3:$DT$129,BP$1,0)</f>
        <v>0</v>
      </c>
      <c r="BQ15" s="13">
        <f>VLOOKUP($F15,'Visu totale'!$D$3:$DT$129,BQ$1,0)</f>
        <v>0</v>
      </c>
      <c r="BR15" s="13">
        <f>VLOOKUP($F15,'Visu totale'!$D$3:$DT$129,BR$1,0)</f>
        <v>0</v>
      </c>
      <c r="BS15" s="13">
        <f>VLOOKUP($F15,'Visu totale'!$D$3:$DT$129,BS$1,0)</f>
        <v>0</v>
      </c>
      <c r="BT15" s="13">
        <f>VLOOKUP($F15,'Visu totale'!$D$3:$DT$129,BT$1,0)</f>
        <v>0</v>
      </c>
      <c r="BU15" s="13">
        <f>VLOOKUP($F15,'Visu totale'!$D$3:$DT$129,BU$1,0)</f>
        <v>0</v>
      </c>
      <c r="BV15" s="13">
        <f>VLOOKUP($F15,'Visu totale'!$D$3:$DT$129,BV$1,0)</f>
        <v>0</v>
      </c>
      <c r="BW15" s="13">
        <f>VLOOKUP($F15,'Visu totale'!$D$3:$DT$129,BW$1,0)</f>
        <v>0</v>
      </c>
      <c r="BX15" s="13">
        <f>VLOOKUP($F15,'Visu totale'!$D$3:$DT$129,BX$1,0)</f>
        <v>0</v>
      </c>
      <c r="BY15" s="13">
        <f>VLOOKUP($F15,'Visu totale'!$D$3:$DT$129,BY$1,0)</f>
        <v>0</v>
      </c>
      <c r="BZ15" s="15">
        <f>VLOOKUP($F15,'Visu totale'!$D$3:$DT$129,BZ$1,0)</f>
        <v>0</v>
      </c>
      <c r="CA15" s="14">
        <f>VLOOKUP($F15,'Visu totale'!$D$3:$DT$129,CA$1,0)</f>
        <v>0</v>
      </c>
      <c r="CB15" s="13">
        <f>VLOOKUP($F15,'Visu totale'!$D$3:$DT$129,CB$1,0)</f>
        <v>0</v>
      </c>
      <c r="CC15" s="13">
        <f>VLOOKUP($F15,'Visu totale'!$D$3:$DT$129,CC$1,0)</f>
        <v>0</v>
      </c>
      <c r="CD15" s="13">
        <f>VLOOKUP($F15,'Visu totale'!$D$3:$DT$129,CD$1,0)</f>
        <v>0</v>
      </c>
      <c r="CE15" s="13">
        <f>VLOOKUP($F15,'Visu totale'!$D$3:$DT$129,CE$1,0)</f>
        <v>0</v>
      </c>
      <c r="CF15" s="13">
        <f>VLOOKUP($F15,'Visu totale'!$D$3:$DT$129,CF$1,0)</f>
        <v>0</v>
      </c>
      <c r="CG15" s="13">
        <f>VLOOKUP($F15,'Visu totale'!$D$3:$DT$129,CG$1,0)</f>
        <v>0</v>
      </c>
      <c r="CH15" s="13">
        <f>VLOOKUP($F15,'Visu totale'!$D$3:$DT$129,CH$1,0)</f>
        <v>0</v>
      </c>
      <c r="CI15" s="13">
        <f>VLOOKUP($F15,'Visu totale'!$D$3:$DT$129,CI$1,0)</f>
        <v>0</v>
      </c>
      <c r="CJ15" s="13">
        <f>VLOOKUP($F15,'Visu totale'!$D$3:$DT$129,CJ$1,0)</f>
        <v>0</v>
      </c>
      <c r="CK15" s="13">
        <f>VLOOKUP($F15,'Visu totale'!$D$3:$DT$129,CK$1,0)</f>
        <v>0</v>
      </c>
      <c r="CL15" s="15">
        <f>VLOOKUP($F15,'Visu totale'!$D$3:$DT$129,CL$1,0)</f>
        <v>0</v>
      </c>
      <c r="CM15" s="14">
        <f>VLOOKUP($F15,'Visu totale'!$D$3:$DT$129,CM$1,0)</f>
        <v>0</v>
      </c>
      <c r="CN15" s="13">
        <f>VLOOKUP($F15,'Visu totale'!$D$3:$DT$129,CN$1,0)</f>
        <v>0</v>
      </c>
      <c r="CO15" s="13">
        <f>VLOOKUP($F15,'Visu totale'!$D$3:$DT$129,CO$1,0)</f>
        <v>0</v>
      </c>
      <c r="CP15" s="13">
        <f>VLOOKUP($F15,'Visu totale'!$D$3:$DT$129,CP$1,0)</f>
        <v>0</v>
      </c>
      <c r="CQ15" s="13">
        <f>VLOOKUP($F15,'Visu totale'!$D$3:$DT$129,CQ$1,0)</f>
        <v>0</v>
      </c>
      <c r="CR15" s="13">
        <f>VLOOKUP($F15,'Visu totale'!$D$3:$DT$129,CR$1,0)</f>
        <v>0</v>
      </c>
      <c r="CS15" s="13">
        <f>VLOOKUP($F15,'Visu totale'!$D$3:$DT$129,CS$1,0)</f>
        <v>0</v>
      </c>
      <c r="CT15" s="13">
        <f>VLOOKUP($F15,'Visu totale'!$D$3:$DT$129,CT$1,0)</f>
        <v>0</v>
      </c>
      <c r="CU15" s="13">
        <f>VLOOKUP($F15,'Visu totale'!$D$3:$DT$129,CU$1,0)</f>
        <v>0</v>
      </c>
      <c r="CV15" s="13">
        <f>VLOOKUP($F15,'Visu totale'!$D$3:$DT$129,CV$1,0)</f>
        <v>0</v>
      </c>
      <c r="CW15" s="13">
        <f>VLOOKUP($F15,'Visu totale'!$D$3:$DT$129,CW$1,0)</f>
        <v>0</v>
      </c>
      <c r="CX15" s="15">
        <f>VLOOKUP($F15,'Visu totale'!$D$3:$DT$129,CX$1,0)</f>
        <v>0</v>
      </c>
      <c r="CY15" s="14">
        <f>VLOOKUP($F15,'Visu totale'!$D$3:$DT$129,CY$1,0)</f>
        <v>0</v>
      </c>
      <c r="CZ15" s="13">
        <f>VLOOKUP($F15,'Visu totale'!$D$3:$DT$129,CZ$1,0)</f>
        <v>0</v>
      </c>
      <c r="DA15" s="13">
        <f>VLOOKUP($F15,'Visu totale'!$D$3:$DT$129,DA$1,0)</f>
        <v>0</v>
      </c>
      <c r="DB15" s="13">
        <f>VLOOKUP($F15,'Visu totale'!$D$3:$DT$129,DB$1,0)</f>
        <v>0</v>
      </c>
      <c r="DC15" s="13">
        <f>VLOOKUP($F15,'Visu totale'!$D$3:$DT$129,DC$1,0)</f>
        <v>0</v>
      </c>
      <c r="DD15" s="13">
        <f>VLOOKUP($F15,'Visu totale'!$D$3:$DT$129,DD$1,0)</f>
        <v>0</v>
      </c>
      <c r="DE15" s="13">
        <f>VLOOKUP($F15,'Visu totale'!$D$3:$DT$129,DE$1,0)</f>
        <v>0</v>
      </c>
      <c r="DF15" s="13">
        <f>VLOOKUP($F15,'Visu totale'!$D$3:$DT$129,DF$1,0)</f>
        <v>0</v>
      </c>
      <c r="DG15" s="13">
        <f>VLOOKUP($F15,'Visu totale'!$D$3:$DT$129,DG$1,0)</f>
        <v>0</v>
      </c>
      <c r="DH15" s="13">
        <f>VLOOKUP($F15,'Visu totale'!$D$3:$DT$129,DH$1,0)</f>
        <v>0</v>
      </c>
      <c r="DI15" s="13">
        <f>VLOOKUP($F15,'Visu totale'!$D$3:$DT$129,DI$1,0)</f>
        <v>0</v>
      </c>
      <c r="DJ15" s="15">
        <f>VLOOKUP($F15,'Visu totale'!$D$3:$DT$129,DJ$1,0)</f>
        <v>0</v>
      </c>
      <c r="DK15" s="14">
        <f>VLOOKUP($F15,'Visu totale'!$D$3:$DT$129,DK$1,0)</f>
        <v>0</v>
      </c>
      <c r="DL15" s="13">
        <f>VLOOKUP($F15,'Visu totale'!$D$3:$DT$129,DL$1,0)</f>
        <v>0</v>
      </c>
      <c r="DM15" s="13">
        <f>VLOOKUP($F15,'Visu totale'!$D$3:$DT$129,DM$1,0)</f>
        <v>0</v>
      </c>
      <c r="DN15" s="13">
        <f>VLOOKUP($F15,'Visu totale'!$D$3:$DT$129,DN$1,0)</f>
        <v>0</v>
      </c>
      <c r="DO15" s="13">
        <f>VLOOKUP($F15,'Visu totale'!$D$3:$DT$129,DO$1,0)</f>
        <v>0</v>
      </c>
      <c r="DP15" s="13">
        <f>VLOOKUP($F15,'Visu totale'!$D$3:$DT$129,DP$1,0)</f>
        <v>0</v>
      </c>
      <c r="DQ15" s="13">
        <f>VLOOKUP($F15,'Visu totale'!$D$3:$DT$129,DQ$1,0)</f>
        <v>0</v>
      </c>
      <c r="DR15" s="13">
        <f>VLOOKUP($F15,'Visu totale'!$D$3:$DT$129,DR$1,0)</f>
        <v>0</v>
      </c>
      <c r="DS15" s="13">
        <f>VLOOKUP($F15,'Visu totale'!$D$3:$DT$129,DS$1,0)</f>
        <v>0</v>
      </c>
      <c r="DT15" s="13">
        <f>VLOOKUP($F15,'Visu totale'!$D$3:$DT$129,DT$1,0)</f>
        <v>0</v>
      </c>
      <c r="DU15" s="13">
        <f>VLOOKUP($F15,'Visu totale'!$D$3:$DT$129,DU$1,0)</f>
        <v>0</v>
      </c>
      <c r="DV15" s="15">
        <f>VLOOKUP($F15,'Visu totale'!$D$3:$DT$129,DV$1,0)</f>
        <v>0</v>
      </c>
    </row>
    <row r="16" spans="1:1489" s="12" customFormat="1" x14ac:dyDescent="0.25">
      <c r="A16" s="13"/>
      <c r="B16" s="13"/>
      <c r="C16" s="13"/>
      <c r="D16" s="13"/>
      <c r="E16" s="13"/>
      <c r="F16" s="17" t="s">
        <v>130</v>
      </c>
      <c r="G16" s="14">
        <f>VLOOKUP($F16,'Visu totale'!$D$3:$DT$129,G$1,0)</f>
        <v>0</v>
      </c>
      <c r="H16" s="13">
        <f>VLOOKUP($F16,'Visu totale'!$D$3:$DT$129,H$1,0)</f>
        <v>0</v>
      </c>
      <c r="I16" s="13">
        <f>VLOOKUP($F16,'Visu totale'!$D$3:$DT$129,I$1,0)</f>
        <v>0</v>
      </c>
      <c r="J16" s="13">
        <f>VLOOKUP($F16,'Visu totale'!$D$3:$DT$129,J$1,0)</f>
        <v>0</v>
      </c>
      <c r="K16" s="13">
        <f>VLOOKUP($F16,'Visu totale'!$D$3:$DT$129,K$1,0)</f>
        <v>0</v>
      </c>
      <c r="L16" s="13">
        <f>VLOOKUP($F16,'Visu totale'!$D$3:$DT$129,L$1,0)</f>
        <v>0</v>
      </c>
      <c r="M16" s="13">
        <f>VLOOKUP($F16,'Visu totale'!$D$3:$DT$129,M$1,0)</f>
        <v>0</v>
      </c>
      <c r="N16" s="13">
        <f>VLOOKUP($F16,'Visu totale'!$D$3:$DT$129,N$1,0)</f>
        <v>0</v>
      </c>
      <c r="O16" s="13">
        <f>VLOOKUP($F16,'Visu totale'!$D$3:$DT$129,O$1,0)</f>
        <v>0</v>
      </c>
      <c r="P16" s="13">
        <f>VLOOKUP($F16,'Visu totale'!$D$3:$DT$129,P$1,0)</f>
        <v>0</v>
      </c>
      <c r="Q16" s="13">
        <f>VLOOKUP($F16,'Visu totale'!$D$3:$DT$129,Q$1,0)</f>
        <v>0</v>
      </c>
      <c r="R16" s="15">
        <f>VLOOKUP($F16,'Visu totale'!$D$3:$DT$129,R$1,0)</f>
        <v>0</v>
      </c>
      <c r="S16" s="14">
        <f>VLOOKUP($F16,'Visu totale'!$D$3:$DT$129,S$1,0)</f>
        <v>0</v>
      </c>
      <c r="T16" s="13">
        <f>VLOOKUP($F16,'Visu totale'!$D$3:$DT$129,T$1,0)</f>
        <v>0</v>
      </c>
      <c r="U16" s="13">
        <f>VLOOKUP($F16,'Visu totale'!$D$3:$DT$129,U$1,0)</f>
        <v>0</v>
      </c>
      <c r="V16" s="13">
        <f>VLOOKUP($F16,'Visu totale'!$D$3:$DT$129,V$1,0)</f>
        <v>0</v>
      </c>
      <c r="W16" s="13">
        <f>VLOOKUP($F16,'Visu totale'!$D$3:$DT$129,W$1,0)</f>
        <v>0</v>
      </c>
      <c r="X16" s="13">
        <f>VLOOKUP($F16,'Visu totale'!$D$3:$DT$129,X$1,0)</f>
        <v>0</v>
      </c>
      <c r="Y16" s="13">
        <f>VLOOKUP($F16,'Visu totale'!$D$3:$DT$129,Y$1,0)</f>
        <v>0</v>
      </c>
      <c r="Z16" s="13">
        <f>VLOOKUP($F16,'Visu totale'!$D$3:$DT$129,Z$1,0)</f>
        <v>0</v>
      </c>
      <c r="AA16" s="13">
        <f>VLOOKUP($F16,'Visu totale'!$D$3:$DT$129,AA$1,0)</f>
        <v>0</v>
      </c>
      <c r="AB16" s="13">
        <f>VLOOKUP($F16,'Visu totale'!$D$3:$DT$129,AB$1,0)</f>
        <v>0</v>
      </c>
      <c r="AC16" s="13">
        <f>VLOOKUP($F16,'Visu totale'!$D$3:$DT$129,AC$1,0)</f>
        <v>0</v>
      </c>
      <c r="AD16" s="15">
        <f>VLOOKUP($F16,'Visu totale'!$D$3:$DT$129,AD$1,0)</f>
        <v>0</v>
      </c>
      <c r="AE16" s="14">
        <f>VLOOKUP($F16,'Visu totale'!$D$3:$DT$129,AE$1,0)</f>
        <v>0</v>
      </c>
      <c r="AF16" s="13">
        <f>VLOOKUP($F16,'Visu totale'!$D$3:$DT$129,AF$1,0)</f>
        <v>0</v>
      </c>
      <c r="AG16" s="13">
        <f>VLOOKUP($F16,'Visu totale'!$D$3:$DT$129,AG$1,0)</f>
        <v>0</v>
      </c>
      <c r="AH16" s="13">
        <f>VLOOKUP($F16,'Visu totale'!$D$3:$DT$129,AH$1,0)</f>
        <v>0</v>
      </c>
      <c r="AI16" s="13">
        <f>VLOOKUP($F16,'Visu totale'!$D$3:$DT$129,AI$1,0)</f>
        <v>0</v>
      </c>
      <c r="AJ16" s="13">
        <f>VLOOKUP($F16,'Visu totale'!$D$3:$DT$129,AJ$1,0)</f>
        <v>0</v>
      </c>
      <c r="AK16" s="13">
        <f>VLOOKUP($F16,'Visu totale'!$D$3:$DT$129,AK$1,0)</f>
        <v>0</v>
      </c>
      <c r="AL16" s="13">
        <f>VLOOKUP($F16,'Visu totale'!$D$3:$DT$129,AL$1,0)</f>
        <v>0</v>
      </c>
      <c r="AM16" s="13">
        <f>VLOOKUP($F16,'Visu totale'!$D$3:$DT$129,AM$1,0)</f>
        <v>0</v>
      </c>
      <c r="AN16" s="13">
        <f>VLOOKUP($F16,'Visu totale'!$D$3:$DT$129,AN$1,0)</f>
        <v>0</v>
      </c>
      <c r="AO16" s="13">
        <f>VLOOKUP($F16,'Visu totale'!$D$3:$DT$129,AO$1,0)</f>
        <v>0</v>
      </c>
      <c r="AP16" s="15">
        <f>VLOOKUP($F16,'Visu totale'!$D$3:$DT$129,AP$1,0)</f>
        <v>0</v>
      </c>
      <c r="AQ16" s="14">
        <f>VLOOKUP($F16,'Visu totale'!$D$3:$DT$129,AQ$1,0)</f>
        <v>0</v>
      </c>
      <c r="AR16" s="13">
        <f>VLOOKUP($F16,'Visu totale'!$D$3:$DT$129,AR$1,0)</f>
        <v>0</v>
      </c>
      <c r="AS16" s="13">
        <f>VLOOKUP($F16,'Visu totale'!$D$3:$DT$129,AS$1,0)</f>
        <v>0</v>
      </c>
      <c r="AT16" s="13">
        <f>VLOOKUP($F16,'Visu totale'!$D$3:$DT$129,AT$1,0)</f>
        <v>0</v>
      </c>
      <c r="AU16" s="13">
        <f>VLOOKUP($F16,'Visu totale'!$D$3:$DT$129,AU$1,0)</f>
        <v>0</v>
      </c>
      <c r="AV16" s="13">
        <f>VLOOKUP($F16,'Visu totale'!$D$3:$DT$129,AV$1,0)</f>
        <v>0</v>
      </c>
      <c r="AW16" s="13">
        <f>VLOOKUP($F16,'Visu totale'!$D$3:$DT$129,AW$1,0)</f>
        <v>0</v>
      </c>
      <c r="AX16" s="13">
        <f>VLOOKUP($F16,'Visu totale'!$D$3:$DT$129,AX$1,0)</f>
        <v>0</v>
      </c>
      <c r="AY16" s="13">
        <f>VLOOKUP($F16,'Visu totale'!$D$3:$DT$129,AY$1,0)</f>
        <v>0</v>
      </c>
      <c r="AZ16" s="13">
        <f>VLOOKUP($F16,'Visu totale'!$D$3:$DT$129,AZ$1,0)</f>
        <v>0</v>
      </c>
      <c r="BA16" s="13">
        <f>VLOOKUP($F16,'Visu totale'!$D$3:$DT$129,BA$1,0)</f>
        <v>0</v>
      </c>
      <c r="BB16" s="15">
        <f>VLOOKUP($F16,'Visu totale'!$D$3:$DT$129,BB$1,0)</f>
        <v>0</v>
      </c>
      <c r="BC16" s="14">
        <f>VLOOKUP($F16,'Visu totale'!$D$3:$DT$129,BC$1,0)</f>
        <v>0</v>
      </c>
      <c r="BD16" s="13">
        <f>VLOOKUP($F16,'Visu totale'!$D$3:$DT$129,BD$1,0)</f>
        <v>0</v>
      </c>
      <c r="BE16" s="13">
        <f>VLOOKUP($F16,'Visu totale'!$D$3:$DT$129,BE$1,0)</f>
        <v>0</v>
      </c>
      <c r="BF16" s="13">
        <f>VLOOKUP($F16,'Visu totale'!$D$3:$DT$129,BF$1,0)</f>
        <v>0</v>
      </c>
      <c r="BG16" s="13">
        <f>VLOOKUP($F16,'Visu totale'!$D$3:$DT$129,BG$1,0)</f>
        <v>0</v>
      </c>
      <c r="BH16" s="13">
        <f>VLOOKUP($F16,'Visu totale'!$D$3:$DT$129,BH$1,0)</f>
        <v>0</v>
      </c>
      <c r="BI16" s="13">
        <f>VLOOKUP($F16,'Visu totale'!$D$3:$DT$129,BI$1,0)</f>
        <v>0</v>
      </c>
      <c r="BJ16" s="13">
        <f>VLOOKUP($F16,'Visu totale'!$D$3:$DT$129,BJ$1,0)</f>
        <v>0</v>
      </c>
      <c r="BK16" s="13">
        <f>VLOOKUP($F16,'Visu totale'!$D$3:$DT$129,BK$1,0)</f>
        <v>0</v>
      </c>
      <c r="BL16" s="13">
        <f>VLOOKUP($F16,'Visu totale'!$D$3:$DT$129,BL$1,0)</f>
        <v>0</v>
      </c>
      <c r="BM16" s="13">
        <f>VLOOKUP($F16,'Visu totale'!$D$3:$DT$129,BM$1,0)</f>
        <v>0</v>
      </c>
      <c r="BN16" s="15">
        <f>VLOOKUP($F16,'Visu totale'!$D$3:$DT$129,BN$1,0)</f>
        <v>0</v>
      </c>
      <c r="BO16" s="14">
        <f>VLOOKUP($F16,'Visu totale'!$D$3:$DT$129,BO$1,0)</f>
        <v>0</v>
      </c>
      <c r="BP16" s="13">
        <f>VLOOKUP($F16,'Visu totale'!$D$3:$DT$129,BP$1,0)</f>
        <v>0</v>
      </c>
      <c r="BQ16" s="13">
        <f>VLOOKUP($F16,'Visu totale'!$D$3:$DT$129,BQ$1,0)</f>
        <v>0</v>
      </c>
      <c r="BR16" s="13">
        <f>VLOOKUP($F16,'Visu totale'!$D$3:$DT$129,BR$1,0)</f>
        <v>0</v>
      </c>
      <c r="BS16" s="13">
        <f>VLOOKUP($F16,'Visu totale'!$D$3:$DT$129,BS$1,0)</f>
        <v>0</v>
      </c>
      <c r="BT16" s="13">
        <f>VLOOKUP($F16,'Visu totale'!$D$3:$DT$129,BT$1,0)</f>
        <v>0</v>
      </c>
      <c r="BU16" s="13">
        <f>VLOOKUP($F16,'Visu totale'!$D$3:$DT$129,BU$1,0)</f>
        <v>0</v>
      </c>
      <c r="BV16" s="13">
        <f>VLOOKUP($F16,'Visu totale'!$D$3:$DT$129,BV$1,0)</f>
        <v>0</v>
      </c>
      <c r="BW16" s="13">
        <f>VLOOKUP($F16,'Visu totale'!$D$3:$DT$129,BW$1,0)</f>
        <v>0</v>
      </c>
      <c r="BX16" s="13">
        <f>VLOOKUP($F16,'Visu totale'!$D$3:$DT$129,BX$1,0)</f>
        <v>0</v>
      </c>
      <c r="BY16" s="13">
        <f>VLOOKUP($F16,'Visu totale'!$D$3:$DT$129,BY$1,0)</f>
        <v>0</v>
      </c>
      <c r="BZ16" s="15">
        <f>VLOOKUP($F16,'Visu totale'!$D$3:$DT$129,BZ$1,0)</f>
        <v>0</v>
      </c>
      <c r="CA16" s="14">
        <f>VLOOKUP($F16,'Visu totale'!$D$3:$DT$129,CA$1,0)</f>
        <v>0</v>
      </c>
      <c r="CB16" s="13">
        <f>VLOOKUP($F16,'Visu totale'!$D$3:$DT$129,CB$1,0)</f>
        <v>0</v>
      </c>
      <c r="CC16" s="13">
        <f>VLOOKUP($F16,'Visu totale'!$D$3:$DT$129,CC$1,0)</f>
        <v>0</v>
      </c>
      <c r="CD16" s="13">
        <f>VLOOKUP($F16,'Visu totale'!$D$3:$DT$129,CD$1,0)</f>
        <v>0</v>
      </c>
      <c r="CE16" s="13">
        <f>VLOOKUP($F16,'Visu totale'!$D$3:$DT$129,CE$1,0)</f>
        <v>0</v>
      </c>
      <c r="CF16" s="13">
        <f>VLOOKUP($F16,'Visu totale'!$D$3:$DT$129,CF$1,0)</f>
        <v>0</v>
      </c>
      <c r="CG16" s="13">
        <f>VLOOKUP($F16,'Visu totale'!$D$3:$DT$129,CG$1,0)</f>
        <v>0</v>
      </c>
      <c r="CH16" s="13">
        <f>VLOOKUP($F16,'Visu totale'!$D$3:$DT$129,CH$1,0)</f>
        <v>0</v>
      </c>
      <c r="CI16" s="13">
        <f>VLOOKUP($F16,'Visu totale'!$D$3:$DT$129,CI$1,0)</f>
        <v>0</v>
      </c>
      <c r="CJ16" s="13">
        <f>VLOOKUP($F16,'Visu totale'!$D$3:$DT$129,CJ$1,0)</f>
        <v>0</v>
      </c>
      <c r="CK16" s="13">
        <f>VLOOKUP($F16,'Visu totale'!$D$3:$DT$129,CK$1,0)</f>
        <v>0</v>
      </c>
      <c r="CL16" s="15">
        <f>VLOOKUP($F16,'Visu totale'!$D$3:$DT$129,CL$1,0)</f>
        <v>0</v>
      </c>
      <c r="CM16" s="14">
        <f>VLOOKUP($F16,'Visu totale'!$D$3:$DT$129,CM$1,0)</f>
        <v>0</v>
      </c>
      <c r="CN16" s="13">
        <f>VLOOKUP($F16,'Visu totale'!$D$3:$DT$129,CN$1,0)</f>
        <v>0</v>
      </c>
      <c r="CO16" s="13">
        <f>VLOOKUP($F16,'Visu totale'!$D$3:$DT$129,CO$1,0)</f>
        <v>0</v>
      </c>
      <c r="CP16" s="13">
        <f>VLOOKUP($F16,'Visu totale'!$D$3:$DT$129,CP$1,0)</f>
        <v>0</v>
      </c>
      <c r="CQ16" s="13">
        <f>VLOOKUP($F16,'Visu totale'!$D$3:$DT$129,CQ$1,0)</f>
        <v>0</v>
      </c>
      <c r="CR16" s="13">
        <f>VLOOKUP($F16,'Visu totale'!$D$3:$DT$129,CR$1,0)</f>
        <v>0</v>
      </c>
      <c r="CS16" s="13">
        <f>VLOOKUP($F16,'Visu totale'!$D$3:$DT$129,CS$1,0)</f>
        <v>0</v>
      </c>
      <c r="CT16" s="13">
        <f>VLOOKUP($F16,'Visu totale'!$D$3:$DT$129,CT$1,0)</f>
        <v>0</v>
      </c>
      <c r="CU16" s="13">
        <f>VLOOKUP($F16,'Visu totale'!$D$3:$DT$129,CU$1,0)</f>
        <v>0</v>
      </c>
      <c r="CV16" s="13">
        <f>VLOOKUP($F16,'Visu totale'!$D$3:$DT$129,CV$1,0)</f>
        <v>0</v>
      </c>
      <c r="CW16" s="13">
        <f>VLOOKUP($F16,'Visu totale'!$D$3:$DT$129,CW$1,0)</f>
        <v>0</v>
      </c>
      <c r="CX16" s="15">
        <f>VLOOKUP($F16,'Visu totale'!$D$3:$DT$129,CX$1,0)</f>
        <v>0</v>
      </c>
      <c r="CY16" s="14">
        <f>VLOOKUP($F16,'Visu totale'!$D$3:$DT$129,CY$1,0)</f>
        <v>0</v>
      </c>
      <c r="CZ16" s="13">
        <f>VLOOKUP($F16,'Visu totale'!$D$3:$DT$129,CZ$1,0)</f>
        <v>0</v>
      </c>
      <c r="DA16" s="13">
        <f>VLOOKUP($F16,'Visu totale'!$D$3:$DT$129,DA$1,0)</f>
        <v>0</v>
      </c>
      <c r="DB16" s="13">
        <f>VLOOKUP($F16,'Visu totale'!$D$3:$DT$129,DB$1,0)</f>
        <v>0</v>
      </c>
      <c r="DC16" s="13">
        <f>VLOOKUP($F16,'Visu totale'!$D$3:$DT$129,DC$1,0)</f>
        <v>0</v>
      </c>
      <c r="DD16" s="13">
        <f>VLOOKUP($F16,'Visu totale'!$D$3:$DT$129,DD$1,0)</f>
        <v>0</v>
      </c>
      <c r="DE16" s="13">
        <f>VLOOKUP($F16,'Visu totale'!$D$3:$DT$129,DE$1,0)</f>
        <v>0</v>
      </c>
      <c r="DF16" s="13">
        <f>VLOOKUP($F16,'Visu totale'!$D$3:$DT$129,DF$1,0)</f>
        <v>0</v>
      </c>
      <c r="DG16" s="13">
        <f>VLOOKUP($F16,'Visu totale'!$D$3:$DT$129,DG$1,0)</f>
        <v>0</v>
      </c>
      <c r="DH16" s="13">
        <f>VLOOKUP($F16,'Visu totale'!$D$3:$DT$129,DH$1,0)</f>
        <v>0</v>
      </c>
      <c r="DI16" s="13">
        <f>VLOOKUP($F16,'Visu totale'!$D$3:$DT$129,DI$1,0)</f>
        <v>0</v>
      </c>
      <c r="DJ16" s="15">
        <f>VLOOKUP($F16,'Visu totale'!$D$3:$DT$129,DJ$1,0)</f>
        <v>0</v>
      </c>
      <c r="DK16" s="14">
        <f>VLOOKUP($F16,'Visu totale'!$D$3:$DT$129,DK$1,0)</f>
        <v>0</v>
      </c>
      <c r="DL16" s="13">
        <f>VLOOKUP($F16,'Visu totale'!$D$3:$DT$129,DL$1,0)</f>
        <v>0</v>
      </c>
      <c r="DM16" s="13">
        <f>VLOOKUP($F16,'Visu totale'!$D$3:$DT$129,DM$1,0)</f>
        <v>0</v>
      </c>
      <c r="DN16" s="13">
        <f>VLOOKUP($F16,'Visu totale'!$D$3:$DT$129,DN$1,0)</f>
        <v>0</v>
      </c>
      <c r="DO16" s="13">
        <f>VLOOKUP($F16,'Visu totale'!$D$3:$DT$129,DO$1,0)</f>
        <v>0</v>
      </c>
      <c r="DP16" s="13">
        <f>VLOOKUP($F16,'Visu totale'!$D$3:$DT$129,DP$1,0)</f>
        <v>0</v>
      </c>
      <c r="DQ16" s="13">
        <f>VLOOKUP($F16,'Visu totale'!$D$3:$DT$129,DQ$1,0)</f>
        <v>0</v>
      </c>
      <c r="DR16" s="13">
        <f>VLOOKUP($F16,'Visu totale'!$D$3:$DT$129,DR$1,0)</f>
        <v>0</v>
      </c>
      <c r="DS16" s="13">
        <f>VLOOKUP($F16,'Visu totale'!$D$3:$DT$129,DS$1,0)</f>
        <v>0</v>
      </c>
      <c r="DT16" s="13">
        <f>VLOOKUP($F16,'Visu totale'!$D$3:$DT$129,DT$1,0)</f>
        <v>0</v>
      </c>
      <c r="DU16" s="13">
        <f>VLOOKUP($F16,'Visu totale'!$D$3:$DT$129,DU$1,0)</f>
        <v>0</v>
      </c>
      <c r="DV16" s="15">
        <f>VLOOKUP($F16,'Visu totale'!$D$3:$DT$129,DV$1,0)</f>
        <v>0</v>
      </c>
    </row>
    <row r="17" spans="1:126" s="12" customFormat="1" x14ac:dyDescent="0.25">
      <c r="A17" s="13"/>
      <c r="B17" s="13"/>
      <c r="C17" s="13"/>
      <c r="D17" s="13"/>
      <c r="E17" s="13"/>
      <c r="F17" s="17" t="s">
        <v>131</v>
      </c>
      <c r="G17" s="14">
        <f>VLOOKUP($F17,'Visu totale'!$D$3:$DT$129,G$1,0)</f>
        <v>0</v>
      </c>
      <c r="H17" s="13">
        <f>VLOOKUP($F17,'Visu totale'!$D$3:$DT$129,H$1,0)</f>
        <v>0</v>
      </c>
      <c r="I17" s="13">
        <f>VLOOKUP($F17,'Visu totale'!$D$3:$DT$129,I$1,0)</f>
        <v>0</v>
      </c>
      <c r="J17" s="13">
        <f>VLOOKUP($F17,'Visu totale'!$D$3:$DT$129,J$1,0)</f>
        <v>0</v>
      </c>
      <c r="K17" s="13">
        <f>VLOOKUP($F17,'Visu totale'!$D$3:$DT$129,K$1,0)</f>
        <v>0</v>
      </c>
      <c r="L17" s="13">
        <f>VLOOKUP($F17,'Visu totale'!$D$3:$DT$129,L$1,0)</f>
        <v>0</v>
      </c>
      <c r="M17" s="13">
        <f>VLOOKUP($F17,'Visu totale'!$D$3:$DT$129,M$1,0)</f>
        <v>0</v>
      </c>
      <c r="N17" s="13">
        <f>VLOOKUP($F17,'Visu totale'!$D$3:$DT$129,N$1,0)</f>
        <v>0</v>
      </c>
      <c r="O17" s="13">
        <f>VLOOKUP($F17,'Visu totale'!$D$3:$DT$129,O$1,0)</f>
        <v>0</v>
      </c>
      <c r="P17" s="13">
        <f>VLOOKUP($F17,'Visu totale'!$D$3:$DT$129,P$1,0)</f>
        <v>0</v>
      </c>
      <c r="Q17" s="13">
        <f>VLOOKUP($F17,'Visu totale'!$D$3:$DT$129,Q$1,0)</f>
        <v>0</v>
      </c>
      <c r="R17" s="15">
        <f>VLOOKUP($F17,'Visu totale'!$D$3:$DT$129,R$1,0)</f>
        <v>0</v>
      </c>
      <c r="S17" s="14">
        <f>VLOOKUP($F17,'Visu totale'!$D$3:$DT$129,S$1,0)</f>
        <v>0</v>
      </c>
      <c r="T17" s="13">
        <f>VLOOKUP($F17,'Visu totale'!$D$3:$DT$129,T$1,0)</f>
        <v>0</v>
      </c>
      <c r="U17" s="13">
        <f>VLOOKUP($F17,'Visu totale'!$D$3:$DT$129,U$1,0)</f>
        <v>0</v>
      </c>
      <c r="V17" s="13">
        <f>VLOOKUP($F17,'Visu totale'!$D$3:$DT$129,V$1,0)</f>
        <v>0</v>
      </c>
      <c r="W17" s="13">
        <f>VLOOKUP($F17,'Visu totale'!$D$3:$DT$129,W$1,0)</f>
        <v>0</v>
      </c>
      <c r="X17" s="13">
        <f>VLOOKUP($F17,'Visu totale'!$D$3:$DT$129,X$1,0)</f>
        <v>0</v>
      </c>
      <c r="Y17" s="13">
        <f>VLOOKUP($F17,'Visu totale'!$D$3:$DT$129,Y$1,0)</f>
        <v>0</v>
      </c>
      <c r="Z17" s="13">
        <f>VLOOKUP($F17,'Visu totale'!$D$3:$DT$129,Z$1,0)</f>
        <v>0</v>
      </c>
      <c r="AA17" s="13">
        <f>VLOOKUP($F17,'Visu totale'!$D$3:$DT$129,AA$1,0)</f>
        <v>0</v>
      </c>
      <c r="AB17" s="13">
        <f>VLOOKUP($F17,'Visu totale'!$D$3:$DT$129,AB$1,0)</f>
        <v>0</v>
      </c>
      <c r="AC17" s="13">
        <f>VLOOKUP($F17,'Visu totale'!$D$3:$DT$129,AC$1,0)</f>
        <v>0</v>
      </c>
      <c r="AD17" s="15">
        <f>VLOOKUP($F17,'Visu totale'!$D$3:$DT$129,AD$1,0)</f>
        <v>0</v>
      </c>
      <c r="AE17" s="14">
        <f>VLOOKUP($F17,'Visu totale'!$D$3:$DT$129,AE$1,0)</f>
        <v>0</v>
      </c>
      <c r="AF17" s="13">
        <f>VLOOKUP($F17,'Visu totale'!$D$3:$DT$129,AF$1,0)</f>
        <v>0</v>
      </c>
      <c r="AG17" s="13">
        <f>VLOOKUP($F17,'Visu totale'!$D$3:$DT$129,AG$1,0)</f>
        <v>0</v>
      </c>
      <c r="AH17" s="13">
        <f>VLOOKUP($F17,'Visu totale'!$D$3:$DT$129,AH$1,0)</f>
        <v>0</v>
      </c>
      <c r="AI17" s="13">
        <f>VLOOKUP($F17,'Visu totale'!$D$3:$DT$129,AI$1,0)</f>
        <v>0</v>
      </c>
      <c r="AJ17" s="13">
        <f>VLOOKUP($F17,'Visu totale'!$D$3:$DT$129,AJ$1,0)</f>
        <v>0</v>
      </c>
      <c r="AK17" s="13">
        <f>VLOOKUP($F17,'Visu totale'!$D$3:$DT$129,AK$1,0)</f>
        <v>0</v>
      </c>
      <c r="AL17" s="13">
        <f>VLOOKUP($F17,'Visu totale'!$D$3:$DT$129,AL$1,0)</f>
        <v>0</v>
      </c>
      <c r="AM17" s="13">
        <f>VLOOKUP($F17,'Visu totale'!$D$3:$DT$129,AM$1,0)</f>
        <v>0</v>
      </c>
      <c r="AN17" s="13">
        <f>VLOOKUP($F17,'Visu totale'!$D$3:$DT$129,AN$1,0)</f>
        <v>0</v>
      </c>
      <c r="AO17" s="13">
        <f>VLOOKUP($F17,'Visu totale'!$D$3:$DT$129,AO$1,0)</f>
        <v>0</v>
      </c>
      <c r="AP17" s="15">
        <f>VLOOKUP($F17,'Visu totale'!$D$3:$DT$129,AP$1,0)</f>
        <v>0</v>
      </c>
      <c r="AQ17" s="14">
        <f>VLOOKUP($F17,'Visu totale'!$D$3:$DT$129,AQ$1,0)</f>
        <v>0</v>
      </c>
      <c r="AR17" s="13">
        <f>VLOOKUP($F17,'Visu totale'!$D$3:$DT$129,AR$1,0)</f>
        <v>0</v>
      </c>
      <c r="AS17" s="13">
        <f>VLOOKUP($F17,'Visu totale'!$D$3:$DT$129,AS$1,0)</f>
        <v>0</v>
      </c>
      <c r="AT17" s="13">
        <f>VLOOKUP($F17,'Visu totale'!$D$3:$DT$129,AT$1,0)</f>
        <v>0</v>
      </c>
      <c r="AU17" s="13">
        <f>VLOOKUP($F17,'Visu totale'!$D$3:$DT$129,AU$1,0)</f>
        <v>0</v>
      </c>
      <c r="AV17" s="13">
        <f>VLOOKUP($F17,'Visu totale'!$D$3:$DT$129,AV$1,0)</f>
        <v>0</v>
      </c>
      <c r="AW17" s="13">
        <f>VLOOKUP($F17,'Visu totale'!$D$3:$DT$129,AW$1,0)</f>
        <v>0</v>
      </c>
      <c r="AX17" s="13">
        <f>VLOOKUP($F17,'Visu totale'!$D$3:$DT$129,AX$1,0)</f>
        <v>0</v>
      </c>
      <c r="AY17" s="13">
        <f>VLOOKUP($F17,'Visu totale'!$D$3:$DT$129,AY$1,0)</f>
        <v>0</v>
      </c>
      <c r="AZ17" s="13">
        <f>VLOOKUP($F17,'Visu totale'!$D$3:$DT$129,AZ$1,0)</f>
        <v>0</v>
      </c>
      <c r="BA17" s="13">
        <f>VLOOKUP($F17,'Visu totale'!$D$3:$DT$129,BA$1,0)</f>
        <v>0</v>
      </c>
      <c r="BB17" s="15">
        <f>VLOOKUP($F17,'Visu totale'!$D$3:$DT$129,BB$1,0)</f>
        <v>0</v>
      </c>
      <c r="BC17" s="14">
        <f>VLOOKUP($F17,'Visu totale'!$D$3:$DT$129,BC$1,0)</f>
        <v>0</v>
      </c>
      <c r="BD17" s="13">
        <f>VLOOKUP($F17,'Visu totale'!$D$3:$DT$129,BD$1,0)</f>
        <v>0</v>
      </c>
      <c r="BE17" s="13">
        <f>VLOOKUP($F17,'Visu totale'!$D$3:$DT$129,BE$1,0)</f>
        <v>0</v>
      </c>
      <c r="BF17" s="13">
        <f>VLOOKUP($F17,'Visu totale'!$D$3:$DT$129,BF$1,0)</f>
        <v>0</v>
      </c>
      <c r="BG17" s="13">
        <f>VLOOKUP($F17,'Visu totale'!$D$3:$DT$129,BG$1,0)</f>
        <v>0</v>
      </c>
      <c r="BH17" s="13">
        <f>VLOOKUP($F17,'Visu totale'!$D$3:$DT$129,BH$1,0)</f>
        <v>0</v>
      </c>
      <c r="BI17" s="13">
        <f>VLOOKUP($F17,'Visu totale'!$D$3:$DT$129,BI$1,0)</f>
        <v>0</v>
      </c>
      <c r="BJ17" s="13">
        <f>VLOOKUP($F17,'Visu totale'!$D$3:$DT$129,BJ$1,0)</f>
        <v>0</v>
      </c>
      <c r="BK17" s="13">
        <f>VLOOKUP($F17,'Visu totale'!$D$3:$DT$129,BK$1,0)</f>
        <v>0</v>
      </c>
      <c r="BL17" s="13">
        <f>VLOOKUP($F17,'Visu totale'!$D$3:$DT$129,BL$1,0)</f>
        <v>0</v>
      </c>
      <c r="BM17" s="13">
        <f>VLOOKUP($F17,'Visu totale'!$D$3:$DT$129,BM$1,0)</f>
        <v>0</v>
      </c>
      <c r="BN17" s="15">
        <f>VLOOKUP($F17,'Visu totale'!$D$3:$DT$129,BN$1,0)</f>
        <v>0</v>
      </c>
      <c r="BO17" s="14">
        <f>VLOOKUP($F17,'Visu totale'!$D$3:$DT$129,BO$1,0)</f>
        <v>0</v>
      </c>
      <c r="BP17" s="13">
        <f>VLOOKUP($F17,'Visu totale'!$D$3:$DT$129,BP$1,0)</f>
        <v>0</v>
      </c>
      <c r="BQ17" s="13">
        <f>VLOOKUP($F17,'Visu totale'!$D$3:$DT$129,BQ$1,0)</f>
        <v>0</v>
      </c>
      <c r="BR17" s="13">
        <f>VLOOKUP($F17,'Visu totale'!$D$3:$DT$129,BR$1,0)</f>
        <v>0</v>
      </c>
      <c r="BS17" s="13">
        <f>VLOOKUP($F17,'Visu totale'!$D$3:$DT$129,BS$1,0)</f>
        <v>0</v>
      </c>
      <c r="BT17" s="13">
        <f>VLOOKUP($F17,'Visu totale'!$D$3:$DT$129,BT$1,0)</f>
        <v>0</v>
      </c>
      <c r="BU17" s="13">
        <f>VLOOKUP($F17,'Visu totale'!$D$3:$DT$129,BU$1,0)</f>
        <v>0</v>
      </c>
      <c r="BV17" s="13">
        <f>VLOOKUP($F17,'Visu totale'!$D$3:$DT$129,BV$1,0)</f>
        <v>0</v>
      </c>
      <c r="BW17" s="13">
        <f>VLOOKUP($F17,'Visu totale'!$D$3:$DT$129,BW$1,0)</f>
        <v>0</v>
      </c>
      <c r="BX17" s="13">
        <f>VLOOKUP($F17,'Visu totale'!$D$3:$DT$129,BX$1,0)</f>
        <v>0</v>
      </c>
      <c r="BY17" s="13">
        <f>VLOOKUP($F17,'Visu totale'!$D$3:$DT$129,BY$1,0)</f>
        <v>0</v>
      </c>
      <c r="BZ17" s="15">
        <f>VLOOKUP($F17,'Visu totale'!$D$3:$DT$129,BZ$1,0)</f>
        <v>0</v>
      </c>
      <c r="CA17" s="14">
        <f>VLOOKUP($F17,'Visu totale'!$D$3:$DT$129,CA$1,0)</f>
        <v>0</v>
      </c>
      <c r="CB17" s="13">
        <f>VLOOKUP($F17,'Visu totale'!$D$3:$DT$129,CB$1,0)</f>
        <v>0</v>
      </c>
      <c r="CC17" s="13">
        <f>VLOOKUP($F17,'Visu totale'!$D$3:$DT$129,CC$1,0)</f>
        <v>0</v>
      </c>
      <c r="CD17" s="13">
        <f>VLOOKUP($F17,'Visu totale'!$D$3:$DT$129,CD$1,0)</f>
        <v>0</v>
      </c>
      <c r="CE17" s="13">
        <f>VLOOKUP($F17,'Visu totale'!$D$3:$DT$129,CE$1,0)</f>
        <v>0</v>
      </c>
      <c r="CF17" s="13">
        <f>VLOOKUP($F17,'Visu totale'!$D$3:$DT$129,CF$1,0)</f>
        <v>0</v>
      </c>
      <c r="CG17" s="13">
        <f>VLOOKUP($F17,'Visu totale'!$D$3:$DT$129,CG$1,0)</f>
        <v>0</v>
      </c>
      <c r="CH17" s="13">
        <f>VLOOKUP($F17,'Visu totale'!$D$3:$DT$129,CH$1,0)</f>
        <v>0</v>
      </c>
      <c r="CI17" s="13">
        <f>VLOOKUP($F17,'Visu totale'!$D$3:$DT$129,CI$1,0)</f>
        <v>0</v>
      </c>
      <c r="CJ17" s="13">
        <f>VLOOKUP($F17,'Visu totale'!$D$3:$DT$129,CJ$1,0)</f>
        <v>0</v>
      </c>
      <c r="CK17" s="13">
        <f>VLOOKUP($F17,'Visu totale'!$D$3:$DT$129,CK$1,0)</f>
        <v>0</v>
      </c>
      <c r="CL17" s="15">
        <f>VLOOKUP($F17,'Visu totale'!$D$3:$DT$129,CL$1,0)</f>
        <v>0</v>
      </c>
      <c r="CM17" s="14">
        <f>VLOOKUP($F17,'Visu totale'!$D$3:$DT$129,CM$1,0)</f>
        <v>0</v>
      </c>
      <c r="CN17" s="13">
        <f>VLOOKUP($F17,'Visu totale'!$D$3:$DT$129,CN$1,0)</f>
        <v>0</v>
      </c>
      <c r="CO17" s="13">
        <f>VLOOKUP($F17,'Visu totale'!$D$3:$DT$129,CO$1,0)</f>
        <v>0</v>
      </c>
      <c r="CP17" s="13">
        <f>VLOOKUP($F17,'Visu totale'!$D$3:$DT$129,CP$1,0)</f>
        <v>0</v>
      </c>
      <c r="CQ17" s="13">
        <f>VLOOKUP($F17,'Visu totale'!$D$3:$DT$129,CQ$1,0)</f>
        <v>0</v>
      </c>
      <c r="CR17" s="13">
        <f>VLOOKUP($F17,'Visu totale'!$D$3:$DT$129,CR$1,0)</f>
        <v>0</v>
      </c>
      <c r="CS17" s="13">
        <f>VLOOKUP($F17,'Visu totale'!$D$3:$DT$129,CS$1,0)</f>
        <v>0</v>
      </c>
      <c r="CT17" s="13">
        <f>VLOOKUP($F17,'Visu totale'!$D$3:$DT$129,CT$1,0)</f>
        <v>0</v>
      </c>
      <c r="CU17" s="13">
        <f>VLOOKUP($F17,'Visu totale'!$D$3:$DT$129,CU$1,0)</f>
        <v>0</v>
      </c>
      <c r="CV17" s="13">
        <f>VLOOKUP($F17,'Visu totale'!$D$3:$DT$129,CV$1,0)</f>
        <v>0</v>
      </c>
      <c r="CW17" s="13">
        <f>VLOOKUP($F17,'Visu totale'!$D$3:$DT$129,CW$1,0)</f>
        <v>0</v>
      </c>
      <c r="CX17" s="15">
        <f>VLOOKUP($F17,'Visu totale'!$D$3:$DT$129,CX$1,0)</f>
        <v>0</v>
      </c>
      <c r="CY17" s="14">
        <f>VLOOKUP($F17,'Visu totale'!$D$3:$DT$129,CY$1,0)</f>
        <v>0</v>
      </c>
      <c r="CZ17" s="13">
        <f>VLOOKUP($F17,'Visu totale'!$D$3:$DT$129,CZ$1,0)</f>
        <v>0</v>
      </c>
      <c r="DA17" s="13">
        <f>VLOOKUP($F17,'Visu totale'!$D$3:$DT$129,DA$1,0)</f>
        <v>0</v>
      </c>
      <c r="DB17" s="13">
        <f>VLOOKUP($F17,'Visu totale'!$D$3:$DT$129,DB$1,0)</f>
        <v>0</v>
      </c>
      <c r="DC17" s="13">
        <f>VLOOKUP($F17,'Visu totale'!$D$3:$DT$129,DC$1,0)</f>
        <v>0</v>
      </c>
      <c r="DD17" s="13">
        <f>VLOOKUP($F17,'Visu totale'!$D$3:$DT$129,DD$1,0)</f>
        <v>0</v>
      </c>
      <c r="DE17" s="13">
        <f>VLOOKUP($F17,'Visu totale'!$D$3:$DT$129,DE$1,0)</f>
        <v>0</v>
      </c>
      <c r="DF17" s="13">
        <f>VLOOKUP($F17,'Visu totale'!$D$3:$DT$129,DF$1,0)</f>
        <v>0</v>
      </c>
      <c r="DG17" s="13">
        <f>VLOOKUP($F17,'Visu totale'!$D$3:$DT$129,DG$1,0)</f>
        <v>0</v>
      </c>
      <c r="DH17" s="13">
        <f>VLOOKUP($F17,'Visu totale'!$D$3:$DT$129,DH$1,0)</f>
        <v>0</v>
      </c>
      <c r="DI17" s="13">
        <f>VLOOKUP($F17,'Visu totale'!$D$3:$DT$129,DI$1,0)</f>
        <v>0</v>
      </c>
      <c r="DJ17" s="15">
        <f>VLOOKUP($F17,'Visu totale'!$D$3:$DT$129,DJ$1,0)</f>
        <v>0</v>
      </c>
      <c r="DK17" s="14">
        <f>VLOOKUP($F17,'Visu totale'!$D$3:$DT$129,DK$1,0)</f>
        <v>0</v>
      </c>
      <c r="DL17" s="13">
        <f>VLOOKUP($F17,'Visu totale'!$D$3:$DT$129,DL$1,0)</f>
        <v>0</v>
      </c>
      <c r="DM17" s="13">
        <f>VLOOKUP($F17,'Visu totale'!$D$3:$DT$129,DM$1,0)</f>
        <v>0</v>
      </c>
      <c r="DN17" s="13">
        <f>VLOOKUP($F17,'Visu totale'!$D$3:$DT$129,DN$1,0)</f>
        <v>0</v>
      </c>
      <c r="DO17" s="13">
        <f>VLOOKUP($F17,'Visu totale'!$D$3:$DT$129,DO$1,0)</f>
        <v>0</v>
      </c>
      <c r="DP17" s="13">
        <f>VLOOKUP($F17,'Visu totale'!$D$3:$DT$129,DP$1,0)</f>
        <v>0</v>
      </c>
      <c r="DQ17" s="13">
        <f>VLOOKUP($F17,'Visu totale'!$D$3:$DT$129,DQ$1,0)</f>
        <v>0</v>
      </c>
      <c r="DR17" s="13">
        <f>VLOOKUP($F17,'Visu totale'!$D$3:$DT$129,DR$1,0)</f>
        <v>0</v>
      </c>
      <c r="DS17" s="13">
        <f>VLOOKUP($F17,'Visu totale'!$D$3:$DT$129,DS$1,0)</f>
        <v>0</v>
      </c>
      <c r="DT17" s="13">
        <f>VLOOKUP($F17,'Visu totale'!$D$3:$DT$129,DT$1,0)</f>
        <v>0</v>
      </c>
      <c r="DU17" s="13">
        <f>VLOOKUP($F17,'Visu totale'!$D$3:$DT$129,DU$1,0)</f>
        <v>0</v>
      </c>
      <c r="DV17" s="15">
        <f>VLOOKUP($F17,'Visu totale'!$D$3:$DT$129,DV$1,0)</f>
        <v>0</v>
      </c>
    </row>
    <row r="18" spans="1:126" s="12" customFormat="1" x14ac:dyDescent="0.25">
      <c r="A18" s="13"/>
      <c r="B18" s="13"/>
      <c r="C18" s="13"/>
      <c r="D18" s="13"/>
      <c r="E18" s="13"/>
      <c r="F18" s="17" t="s">
        <v>132</v>
      </c>
      <c r="G18" s="14">
        <f>VLOOKUP($F18,'Visu totale'!$D$3:$DT$129,G$1,0)</f>
        <v>0</v>
      </c>
      <c r="H18" s="13">
        <f>VLOOKUP($F18,'Visu totale'!$D$3:$DT$129,H$1,0)</f>
        <v>0</v>
      </c>
      <c r="I18" s="13">
        <f>VLOOKUP($F18,'Visu totale'!$D$3:$DT$129,I$1,0)</f>
        <v>0</v>
      </c>
      <c r="J18" s="13">
        <f>VLOOKUP($F18,'Visu totale'!$D$3:$DT$129,J$1,0)</f>
        <v>0</v>
      </c>
      <c r="K18" s="13">
        <f>VLOOKUP($F18,'Visu totale'!$D$3:$DT$129,K$1,0)</f>
        <v>0</v>
      </c>
      <c r="L18" s="13">
        <f>VLOOKUP($F18,'Visu totale'!$D$3:$DT$129,L$1,0)</f>
        <v>0</v>
      </c>
      <c r="M18" s="13">
        <f>VLOOKUP($F18,'Visu totale'!$D$3:$DT$129,M$1,0)</f>
        <v>0</v>
      </c>
      <c r="N18" s="13">
        <f>VLOOKUP($F18,'Visu totale'!$D$3:$DT$129,N$1,0)</f>
        <v>0</v>
      </c>
      <c r="O18" s="13">
        <f>VLOOKUP($F18,'Visu totale'!$D$3:$DT$129,O$1,0)</f>
        <v>0</v>
      </c>
      <c r="P18" s="13">
        <f>VLOOKUP($F18,'Visu totale'!$D$3:$DT$129,P$1,0)</f>
        <v>0</v>
      </c>
      <c r="Q18" s="13">
        <f>VLOOKUP($F18,'Visu totale'!$D$3:$DT$129,Q$1,0)</f>
        <v>0</v>
      </c>
      <c r="R18" s="15">
        <f>VLOOKUP($F18,'Visu totale'!$D$3:$DT$129,R$1,0)</f>
        <v>0</v>
      </c>
      <c r="S18" s="14">
        <f>VLOOKUP($F18,'Visu totale'!$D$3:$DT$129,S$1,0)</f>
        <v>0</v>
      </c>
      <c r="T18" s="13">
        <f>VLOOKUP($F18,'Visu totale'!$D$3:$DT$129,T$1,0)</f>
        <v>0</v>
      </c>
      <c r="U18" s="13">
        <f>VLOOKUP($F18,'Visu totale'!$D$3:$DT$129,U$1,0)</f>
        <v>0</v>
      </c>
      <c r="V18" s="13">
        <f>VLOOKUP($F18,'Visu totale'!$D$3:$DT$129,V$1,0)</f>
        <v>0</v>
      </c>
      <c r="W18" s="13">
        <f>VLOOKUP($F18,'Visu totale'!$D$3:$DT$129,W$1,0)</f>
        <v>0</v>
      </c>
      <c r="X18" s="13">
        <f>VLOOKUP($F18,'Visu totale'!$D$3:$DT$129,X$1,0)</f>
        <v>0</v>
      </c>
      <c r="Y18" s="13">
        <f>VLOOKUP($F18,'Visu totale'!$D$3:$DT$129,Y$1,0)</f>
        <v>0</v>
      </c>
      <c r="Z18" s="13">
        <f>VLOOKUP($F18,'Visu totale'!$D$3:$DT$129,Z$1,0)</f>
        <v>0</v>
      </c>
      <c r="AA18" s="13">
        <f>VLOOKUP($F18,'Visu totale'!$D$3:$DT$129,AA$1,0)</f>
        <v>0</v>
      </c>
      <c r="AB18" s="13">
        <f>VLOOKUP($F18,'Visu totale'!$D$3:$DT$129,AB$1,0)</f>
        <v>0</v>
      </c>
      <c r="AC18" s="13">
        <f>VLOOKUP($F18,'Visu totale'!$D$3:$DT$129,AC$1,0)</f>
        <v>0</v>
      </c>
      <c r="AD18" s="15">
        <f>VLOOKUP($F18,'Visu totale'!$D$3:$DT$129,AD$1,0)</f>
        <v>0</v>
      </c>
      <c r="AE18" s="14">
        <f>VLOOKUP($F18,'Visu totale'!$D$3:$DT$129,AE$1,0)</f>
        <v>0</v>
      </c>
      <c r="AF18" s="13">
        <f>VLOOKUP($F18,'Visu totale'!$D$3:$DT$129,AF$1,0)</f>
        <v>0</v>
      </c>
      <c r="AG18" s="13">
        <f>VLOOKUP($F18,'Visu totale'!$D$3:$DT$129,AG$1,0)</f>
        <v>0</v>
      </c>
      <c r="AH18" s="13">
        <f>VLOOKUP($F18,'Visu totale'!$D$3:$DT$129,AH$1,0)</f>
        <v>0</v>
      </c>
      <c r="AI18" s="13">
        <f>VLOOKUP($F18,'Visu totale'!$D$3:$DT$129,AI$1,0)</f>
        <v>0</v>
      </c>
      <c r="AJ18" s="13">
        <f>VLOOKUP($F18,'Visu totale'!$D$3:$DT$129,AJ$1,0)</f>
        <v>0</v>
      </c>
      <c r="AK18" s="13">
        <f>VLOOKUP($F18,'Visu totale'!$D$3:$DT$129,AK$1,0)</f>
        <v>0</v>
      </c>
      <c r="AL18" s="13">
        <f>VLOOKUP($F18,'Visu totale'!$D$3:$DT$129,AL$1,0)</f>
        <v>0</v>
      </c>
      <c r="AM18" s="13">
        <f>VLOOKUP($F18,'Visu totale'!$D$3:$DT$129,AM$1,0)</f>
        <v>0</v>
      </c>
      <c r="AN18" s="13">
        <f>VLOOKUP($F18,'Visu totale'!$D$3:$DT$129,AN$1,0)</f>
        <v>0</v>
      </c>
      <c r="AO18" s="13">
        <f>VLOOKUP($F18,'Visu totale'!$D$3:$DT$129,AO$1,0)</f>
        <v>0</v>
      </c>
      <c r="AP18" s="15">
        <f>VLOOKUP($F18,'Visu totale'!$D$3:$DT$129,AP$1,0)</f>
        <v>0</v>
      </c>
      <c r="AQ18" s="14">
        <f>VLOOKUP($F18,'Visu totale'!$D$3:$DT$129,AQ$1,0)</f>
        <v>0</v>
      </c>
      <c r="AR18" s="13">
        <f>VLOOKUP($F18,'Visu totale'!$D$3:$DT$129,AR$1,0)</f>
        <v>0</v>
      </c>
      <c r="AS18" s="13">
        <f>VLOOKUP($F18,'Visu totale'!$D$3:$DT$129,AS$1,0)</f>
        <v>0</v>
      </c>
      <c r="AT18" s="13">
        <f>VLOOKUP($F18,'Visu totale'!$D$3:$DT$129,AT$1,0)</f>
        <v>0</v>
      </c>
      <c r="AU18" s="13">
        <f>VLOOKUP($F18,'Visu totale'!$D$3:$DT$129,AU$1,0)</f>
        <v>0</v>
      </c>
      <c r="AV18" s="13">
        <f>VLOOKUP($F18,'Visu totale'!$D$3:$DT$129,AV$1,0)</f>
        <v>0</v>
      </c>
      <c r="AW18" s="13">
        <f>VLOOKUP($F18,'Visu totale'!$D$3:$DT$129,AW$1,0)</f>
        <v>0</v>
      </c>
      <c r="AX18" s="13">
        <f>VLOOKUP($F18,'Visu totale'!$D$3:$DT$129,AX$1,0)</f>
        <v>0</v>
      </c>
      <c r="AY18" s="13">
        <f>VLOOKUP($F18,'Visu totale'!$D$3:$DT$129,AY$1,0)</f>
        <v>0</v>
      </c>
      <c r="AZ18" s="13">
        <f>VLOOKUP($F18,'Visu totale'!$D$3:$DT$129,AZ$1,0)</f>
        <v>0</v>
      </c>
      <c r="BA18" s="13">
        <f>VLOOKUP($F18,'Visu totale'!$D$3:$DT$129,BA$1,0)</f>
        <v>0</v>
      </c>
      <c r="BB18" s="15">
        <f>VLOOKUP($F18,'Visu totale'!$D$3:$DT$129,BB$1,0)</f>
        <v>0</v>
      </c>
      <c r="BC18" s="14">
        <f>VLOOKUP($F18,'Visu totale'!$D$3:$DT$129,BC$1,0)</f>
        <v>0</v>
      </c>
      <c r="BD18" s="13">
        <f>VLOOKUP($F18,'Visu totale'!$D$3:$DT$129,BD$1,0)</f>
        <v>0</v>
      </c>
      <c r="BE18" s="13">
        <f>VLOOKUP($F18,'Visu totale'!$D$3:$DT$129,BE$1,0)</f>
        <v>0</v>
      </c>
      <c r="BF18" s="13">
        <f>VLOOKUP($F18,'Visu totale'!$D$3:$DT$129,BF$1,0)</f>
        <v>0</v>
      </c>
      <c r="BG18" s="13">
        <f>VLOOKUP($F18,'Visu totale'!$D$3:$DT$129,BG$1,0)</f>
        <v>0</v>
      </c>
      <c r="BH18" s="13">
        <f>VLOOKUP($F18,'Visu totale'!$D$3:$DT$129,BH$1,0)</f>
        <v>0</v>
      </c>
      <c r="BI18" s="13">
        <f>VLOOKUP($F18,'Visu totale'!$D$3:$DT$129,BI$1,0)</f>
        <v>0</v>
      </c>
      <c r="BJ18" s="13">
        <f>VLOOKUP($F18,'Visu totale'!$D$3:$DT$129,BJ$1,0)</f>
        <v>0</v>
      </c>
      <c r="BK18" s="13">
        <f>VLOOKUP($F18,'Visu totale'!$D$3:$DT$129,BK$1,0)</f>
        <v>0</v>
      </c>
      <c r="BL18" s="13">
        <f>VLOOKUP($F18,'Visu totale'!$D$3:$DT$129,BL$1,0)</f>
        <v>0</v>
      </c>
      <c r="BM18" s="13">
        <f>VLOOKUP($F18,'Visu totale'!$D$3:$DT$129,BM$1,0)</f>
        <v>0</v>
      </c>
      <c r="BN18" s="15">
        <f>VLOOKUP($F18,'Visu totale'!$D$3:$DT$129,BN$1,0)</f>
        <v>0</v>
      </c>
      <c r="BO18" s="14">
        <f>VLOOKUP($F18,'Visu totale'!$D$3:$DT$129,BO$1,0)</f>
        <v>0</v>
      </c>
      <c r="BP18" s="13">
        <f>VLOOKUP($F18,'Visu totale'!$D$3:$DT$129,BP$1,0)</f>
        <v>0</v>
      </c>
      <c r="BQ18" s="13">
        <f>VLOOKUP($F18,'Visu totale'!$D$3:$DT$129,BQ$1,0)</f>
        <v>0</v>
      </c>
      <c r="BR18" s="13">
        <f>VLOOKUP($F18,'Visu totale'!$D$3:$DT$129,BR$1,0)</f>
        <v>0</v>
      </c>
      <c r="BS18" s="13">
        <f>VLOOKUP($F18,'Visu totale'!$D$3:$DT$129,BS$1,0)</f>
        <v>0</v>
      </c>
      <c r="BT18" s="13">
        <f>VLOOKUP($F18,'Visu totale'!$D$3:$DT$129,BT$1,0)</f>
        <v>0</v>
      </c>
      <c r="BU18" s="13">
        <f>VLOOKUP($F18,'Visu totale'!$D$3:$DT$129,BU$1,0)</f>
        <v>0</v>
      </c>
      <c r="BV18" s="13">
        <f>VLOOKUP($F18,'Visu totale'!$D$3:$DT$129,BV$1,0)</f>
        <v>0</v>
      </c>
      <c r="BW18" s="13">
        <f>VLOOKUP($F18,'Visu totale'!$D$3:$DT$129,BW$1,0)</f>
        <v>0</v>
      </c>
      <c r="BX18" s="13">
        <f>VLOOKUP($F18,'Visu totale'!$D$3:$DT$129,BX$1,0)</f>
        <v>0</v>
      </c>
      <c r="BY18" s="13">
        <f>VLOOKUP($F18,'Visu totale'!$D$3:$DT$129,BY$1,0)</f>
        <v>0</v>
      </c>
      <c r="BZ18" s="15">
        <f>VLOOKUP($F18,'Visu totale'!$D$3:$DT$129,BZ$1,0)</f>
        <v>0</v>
      </c>
      <c r="CA18" s="14">
        <f>VLOOKUP($F18,'Visu totale'!$D$3:$DT$129,CA$1,0)</f>
        <v>0</v>
      </c>
      <c r="CB18" s="13">
        <f>VLOOKUP($F18,'Visu totale'!$D$3:$DT$129,CB$1,0)</f>
        <v>0</v>
      </c>
      <c r="CC18" s="13">
        <f>VLOOKUP($F18,'Visu totale'!$D$3:$DT$129,CC$1,0)</f>
        <v>0</v>
      </c>
      <c r="CD18" s="13">
        <f>VLOOKUP($F18,'Visu totale'!$D$3:$DT$129,CD$1,0)</f>
        <v>0</v>
      </c>
      <c r="CE18" s="13">
        <f>VLOOKUP($F18,'Visu totale'!$D$3:$DT$129,CE$1,0)</f>
        <v>0</v>
      </c>
      <c r="CF18" s="13">
        <f>VLOOKUP($F18,'Visu totale'!$D$3:$DT$129,CF$1,0)</f>
        <v>0</v>
      </c>
      <c r="CG18" s="13">
        <f>VLOOKUP($F18,'Visu totale'!$D$3:$DT$129,CG$1,0)</f>
        <v>0</v>
      </c>
      <c r="CH18" s="13">
        <f>VLOOKUP($F18,'Visu totale'!$D$3:$DT$129,CH$1,0)</f>
        <v>0</v>
      </c>
      <c r="CI18" s="13">
        <f>VLOOKUP($F18,'Visu totale'!$D$3:$DT$129,CI$1,0)</f>
        <v>0</v>
      </c>
      <c r="CJ18" s="13">
        <f>VLOOKUP($F18,'Visu totale'!$D$3:$DT$129,CJ$1,0)</f>
        <v>0</v>
      </c>
      <c r="CK18" s="13">
        <f>VLOOKUP($F18,'Visu totale'!$D$3:$DT$129,CK$1,0)</f>
        <v>0</v>
      </c>
      <c r="CL18" s="15">
        <f>VLOOKUP($F18,'Visu totale'!$D$3:$DT$129,CL$1,0)</f>
        <v>0</v>
      </c>
      <c r="CM18" s="14">
        <f>VLOOKUP($F18,'Visu totale'!$D$3:$DT$129,CM$1,0)</f>
        <v>0</v>
      </c>
      <c r="CN18" s="13">
        <f>VLOOKUP($F18,'Visu totale'!$D$3:$DT$129,CN$1,0)</f>
        <v>0</v>
      </c>
      <c r="CO18" s="13">
        <f>VLOOKUP($F18,'Visu totale'!$D$3:$DT$129,CO$1,0)</f>
        <v>0</v>
      </c>
      <c r="CP18" s="13">
        <f>VLOOKUP($F18,'Visu totale'!$D$3:$DT$129,CP$1,0)</f>
        <v>0</v>
      </c>
      <c r="CQ18" s="13">
        <f>VLOOKUP($F18,'Visu totale'!$D$3:$DT$129,CQ$1,0)</f>
        <v>0</v>
      </c>
      <c r="CR18" s="13">
        <f>VLOOKUP($F18,'Visu totale'!$D$3:$DT$129,CR$1,0)</f>
        <v>0</v>
      </c>
      <c r="CS18" s="13">
        <f>VLOOKUP($F18,'Visu totale'!$D$3:$DT$129,CS$1,0)</f>
        <v>0</v>
      </c>
      <c r="CT18" s="13">
        <f>VLOOKUP($F18,'Visu totale'!$D$3:$DT$129,CT$1,0)</f>
        <v>0</v>
      </c>
      <c r="CU18" s="13">
        <f>VLOOKUP($F18,'Visu totale'!$D$3:$DT$129,CU$1,0)</f>
        <v>0</v>
      </c>
      <c r="CV18" s="13">
        <f>VLOOKUP($F18,'Visu totale'!$D$3:$DT$129,CV$1,0)</f>
        <v>0</v>
      </c>
      <c r="CW18" s="13">
        <f>VLOOKUP($F18,'Visu totale'!$D$3:$DT$129,CW$1,0)</f>
        <v>0</v>
      </c>
      <c r="CX18" s="15">
        <f>VLOOKUP($F18,'Visu totale'!$D$3:$DT$129,CX$1,0)</f>
        <v>0</v>
      </c>
      <c r="CY18" s="14">
        <f>VLOOKUP($F18,'Visu totale'!$D$3:$DT$129,CY$1,0)</f>
        <v>0</v>
      </c>
      <c r="CZ18" s="13">
        <f>VLOOKUP($F18,'Visu totale'!$D$3:$DT$129,CZ$1,0)</f>
        <v>0</v>
      </c>
      <c r="DA18" s="13">
        <f>VLOOKUP($F18,'Visu totale'!$D$3:$DT$129,DA$1,0)</f>
        <v>0</v>
      </c>
      <c r="DB18" s="13">
        <f>VLOOKUP($F18,'Visu totale'!$D$3:$DT$129,DB$1,0)</f>
        <v>0</v>
      </c>
      <c r="DC18" s="13">
        <f>VLOOKUP($F18,'Visu totale'!$D$3:$DT$129,DC$1,0)</f>
        <v>0</v>
      </c>
      <c r="DD18" s="13">
        <f>VLOOKUP($F18,'Visu totale'!$D$3:$DT$129,DD$1,0)</f>
        <v>0</v>
      </c>
      <c r="DE18" s="13">
        <f>VLOOKUP($F18,'Visu totale'!$D$3:$DT$129,DE$1,0)</f>
        <v>0</v>
      </c>
      <c r="DF18" s="13">
        <f>VLOOKUP($F18,'Visu totale'!$D$3:$DT$129,DF$1,0)</f>
        <v>0</v>
      </c>
      <c r="DG18" s="13">
        <f>VLOOKUP($F18,'Visu totale'!$D$3:$DT$129,DG$1,0)</f>
        <v>0</v>
      </c>
      <c r="DH18" s="13">
        <f>VLOOKUP($F18,'Visu totale'!$D$3:$DT$129,DH$1,0)</f>
        <v>0</v>
      </c>
      <c r="DI18" s="13">
        <f>VLOOKUP($F18,'Visu totale'!$D$3:$DT$129,DI$1,0)</f>
        <v>0</v>
      </c>
      <c r="DJ18" s="15">
        <f>VLOOKUP($F18,'Visu totale'!$D$3:$DT$129,DJ$1,0)</f>
        <v>0</v>
      </c>
      <c r="DK18" s="14">
        <f>VLOOKUP($F18,'Visu totale'!$D$3:$DT$129,DK$1,0)</f>
        <v>0</v>
      </c>
      <c r="DL18" s="13">
        <f>VLOOKUP($F18,'Visu totale'!$D$3:$DT$129,DL$1,0)</f>
        <v>0</v>
      </c>
      <c r="DM18" s="13">
        <f>VLOOKUP($F18,'Visu totale'!$D$3:$DT$129,DM$1,0)</f>
        <v>0</v>
      </c>
      <c r="DN18" s="13">
        <f>VLOOKUP($F18,'Visu totale'!$D$3:$DT$129,DN$1,0)</f>
        <v>0</v>
      </c>
      <c r="DO18" s="13">
        <f>VLOOKUP($F18,'Visu totale'!$D$3:$DT$129,DO$1,0)</f>
        <v>0</v>
      </c>
      <c r="DP18" s="13">
        <f>VLOOKUP($F18,'Visu totale'!$D$3:$DT$129,DP$1,0)</f>
        <v>0</v>
      </c>
      <c r="DQ18" s="13">
        <f>VLOOKUP($F18,'Visu totale'!$D$3:$DT$129,DQ$1,0)</f>
        <v>0</v>
      </c>
      <c r="DR18" s="13">
        <f>VLOOKUP($F18,'Visu totale'!$D$3:$DT$129,DR$1,0)</f>
        <v>0</v>
      </c>
      <c r="DS18" s="13">
        <f>VLOOKUP($F18,'Visu totale'!$D$3:$DT$129,DS$1,0)</f>
        <v>0</v>
      </c>
      <c r="DT18" s="13">
        <f>VLOOKUP($F18,'Visu totale'!$D$3:$DT$129,DT$1,0)</f>
        <v>0</v>
      </c>
      <c r="DU18" s="13">
        <f>VLOOKUP($F18,'Visu totale'!$D$3:$DT$129,DU$1,0)</f>
        <v>0</v>
      </c>
      <c r="DV18" s="15">
        <f>VLOOKUP($F18,'Visu totale'!$D$3:$DT$129,DV$1,0)</f>
        <v>0</v>
      </c>
    </row>
    <row r="19" spans="1:126" s="12" customFormat="1" x14ac:dyDescent="0.25">
      <c r="A19" s="13"/>
      <c r="B19" s="13"/>
      <c r="C19" s="13"/>
      <c r="D19" s="13"/>
      <c r="E19" s="13"/>
      <c r="F19" s="17" t="s">
        <v>119</v>
      </c>
      <c r="G19" s="14">
        <f>VLOOKUP($F19,'Visu totale'!$D$3:$DT$129,G$1,0)</f>
        <v>0</v>
      </c>
      <c r="H19" s="13">
        <f>VLOOKUP($F19,'Visu totale'!$D$3:$DT$129,H$1,0)</f>
        <v>0</v>
      </c>
      <c r="I19" s="13">
        <f>VLOOKUP($F19,'Visu totale'!$D$3:$DT$129,I$1,0)</f>
        <v>0</v>
      </c>
      <c r="J19" s="13">
        <f>VLOOKUP($F19,'Visu totale'!$D$3:$DT$129,J$1,0)</f>
        <v>0</v>
      </c>
      <c r="K19" s="13">
        <f>VLOOKUP($F19,'Visu totale'!$D$3:$DT$129,K$1,0)</f>
        <v>0</v>
      </c>
      <c r="L19" s="13">
        <f>VLOOKUP($F19,'Visu totale'!$D$3:$DT$129,L$1,0)</f>
        <v>0</v>
      </c>
      <c r="M19" s="13">
        <f>VLOOKUP($F19,'Visu totale'!$D$3:$DT$129,M$1,0)</f>
        <v>0</v>
      </c>
      <c r="N19" s="13">
        <f>VLOOKUP($F19,'Visu totale'!$D$3:$DT$129,N$1,0)</f>
        <v>0</v>
      </c>
      <c r="O19" s="13">
        <f>VLOOKUP($F19,'Visu totale'!$D$3:$DT$129,O$1,0)</f>
        <v>0</v>
      </c>
      <c r="P19" s="13">
        <f>VLOOKUP($F19,'Visu totale'!$D$3:$DT$129,P$1,0)</f>
        <v>0</v>
      </c>
      <c r="Q19" s="13">
        <f>VLOOKUP($F19,'Visu totale'!$D$3:$DT$129,Q$1,0)</f>
        <v>0</v>
      </c>
      <c r="R19" s="15">
        <f>VLOOKUP($F19,'Visu totale'!$D$3:$DT$129,R$1,0)</f>
        <v>0</v>
      </c>
      <c r="S19" s="14">
        <f>VLOOKUP($F19,'Visu totale'!$D$3:$DT$129,S$1,0)</f>
        <v>0</v>
      </c>
      <c r="T19" s="13">
        <f>VLOOKUP($F19,'Visu totale'!$D$3:$DT$129,T$1,0)</f>
        <v>0</v>
      </c>
      <c r="U19" s="13">
        <f>VLOOKUP($F19,'Visu totale'!$D$3:$DT$129,U$1,0)</f>
        <v>0</v>
      </c>
      <c r="V19" s="13">
        <f>VLOOKUP($F19,'Visu totale'!$D$3:$DT$129,V$1,0)</f>
        <v>0</v>
      </c>
      <c r="W19" s="13">
        <f>VLOOKUP($F19,'Visu totale'!$D$3:$DT$129,W$1,0)</f>
        <v>0</v>
      </c>
      <c r="X19" s="13">
        <f>VLOOKUP($F19,'Visu totale'!$D$3:$DT$129,X$1,0)</f>
        <v>0</v>
      </c>
      <c r="Y19" s="13">
        <f>VLOOKUP($F19,'Visu totale'!$D$3:$DT$129,Y$1,0)</f>
        <v>0</v>
      </c>
      <c r="Z19" s="13">
        <f>VLOOKUP($F19,'Visu totale'!$D$3:$DT$129,Z$1,0)</f>
        <v>0</v>
      </c>
      <c r="AA19" s="13">
        <f>VLOOKUP($F19,'Visu totale'!$D$3:$DT$129,AA$1,0)</f>
        <v>0</v>
      </c>
      <c r="AB19" s="13">
        <f>VLOOKUP($F19,'Visu totale'!$D$3:$DT$129,AB$1,0)</f>
        <v>0</v>
      </c>
      <c r="AC19" s="13">
        <f>VLOOKUP($F19,'Visu totale'!$D$3:$DT$129,AC$1,0)</f>
        <v>0</v>
      </c>
      <c r="AD19" s="15">
        <f>VLOOKUP($F19,'Visu totale'!$D$3:$DT$129,AD$1,0)</f>
        <v>0</v>
      </c>
      <c r="AE19" s="14">
        <f>VLOOKUP($F19,'Visu totale'!$D$3:$DT$129,AE$1,0)</f>
        <v>0</v>
      </c>
      <c r="AF19" s="13">
        <f>VLOOKUP($F19,'Visu totale'!$D$3:$DT$129,AF$1,0)</f>
        <v>0</v>
      </c>
      <c r="AG19" s="13">
        <f>VLOOKUP($F19,'Visu totale'!$D$3:$DT$129,AG$1,0)</f>
        <v>0</v>
      </c>
      <c r="AH19" s="13">
        <f>VLOOKUP($F19,'Visu totale'!$D$3:$DT$129,AH$1,0)</f>
        <v>0</v>
      </c>
      <c r="AI19" s="13">
        <f>VLOOKUP($F19,'Visu totale'!$D$3:$DT$129,AI$1,0)</f>
        <v>0</v>
      </c>
      <c r="AJ19" s="13">
        <f>VLOOKUP($F19,'Visu totale'!$D$3:$DT$129,AJ$1,0)</f>
        <v>0</v>
      </c>
      <c r="AK19" s="13">
        <f>VLOOKUP($F19,'Visu totale'!$D$3:$DT$129,AK$1,0)</f>
        <v>0</v>
      </c>
      <c r="AL19" s="13">
        <f>VLOOKUP($F19,'Visu totale'!$D$3:$DT$129,AL$1,0)</f>
        <v>0</v>
      </c>
      <c r="AM19" s="13">
        <f>VLOOKUP($F19,'Visu totale'!$D$3:$DT$129,AM$1,0)</f>
        <v>0</v>
      </c>
      <c r="AN19" s="13">
        <f>VLOOKUP($F19,'Visu totale'!$D$3:$DT$129,AN$1,0)</f>
        <v>0</v>
      </c>
      <c r="AO19" s="13">
        <f>VLOOKUP($F19,'Visu totale'!$D$3:$DT$129,AO$1,0)</f>
        <v>0</v>
      </c>
      <c r="AP19" s="15">
        <f>VLOOKUP($F19,'Visu totale'!$D$3:$DT$129,AP$1,0)</f>
        <v>0</v>
      </c>
      <c r="AQ19" s="14">
        <f>VLOOKUP($F19,'Visu totale'!$D$3:$DT$129,AQ$1,0)</f>
        <v>0</v>
      </c>
      <c r="AR19" s="13">
        <f>VLOOKUP($F19,'Visu totale'!$D$3:$DT$129,AR$1,0)</f>
        <v>0</v>
      </c>
      <c r="AS19" s="13">
        <f>VLOOKUP($F19,'Visu totale'!$D$3:$DT$129,AS$1,0)</f>
        <v>0</v>
      </c>
      <c r="AT19" s="13">
        <f>VLOOKUP($F19,'Visu totale'!$D$3:$DT$129,AT$1,0)</f>
        <v>0</v>
      </c>
      <c r="AU19" s="13">
        <f>VLOOKUP($F19,'Visu totale'!$D$3:$DT$129,AU$1,0)</f>
        <v>0</v>
      </c>
      <c r="AV19" s="13">
        <f>VLOOKUP($F19,'Visu totale'!$D$3:$DT$129,AV$1,0)</f>
        <v>0</v>
      </c>
      <c r="AW19" s="13">
        <f>VLOOKUP($F19,'Visu totale'!$D$3:$DT$129,AW$1,0)</f>
        <v>0</v>
      </c>
      <c r="AX19" s="13">
        <f>VLOOKUP($F19,'Visu totale'!$D$3:$DT$129,AX$1,0)</f>
        <v>0</v>
      </c>
      <c r="AY19" s="13">
        <f>VLOOKUP($F19,'Visu totale'!$D$3:$DT$129,AY$1,0)</f>
        <v>0</v>
      </c>
      <c r="AZ19" s="13">
        <f>VLOOKUP($F19,'Visu totale'!$D$3:$DT$129,AZ$1,0)</f>
        <v>0</v>
      </c>
      <c r="BA19" s="13">
        <f>VLOOKUP($F19,'Visu totale'!$D$3:$DT$129,BA$1,0)</f>
        <v>0</v>
      </c>
      <c r="BB19" s="15">
        <f>VLOOKUP($F19,'Visu totale'!$D$3:$DT$129,BB$1,0)</f>
        <v>0</v>
      </c>
      <c r="BC19" s="14">
        <f>VLOOKUP($F19,'Visu totale'!$D$3:$DT$129,BC$1,0)</f>
        <v>0</v>
      </c>
      <c r="BD19" s="13">
        <f>VLOOKUP($F19,'Visu totale'!$D$3:$DT$129,BD$1,0)</f>
        <v>0</v>
      </c>
      <c r="BE19" s="13">
        <f>VLOOKUP($F19,'Visu totale'!$D$3:$DT$129,BE$1,0)</f>
        <v>0</v>
      </c>
      <c r="BF19" s="13">
        <f>VLOOKUP($F19,'Visu totale'!$D$3:$DT$129,BF$1,0)</f>
        <v>0</v>
      </c>
      <c r="BG19" s="13">
        <f>VLOOKUP($F19,'Visu totale'!$D$3:$DT$129,BG$1,0)</f>
        <v>0</v>
      </c>
      <c r="BH19" s="13">
        <f>VLOOKUP($F19,'Visu totale'!$D$3:$DT$129,BH$1,0)</f>
        <v>0</v>
      </c>
      <c r="BI19" s="13">
        <f>VLOOKUP($F19,'Visu totale'!$D$3:$DT$129,BI$1,0)</f>
        <v>0</v>
      </c>
      <c r="BJ19" s="13">
        <f>VLOOKUP($F19,'Visu totale'!$D$3:$DT$129,BJ$1,0)</f>
        <v>0</v>
      </c>
      <c r="BK19" s="13">
        <f>VLOOKUP($F19,'Visu totale'!$D$3:$DT$129,BK$1,0)</f>
        <v>0</v>
      </c>
      <c r="BL19" s="13">
        <f>VLOOKUP($F19,'Visu totale'!$D$3:$DT$129,BL$1,0)</f>
        <v>0</v>
      </c>
      <c r="BM19" s="13">
        <f>VLOOKUP($F19,'Visu totale'!$D$3:$DT$129,BM$1,0)</f>
        <v>0</v>
      </c>
      <c r="BN19" s="15">
        <f>VLOOKUP($F19,'Visu totale'!$D$3:$DT$129,BN$1,0)</f>
        <v>0</v>
      </c>
      <c r="BO19" s="14">
        <f>VLOOKUP($F19,'Visu totale'!$D$3:$DT$129,BO$1,0)</f>
        <v>0</v>
      </c>
      <c r="BP19" s="13">
        <f>VLOOKUP($F19,'Visu totale'!$D$3:$DT$129,BP$1,0)</f>
        <v>0</v>
      </c>
      <c r="BQ19" s="13">
        <f>VLOOKUP($F19,'Visu totale'!$D$3:$DT$129,BQ$1,0)</f>
        <v>0</v>
      </c>
      <c r="BR19" s="13">
        <f>VLOOKUP($F19,'Visu totale'!$D$3:$DT$129,BR$1,0)</f>
        <v>0</v>
      </c>
      <c r="BS19" s="13">
        <f>VLOOKUP($F19,'Visu totale'!$D$3:$DT$129,BS$1,0)</f>
        <v>0</v>
      </c>
      <c r="BT19" s="13">
        <f>VLOOKUP($F19,'Visu totale'!$D$3:$DT$129,BT$1,0)</f>
        <v>0</v>
      </c>
      <c r="BU19" s="13">
        <f>VLOOKUP($F19,'Visu totale'!$D$3:$DT$129,BU$1,0)</f>
        <v>0</v>
      </c>
      <c r="BV19" s="13">
        <f>VLOOKUP($F19,'Visu totale'!$D$3:$DT$129,BV$1,0)</f>
        <v>0</v>
      </c>
      <c r="BW19" s="13">
        <f>VLOOKUP($F19,'Visu totale'!$D$3:$DT$129,BW$1,0)</f>
        <v>0</v>
      </c>
      <c r="BX19" s="13">
        <f>VLOOKUP($F19,'Visu totale'!$D$3:$DT$129,BX$1,0)</f>
        <v>0</v>
      </c>
      <c r="BY19" s="13">
        <f>VLOOKUP($F19,'Visu totale'!$D$3:$DT$129,BY$1,0)</f>
        <v>0</v>
      </c>
      <c r="BZ19" s="15">
        <f>VLOOKUP($F19,'Visu totale'!$D$3:$DT$129,BZ$1,0)</f>
        <v>0</v>
      </c>
      <c r="CA19" s="14">
        <f>VLOOKUP($F19,'Visu totale'!$D$3:$DT$129,CA$1,0)</f>
        <v>0</v>
      </c>
      <c r="CB19" s="13">
        <f>VLOOKUP($F19,'Visu totale'!$D$3:$DT$129,CB$1,0)</f>
        <v>0</v>
      </c>
      <c r="CC19" s="13">
        <f>VLOOKUP($F19,'Visu totale'!$D$3:$DT$129,CC$1,0)</f>
        <v>0</v>
      </c>
      <c r="CD19" s="13">
        <f>VLOOKUP($F19,'Visu totale'!$D$3:$DT$129,CD$1,0)</f>
        <v>0</v>
      </c>
      <c r="CE19" s="13">
        <f>VLOOKUP($F19,'Visu totale'!$D$3:$DT$129,CE$1,0)</f>
        <v>0</v>
      </c>
      <c r="CF19" s="13">
        <f>VLOOKUP($F19,'Visu totale'!$D$3:$DT$129,CF$1,0)</f>
        <v>0</v>
      </c>
      <c r="CG19" s="13">
        <f>VLOOKUP($F19,'Visu totale'!$D$3:$DT$129,CG$1,0)</f>
        <v>0</v>
      </c>
      <c r="CH19" s="13">
        <f>VLOOKUP($F19,'Visu totale'!$D$3:$DT$129,CH$1,0)</f>
        <v>0</v>
      </c>
      <c r="CI19" s="13">
        <f>VLOOKUP($F19,'Visu totale'!$D$3:$DT$129,CI$1,0)</f>
        <v>0</v>
      </c>
      <c r="CJ19" s="13">
        <f>VLOOKUP($F19,'Visu totale'!$D$3:$DT$129,CJ$1,0)</f>
        <v>0</v>
      </c>
      <c r="CK19" s="13">
        <f>VLOOKUP($F19,'Visu totale'!$D$3:$DT$129,CK$1,0)</f>
        <v>0</v>
      </c>
      <c r="CL19" s="15">
        <f>VLOOKUP($F19,'Visu totale'!$D$3:$DT$129,CL$1,0)</f>
        <v>0</v>
      </c>
      <c r="CM19" s="14">
        <f>VLOOKUP($F19,'Visu totale'!$D$3:$DT$129,CM$1,0)</f>
        <v>0</v>
      </c>
      <c r="CN19" s="13">
        <f>VLOOKUP($F19,'Visu totale'!$D$3:$DT$129,CN$1,0)</f>
        <v>0</v>
      </c>
      <c r="CO19" s="13">
        <f>VLOOKUP($F19,'Visu totale'!$D$3:$DT$129,CO$1,0)</f>
        <v>0</v>
      </c>
      <c r="CP19" s="13">
        <f>VLOOKUP($F19,'Visu totale'!$D$3:$DT$129,CP$1,0)</f>
        <v>0</v>
      </c>
      <c r="CQ19" s="13">
        <f>VLOOKUP($F19,'Visu totale'!$D$3:$DT$129,CQ$1,0)</f>
        <v>0</v>
      </c>
      <c r="CR19" s="13">
        <f>VLOOKUP($F19,'Visu totale'!$D$3:$DT$129,CR$1,0)</f>
        <v>0</v>
      </c>
      <c r="CS19" s="13">
        <f>VLOOKUP($F19,'Visu totale'!$D$3:$DT$129,CS$1,0)</f>
        <v>0</v>
      </c>
      <c r="CT19" s="13">
        <f>VLOOKUP($F19,'Visu totale'!$D$3:$DT$129,CT$1,0)</f>
        <v>0</v>
      </c>
      <c r="CU19" s="13">
        <f>VLOOKUP($F19,'Visu totale'!$D$3:$DT$129,CU$1,0)</f>
        <v>0</v>
      </c>
      <c r="CV19" s="13">
        <f>VLOOKUP($F19,'Visu totale'!$D$3:$DT$129,CV$1,0)</f>
        <v>0</v>
      </c>
      <c r="CW19" s="13">
        <f>VLOOKUP($F19,'Visu totale'!$D$3:$DT$129,CW$1,0)</f>
        <v>0</v>
      </c>
      <c r="CX19" s="15">
        <f>VLOOKUP($F19,'Visu totale'!$D$3:$DT$129,CX$1,0)</f>
        <v>0</v>
      </c>
      <c r="CY19" s="14">
        <f>VLOOKUP($F19,'Visu totale'!$D$3:$DT$129,CY$1,0)</f>
        <v>0</v>
      </c>
      <c r="CZ19" s="13">
        <f>VLOOKUP($F19,'Visu totale'!$D$3:$DT$129,CZ$1,0)</f>
        <v>0</v>
      </c>
      <c r="DA19" s="13">
        <f>VLOOKUP($F19,'Visu totale'!$D$3:$DT$129,DA$1,0)</f>
        <v>0</v>
      </c>
      <c r="DB19" s="13">
        <f>VLOOKUP($F19,'Visu totale'!$D$3:$DT$129,DB$1,0)</f>
        <v>0</v>
      </c>
      <c r="DC19" s="13">
        <f>VLOOKUP($F19,'Visu totale'!$D$3:$DT$129,DC$1,0)</f>
        <v>0</v>
      </c>
      <c r="DD19" s="13">
        <f>VLOOKUP($F19,'Visu totale'!$D$3:$DT$129,DD$1,0)</f>
        <v>0</v>
      </c>
      <c r="DE19" s="13">
        <f>VLOOKUP($F19,'Visu totale'!$D$3:$DT$129,DE$1,0)</f>
        <v>0</v>
      </c>
      <c r="DF19" s="13">
        <f>VLOOKUP($F19,'Visu totale'!$D$3:$DT$129,DF$1,0)</f>
        <v>0</v>
      </c>
      <c r="DG19" s="13">
        <f>VLOOKUP($F19,'Visu totale'!$D$3:$DT$129,DG$1,0)</f>
        <v>0</v>
      </c>
      <c r="DH19" s="13">
        <f>VLOOKUP($F19,'Visu totale'!$D$3:$DT$129,DH$1,0)</f>
        <v>0</v>
      </c>
      <c r="DI19" s="13">
        <f>VLOOKUP($F19,'Visu totale'!$D$3:$DT$129,DI$1,0)</f>
        <v>0</v>
      </c>
      <c r="DJ19" s="15">
        <f>VLOOKUP($F19,'Visu totale'!$D$3:$DT$129,DJ$1,0)</f>
        <v>0</v>
      </c>
      <c r="DK19" s="14">
        <f>VLOOKUP($F19,'Visu totale'!$D$3:$DT$129,DK$1,0)</f>
        <v>0</v>
      </c>
      <c r="DL19" s="13">
        <f>VLOOKUP($F19,'Visu totale'!$D$3:$DT$129,DL$1,0)</f>
        <v>0</v>
      </c>
      <c r="DM19" s="13">
        <f>VLOOKUP($F19,'Visu totale'!$D$3:$DT$129,DM$1,0)</f>
        <v>0</v>
      </c>
      <c r="DN19" s="13">
        <f>VLOOKUP($F19,'Visu totale'!$D$3:$DT$129,DN$1,0)</f>
        <v>0</v>
      </c>
      <c r="DO19" s="13">
        <f>VLOOKUP($F19,'Visu totale'!$D$3:$DT$129,DO$1,0)</f>
        <v>0</v>
      </c>
      <c r="DP19" s="13">
        <f>VLOOKUP($F19,'Visu totale'!$D$3:$DT$129,DP$1,0)</f>
        <v>0</v>
      </c>
      <c r="DQ19" s="13">
        <f>VLOOKUP($F19,'Visu totale'!$D$3:$DT$129,DQ$1,0)</f>
        <v>0</v>
      </c>
      <c r="DR19" s="13">
        <f>VLOOKUP($F19,'Visu totale'!$D$3:$DT$129,DR$1,0)</f>
        <v>0</v>
      </c>
      <c r="DS19" s="13">
        <f>VLOOKUP($F19,'Visu totale'!$D$3:$DT$129,DS$1,0)</f>
        <v>0</v>
      </c>
      <c r="DT19" s="13">
        <f>VLOOKUP($F19,'Visu totale'!$D$3:$DT$129,DT$1,0)</f>
        <v>0</v>
      </c>
      <c r="DU19" s="13">
        <f>VLOOKUP($F19,'Visu totale'!$D$3:$DT$129,DU$1,0)</f>
        <v>0</v>
      </c>
      <c r="DV19" s="15">
        <f>VLOOKUP($F19,'Visu totale'!$D$3:$DT$129,DV$1,0)</f>
        <v>0</v>
      </c>
    </row>
    <row r="20" spans="1:126" s="12" customFormat="1" x14ac:dyDescent="0.25">
      <c r="A20" s="13"/>
      <c r="B20" s="13"/>
      <c r="C20" s="13"/>
      <c r="D20" s="13"/>
      <c r="E20" s="13"/>
      <c r="F20" s="17" t="s">
        <v>120</v>
      </c>
      <c r="G20" s="14">
        <f>VLOOKUP($F20,'Visu totale'!$D$3:$DT$129,G$1,0)</f>
        <v>0</v>
      </c>
      <c r="H20" s="13">
        <f>VLOOKUP($F20,'Visu totale'!$D$3:$DT$129,H$1,0)</f>
        <v>0</v>
      </c>
      <c r="I20" s="13">
        <f>VLOOKUP($F20,'Visu totale'!$D$3:$DT$129,I$1,0)</f>
        <v>0</v>
      </c>
      <c r="J20" s="13">
        <f>VLOOKUP($F20,'Visu totale'!$D$3:$DT$129,J$1,0)</f>
        <v>0</v>
      </c>
      <c r="K20" s="13">
        <f>VLOOKUP($F20,'Visu totale'!$D$3:$DT$129,K$1,0)</f>
        <v>0</v>
      </c>
      <c r="L20" s="13">
        <f>VLOOKUP($F20,'Visu totale'!$D$3:$DT$129,L$1,0)</f>
        <v>0</v>
      </c>
      <c r="M20" s="13">
        <f>VLOOKUP($F20,'Visu totale'!$D$3:$DT$129,M$1,0)</f>
        <v>0</v>
      </c>
      <c r="N20" s="13">
        <f>VLOOKUP($F20,'Visu totale'!$D$3:$DT$129,N$1,0)</f>
        <v>0</v>
      </c>
      <c r="O20" s="13">
        <f>VLOOKUP($F20,'Visu totale'!$D$3:$DT$129,O$1,0)</f>
        <v>0</v>
      </c>
      <c r="P20" s="13">
        <f>VLOOKUP($F20,'Visu totale'!$D$3:$DT$129,P$1,0)</f>
        <v>0</v>
      </c>
      <c r="Q20" s="13">
        <f>VLOOKUP($F20,'Visu totale'!$D$3:$DT$129,Q$1,0)</f>
        <v>0</v>
      </c>
      <c r="R20" s="15">
        <f>VLOOKUP($F20,'Visu totale'!$D$3:$DT$129,R$1,0)</f>
        <v>0</v>
      </c>
      <c r="S20" s="14">
        <f>VLOOKUP($F20,'Visu totale'!$D$3:$DT$129,S$1,0)</f>
        <v>0</v>
      </c>
      <c r="T20" s="13">
        <f>VLOOKUP($F20,'Visu totale'!$D$3:$DT$129,T$1,0)</f>
        <v>0</v>
      </c>
      <c r="U20" s="13">
        <f>VLOOKUP($F20,'Visu totale'!$D$3:$DT$129,U$1,0)</f>
        <v>0</v>
      </c>
      <c r="V20" s="13">
        <f>VLOOKUP($F20,'Visu totale'!$D$3:$DT$129,V$1,0)</f>
        <v>0</v>
      </c>
      <c r="W20" s="13">
        <f>VLOOKUP($F20,'Visu totale'!$D$3:$DT$129,W$1,0)</f>
        <v>0</v>
      </c>
      <c r="X20" s="13">
        <f>VLOOKUP($F20,'Visu totale'!$D$3:$DT$129,X$1,0)</f>
        <v>0</v>
      </c>
      <c r="Y20" s="13">
        <f>VLOOKUP($F20,'Visu totale'!$D$3:$DT$129,Y$1,0)</f>
        <v>0</v>
      </c>
      <c r="Z20" s="13">
        <f>VLOOKUP($F20,'Visu totale'!$D$3:$DT$129,Z$1,0)</f>
        <v>0</v>
      </c>
      <c r="AA20" s="13">
        <f>VLOOKUP($F20,'Visu totale'!$D$3:$DT$129,AA$1,0)</f>
        <v>0</v>
      </c>
      <c r="AB20" s="13">
        <f>VLOOKUP($F20,'Visu totale'!$D$3:$DT$129,AB$1,0)</f>
        <v>0</v>
      </c>
      <c r="AC20" s="13">
        <f>VLOOKUP($F20,'Visu totale'!$D$3:$DT$129,AC$1,0)</f>
        <v>0</v>
      </c>
      <c r="AD20" s="15">
        <f>VLOOKUP($F20,'Visu totale'!$D$3:$DT$129,AD$1,0)</f>
        <v>0</v>
      </c>
      <c r="AE20" s="14">
        <f>VLOOKUP($F20,'Visu totale'!$D$3:$DT$129,AE$1,0)</f>
        <v>0</v>
      </c>
      <c r="AF20" s="13">
        <f>VLOOKUP($F20,'Visu totale'!$D$3:$DT$129,AF$1,0)</f>
        <v>0</v>
      </c>
      <c r="AG20" s="13">
        <f>VLOOKUP($F20,'Visu totale'!$D$3:$DT$129,AG$1,0)</f>
        <v>0</v>
      </c>
      <c r="AH20" s="13">
        <f>VLOOKUP($F20,'Visu totale'!$D$3:$DT$129,AH$1,0)</f>
        <v>0</v>
      </c>
      <c r="AI20" s="13">
        <f>VLOOKUP($F20,'Visu totale'!$D$3:$DT$129,AI$1,0)</f>
        <v>0</v>
      </c>
      <c r="AJ20" s="13">
        <f>VLOOKUP($F20,'Visu totale'!$D$3:$DT$129,AJ$1,0)</f>
        <v>0</v>
      </c>
      <c r="AK20" s="13">
        <f>VLOOKUP($F20,'Visu totale'!$D$3:$DT$129,AK$1,0)</f>
        <v>0</v>
      </c>
      <c r="AL20" s="13">
        <f>VLOOKUP($F20,'Visu totale'!$D$3:$DT$129,AL$1,0)</f>
        <v>0</v>
      </c>
      <c r="AM20" s="13">
        <f>VLOOKUP($F20,'Visu totale'!$D$3:$DT$129,AM$1,0)</f>
        <v>0</v>
      </c>
      <c r="AN20" s="13">
        <f>VLOOKUP($F20,'Visu totale'!$D$3:$DT$129,AN$1,0)</f>
        <v>0</v>
      </c>
      <c r="AO20" s="13">
        <f>VLOOKUP($F20,'Visu totale'!$D$3:$DT$129,AO$1,0)</f>
        <v>0</v>
      </c>
      <c r="AP20" s="15">
        <f>VLOOKUP($F20,'Visu totale'!$D$3:$DT$129,AP$1,0)</f>
        <v>0</v>
      </c>
      <c r="AQ20" s="14">
        <f>VLOOKUP($F20,'Visu totale'!$D$3:$DT$129,AQ$1,0)</f>
        <v>0</v>
      </c>
      <c r="AR20" s="13">
        <f>VLOOKUP($F20,'Visu totale'!$D$3:$DT$129,AR$1,0)</f>
        <v>0</v>
      </c>
      <c r="AS20" s="13">
        <f>VLOOKUP($F20,'Visu totale'!$D$3:$DT$129,AS$1,0)</f>
        <v>0</v>
      </c>
      <c r="AT20" s="13">
        <f>VLOOKUP($F20,'Visu totale'!$D$3:$DT$129,AT$1,0)</f>
        <v>0</v>
      </c>
      <c r="AU20" s="13">
        <f>VLOOKUP($F20,'Visu totale'!$D$3:$DT$129,AU$1,0)</f>
        <v>0</v>
      </c>
      <c r="AV20" s="13">
        <f>VLOOKUP($F20,'Visu totale'!$D$3:$DT$129,AV$1,0)</f>
        <v>0</v>
      </c>
      <c r="AW20" s="13">
        <f>VLOOKUP($F20,'Visu totale'!$D$3:$DT$129,AW$1,0)</f>
        <v>0</v>
      </c>
      <c r="AX20" s="13">
        <f>VLOOKUP($F20,'Visu totale'!$D$3:$DT$129,AX$1,0)</f>
        <v>0</v>
      </c>
      <c r="AY20" s="13">
        <f>VLOOKUP($F20,'Visu totale'!$D$3:$DT$129,AY$1,0)</f>
        <v>0</v>
      </c>
      <c r="AZ20" s="13">
        <f>VLOOKUP($F20,'Visu totale'!$D$3:$DT$129,AZ$1,0)</f>
        <v>0</v>
      </c>
      <c r="BA20" s="13">
        <f>VLOOKUP($F20,'Visu totale'!$D$3:$DT$129,BA$1,0)</f>
        <v>0</v>
      </c>
      <c r="BB20" s="15">
        <f>VLOOKUP($F20,'Visu totale'!$D$3:$DT$129,BB$1,0)</f>
        <v>0</v>
      </c>
      <c r="BC20" s="14">
        <f>VLOOKUP($F20,'Visu totale'!$D$3:$DT$129,BC$1,0)</f>
        <v>0</v>
      </c>
      <c r="BD20" s="13">
        <f>VLOOKUP($F20,'Visu totale'!$D$3:$DT$129,BD$1,0)</f>
        <v>0</v>
      </c>
      <c r="BE20" s="13">
        <f>VLOOKUP($F20,'Visu totale'!$D$3:$DT$129,BE$1,0)</f>
        <v>0</v>
      </c>
      <c r="BF20" s="13">
        <f>VLOOKUP($F20,'Visu totale'!$D$3:$DT$129,BF$1,0)</f>
        <v>0</v>
      </c>
      <c r="BG20" s="13">
        <f>VLOOKUP($F20,'Visu totale'!$D$3:$DT$129,BG$1,0)</f>
        <v>0</v>
      </c>
      <c r="BH20" s="13">
        <f>VLOOKUP($F20,'Visu totale'!$D$3:$DT$129,BH$1,0)</f>
        <v>0</v>
      </c>
      <c r="BI20" s="13">
        <f>VLOOKUP($F20,'Visu totale'!$D$3:$DT$129,BI$1,0)</f>
        <v>0</v>
      </c>
      <c r="BJ20" s="13">
        <f>VLOOKUP($F20,'Visu totale'!$D$3:$DT$129,BJ$1,0)</f>
        <v>0</v>
      </c>
      <c r="BK20" s="13">
        <f>VLOOKUP($F20,'Visu totale'!$D$3:$DT$129,BK$1,0)</f>
        <v>0</v>
      </c>
      <c r="BL20" s="13">
        <f>VLOOKUP($F20,'Visu totale'!$D$3:$DT$129,BL$1,0)</f>
        <v>0</v>
      </c>
      <c r="BM20" s="13">
        <f>VLOOKUP($F20,'Visu totale'!$D$3:$DT$129,BM$1,0)</f>
        <v>0</v>
      </c>
      <c r="BN20" s="15">
        <f>VLOOKUP($F20,'Visu totale'!$D$3:$DT$129,BN$1,0)</f>
        <v>0</v>
      </c>
      <c r="BO20" s="14">
        <f>VLOOKUP($F20,'Visu totale'!$D$3:$DT$129,BO$1,0)</f>
        <v>0</v>
      </c>
      <c r="BP20" s="13">
        <f>VLOOKUP($F20,'Visu totale'!$D$3:$DT$129,BP$1,0)</f>
        <v>0</v>
      </c>
      <c r="BQ20" s="13">
        <f>VLOOKUP($F20,'Visu totale'!$D$3:$DT$129,BQ$1,0)</f>
        <v>0</v>
      </c>
      <c r="BR20" s="13">
        <f>VLOOKUP($F20,'Visu totale'!$D$3:$DT$129,BR$1,0)</f>
        <v>0</v>
      </c>
      <c r="BS20" s="13">
        <f>VLOOKUP($F20,'Visu totale'!$D$3:$DT$129,BS$1,0)</f>
        <v>0</v>
      </c>
      <c r="BT20" s="13">
        <f>VLOOKUP($F20,'Visu totale'!$D$3:$DT$129,BT$1,0)</f>
        <v>0</v>
      </c>
      <c r="BU20" s="13">
        <f>VLOOKUP($F20,'Visu totale'!$D$3:$DT$129,BU$1,0)</f>
        <v>0</v>
      </c>
      <c r="BV20" s="13">
        <f>VLOOKUP($F20,'Visu totale'!$D$3:$DT$129,BV$1,0)</f>
        <v>0</v>
      </c>
      <c r="BW20" s="13">
        <f>VLOOKUP($F20,'Visu totale'!$D$3:$DT$129,BW$1,0)</f>
        <v>0</v>
      </c>
      <c r="BX20" s="13">
        <f>VLOOKUP($F20,'Visu totale'!$D$3:$DT$129,BX$1,0)</f>
        <v>0</v>
      </c>
      <c r="BY20" s="13">
        <f>VLOOKUP($F20,'Visu totale'!$D$3:$DT$129,BY$1,0)</f>
        <v>0</v>
      </c>
      <c r="BZ20" s="15">
        <f>VLOOKUP($F20,'Visu totale'!$D$3:$DT$129,BZ$1,0)</f>
        <v>0</v>
      </c>
      <c r="CA20" s="14">
        <f>VLOOKUP($F20,'Visu totale'!$D$3:$DT$129,CA$1,0)</f>
        <v>0</v>
      </c>
      <c r="CB20" s="13">
        <f>VLOOKUP($F20,'Visu totale'!$D$3:$DT$129,CB$1,0)</f>
        <v>0</v>
      </c>
      <c r="CC20" s="13">
        <f>VLOOKUP($F20,'Visu totale'!$D$3:$DT$129,CC$1,0)</f>
        <v>0</v>
      </c>
      <c r="CD20" s="13">
        <f>VLOOKUP($F20,'Visu totale'!$D$3:$DT$129,CD$1,0)</f>
        <v>0</v>
      </c>
      <c r="CE20" s="13">
        <f>VLOOKUP($F20,'Visu totale'!$D$3:$DT$129,CE$1,0)</f>
        <v>0</v>
      </c>
      <c r="CF20" s="13">
        <f>VLOOKUP($F20,'Visu totale'!$D$3:$DT$129,CF$1,0)</f>
        <v>0</v>
      </c>
      <c r="CG20" s="13">
        <f>VLOOKUP($F20,'Visu totale'!$D$3:$DT$129,CG$1,0)</f>
        <v>0</v>
      </c>
      <c r="CH20" s="13">
        <f>VLOOKUP($F20,'Visu totale'!$D$3:$DT$129,CH$1,0)</f>
        <v>0</v>
      </c>
      <c r="CI20" s="13">
        <f>VLOOKUP($F20,'Visu totale'!$D$3:$DT$129,CI$1,0)</f>
        <v>0</v>
      </c>
      <c r="CJ20" s="13">
        <f>VLOOKUP($F20,'Visu totale'!$D$3:$DT$129,CJ$1,0)</f>
        <v>0</v>
      </c>
      <c r="CK20" s="13">
        <f>VLOOKUP($F20,'Visu totale'!$D$3:$DT$129,CK$1,0)</f>
        <v>0</v>
      </c>
      <c r="CL20" s="15">
        <f>VLOOKUP($F20,'Visu totale'!$D$3:$DT$129,CL$1,0)</f>
        <v>0</v>
      </c>
      <c r="CM20" s="14">
        <f>VLOOKUP($F20,'Visu totale'!$D$3:$DT$129,CM$1,0)</f>
        <v>0</v>
      </c>
      <c r="CN20" s="13">
        <f>VLOOKUP($F20,'Visu totale'!$D$3:$DT$129,CN$1,0)</f>
        <v>0</v>
      </c>
      <c r="CO20" s="13">
        <f>VLOOKUP($F20,'Visu totale'!$D$3:$DT$129,CO$1,0)</f>
        <v>0</v>
      </c>
      <c r="CP20" s="13">
        <f>VLOOKUP($F20,'Visu totale'!$D$3:$DT$129,CP$1,0)</f>
        <v>0</v>
      </c>
      <c r="CQ20" s="13">
        <f>VLOOKUP($F20,'Visu totale'!$D$3:$DT$129,CQ$1,0)</f>
        <v>0</v>
      </c>
      <c r="CR20" s="13">
        <f>VLOOKUP($F20,'Visu totale'!$D$3:$DT$129,CR$1,0)</f>
        <v>0</v>
      </c>
      <c r="CS20" s="13">
        <f>VLOOKUP($F20,'Visu totale'!$D$3:$DT$129,CS$1,0)</f>
        <v>0</v>
      </c>
      <c r="CT20" s="13">
        <f>VLOOKUP($F20,'Visu totale'!$D$3:$DT$129,CT$1,0)</f>
        <v>0</v>
      </c>
      <c r="CU20" s="13">
        <f>VLOOKUP($F20,'Visu totale'!$D$3:$DT$129,CU$1,0)</f>
        <v>0</v>
      </c>
      <c r="CV20" s="13">
        <f>VLOOKUP($F20,'Visu totale'!$D$3:$DT$129,CV$1,0)</f>
        <v>0</v>
      </c>
      <c r="CW20" s="13">
        <f>VLOOKUP($F20,'Visu totale'!$D$3:$DT$129,CW$1,0)</f>
        <v>0</v>
      </c>
      <c r="CX20" s="15">
        <f>VLOOKUP($F20,'Visu totale'!$D$3:$DT$129,CX$1,0)</f>
        <v>0</v>
      </c>
      <c r="CY20" s="14">
        <f>VLOOKUP($F20,'Visu totale'!$D$3:$DT$129,CY$1,0)</f>
        <v>0</v>
      </c>
      <c r="CZ20" s="13">
        <f>VLOOKUP($F20,'Visu totale'!$D$3:$DT$129,CZ$1,0)</f>
        <v>0</v>
      </c>
      <c r="DA20" s="13">
        <f>VLOOKUP($F20,'Visu totale'!$D$3:$DT$129,DA$1,0)</f>
        <v>0</v>
      </c>
      <c r="DB20" s="13">
        <f>VLOOKUP($F20,'Visu totale'!$D$3:$DT$129,DB$1,0)</f>
        <v>0</v>
      </c>
      <c r="DC20" s="13">
        <f>VLOOKUP($F20,'Visu totale'!$D$3:$DT$129,DC$1,0)</f>
        <v>0</v>
      </c>
      <c r="DD20" s="13">
        <f>VLOOKUP($F20,'Visu totale'!$D$3:$DT$129,DD$1,0)</f>
        <v>0</v>
      </c>
      <c r="DE20" s="13">
        <f>VLOOKUP($F20,'Visu totale'!$D$3:$DT$129,DE$1,0)</f>
        <v>0</v>
      </c>
      <c r="DF20" s="13">
        <f>VLOOKUP($F20,'Visu totale'!$D$3:$DT$129,DF$1,0)</f>
        <v>0</v>
      </c>
      <c r="DG20" s="13">
        <f>VLOOKUP($F20,'Visu totale'!$D$3:$DT$129,DG$1,0)</f>
        <v>0</v>
      </c>
      <c r="DH20" s="13">
        <f>VLOOKUP($F20,'Visu totale'!$D$3:$DT$129,DH$1,0)</f>
        <v>0</v>
      </c>
      <c r="DI20" s="13">
        <f>VLOOKUP($F20,'Visu totale'!$D$3:$DT$129,DI$1,0)</f>
        <v>0</v>
      </c>
      <c r="DJ20" s="15">
        <f>VLOOKUP($F20,'Visu totale'!$D$3:$DT$129,DJ$1,0)</f>
        <v>0</v>
      </c>
      <c r="DK20" s="14">
        <f>VLOOKUP($F20,'Visu totale'!$D$3:$DT$129,DK$1,0)</f>
        <v>0</v>
      </c>
      <c r="DL20" s="13">
        <f>VLOOKUP($F20,'Visu totale'!$D$3:$DT$129,DL$1,0)</f>
        <v>0</v>
      </c>
      <c r="DM20" s="13">
        <f>VLOOKUP($F20,'Visu totale'!$D$3:$DT$129,DM$1,0)</f>
        <v>0</v>
      </c>
      <c r="DN20" s="13">
        <f>VLOOKUP($F20,'Visu totale'!$D$3:$DT$129,DN$1,0)</f>
        <v>0</v>
      </c>
      <c r="DO20" s="13">
        <f>VLOOKUP($F20,'Visu totale'!$D$3:$DT$129,DO$1,0)</f>
        <v>0</v>
      </c>
      <c r="DP20" s="13">
        <f>VLOOKUP($F20,'Visu totale'!$D$3:$DT$129,DP$1,0)</f>
        <v>0</v>
      </c>
      <c r="DQ20" s="13">
        <f>VLOOKUP($F20,'Visu totale'!$D$3:$DT$129,DQ$1,0)</f>
        <v>0</v>
      </c>
      <c r="DR20" s="13">
        <f>VLOOKUP($F20,'Visu totale'!$D$3:$DT$129,DR$1,0)</f>
        <v>0</v>
      </c>
      <c r="DS20" s="13">
        <f>VLOOKUP($F20,'Visu totale'!$D$3:$DT$129,DS$1,0)</f>
        <v>0</v>
      </c>
      <c r="DT20" s="13">
        <f>VLOOKUP($F20,'Visu totale'!$D$3:$DT$129,DT$1,0)</f>
        <v>0</v>
      </c>
      <c r="DU20" s="13">
        <f>VLOOKUP($F20,'Visu totale'!$D$3:$DT$129,DU$1,0)</f>
        <v>0</v>
      </c>
      <c r="DV20" s="15">
        <f>VLOOKUP($F20,'Visu totale'!$D$3:$DT$129,DV$1,0)</f>
        <v>0</v>
      </c>
    </row>
    <row r="21" spans="1:126" s="12" customFormat="1" x14ac:dyDescent="0.25">
      <c r="A21" s="13"/>
      <c r="B21" s="13"/>
      <c r="C21" s="13"/>
      <c r="D21" s="13"/>
      <c r="E21" s="13"/>
      <c r="F21" s="17" t="s">
        <v>121</v>
      </c>
      <c r="G21" s="14">
        <f>VLOOKUP($F21,'Visu totale'!$D$3:$DT$129,G$1,0)</f>
        <v>0</v>
      </c>
      <c r="H21" s="13">
        <f>VLOOKUP($F21,'Visu totale'!$D$3:$DT$129,H$1,0)</f>
        <v>0</v>
      </c>
      <c r="I21" s="13">
        <f>VLOOKUP($F21,'Visu totale'!$D$3:$DT$129,I$1,0)</f>
        <v>0</v>
      </c>
      <c r="J21" s="13">
        <f>VLOOKUP($F21,'Visu totale'!$D$3:$DT$129,J$1,0)</f>
        <v>0</v>
      </c>
      <c r="K21" s="13">
        <f>VLOOKUP($F21,'Visu totale'!$D$3:$DT$129,K$1,0)</f>
        <v>0</v>
      </c>
      <c r="L21" s="13">
        <f>VLOOKUP($F21,'Visu totale'!$D$3:$DT$129,L$1,0)</f>
        <v>0</v>
      </c>
      <c r="M21" s="13">
        <f>VLOOKUP($F21,'Visu totale'!$D$3:$DT$129,M$1,0)</f>
        <v>0</v>
      </c>
      <c r="N21" s="13">
        <f>VLOOKUP($F21,'Visu totale'!$D$3:$DT$129,N$1,0)</f>
        <v>0</v>
      </c>
      <c r="O21" s="13">
        <f>VLOOKUP($F21,'Visu totale'!$D$3:$DT$129,O$1,0)</f>
        <v>0</v>
      </c>
      <c r="P21" s="13">
        <f>VLOOKUP($F21,'Visu totale'!$D$3:$DT$129,P$1,0)</f>
        <v>0</v>
      </c>
      <c r="Q21" s="13">
        <f>VLOOKUP($F21,'Visu totale'!$D$3:$DT$129,Q$1,0)</f>
        <v>0</v>
      </c>
      <c r="R21" s="15">
        <f>VLOOKUP($F21,'Visu totale'!$D$3:$DT$129,R$1,0)</f>
        <v>0</v>
      </c>
      <c r="S21" s="14">
        <f>VLOOKUP($F21,'Visu totale'!$D$3:$DT$129,S$1,0)</f>
        <v>0</v>
      </c>
      <c r="T21" s="13">
        <f>VLOOKUP($F21,'Visu totale'!$D$3:$DT$129,T$1,0)</f>
        <v>0</v>
      </c>
      <c r="U21" s="13">
        <f>VLOOKUP($F21,'Visu totale'!$D$3:$DT$129,U$1,0)</f>
        <v>0</v>
      </c>
      <c r="V21" s="13">
        <f>VLOOKUP($F21,'Visu totale'!$D$3:$DT$129,V$1,0)</f>
        <v>0</v>
      </c>
      <c r="W21" s="13">
        <f>VLOOKUP($F21,'Visu totale'!$D$3:$DT$129,W$1,0)</f>
        <v>0</v>
      </c>
      <c r="X21" s="13">
        <f>VLOOKUP($F21,'Visu totale'!$D$3:$DT$129,X$1,0)</f>
        <v>0</v>
      </c>
      <c r="Y21" s="13">
        <f>VLOOKUP($F21,'Visu totale'!$D$3:$DT$129,Y$1,0)</f>
        <v>0</v>
      </c>
      <c r="Z21" s="13">
        <f>VLOOKUP($F21,'Visu totale'!$D$3:$DT$129,Z$1,0)</f>
        <v>0</v>
      </c>
      <c r="AA21" s="13">
        <f>VLOOKUP($F21,'Visu totale'!$D$3:$DT$129,AA$1,0)</f>
        <v>0</v>
      </c>
      <c r="AB21" s="13">
        <f>VLOOKUP($F21,'Visu totale'!$D$3:$DT$129,AB$1,0)</f>
        <v>0</v>
      </c>
      <c r="AC21" s="13">
        <f>VLOOKUP($F21,'Visu totale'!$D$3:$DT$129,AC$1,0)</f>
        <v>0</v>
      </c>
      <c r="AD21" s="15">
        <f>VLOOKUP($F21,'Visu totale'!$D$3:$DT$129,AD$1,0)</f>
        <v>0</v>
      </c>
      <c r="AE21" s="14">
        <f>VLOOKUP($F21,'Visu totale'!$D$3:$DT$129,AE$1,0)</f>
        <v>0</v>
      </c>
      <c r="AF21" s="13">
        <f>VLOOKUP($F21,'Visu totale'!$D$3:$DT$129,AF$1,0)</f>
        <v>0</v>
      </c>
      <c r="AG21" s="13">
        <f>VLOOKUP($F21,'Visu totale'!$D$3:$DT$129,AG$1,0)</f>
        <v>0</v>
      </c>
      <c r="AH21" s="13">
        <f>VLOOKUP($F21,'Visu totale'!$D$3:$DT$129,AH$1,0)</f>
        <v>0</v>
      </c>
      <c r="AI21" s="13">
        <f>VLOOKUP($F21,'Visu totale'!$D$3:$DT$129,AI$1,0)</f>
        <v>0</v>
      </c>
      <c r="AJ21" s="13">
        <f>VLOOKUP($F21,'Visu totale'!$D$3:$DT$129,AJ$1,0)</f>
        <v>0</v>
      </c>
      <c r="AK21" s="13">
        <f>VLOOKUP($F21,'Visu totale'!$D$3:$DT$129,AK$1,0)</f>
        <v>0</v>
      </c>
      <c r="AL21" s="13">
        <f>VLOOKUP($F21,'Visu totale'!$D$3:$DT$129,AL$1,0)</f>
        <v>0</v>
      </c>
      <c r="AM21" s="13">
        <f>VLOOKUP($F21,'Visu totale'!$D$3:$DT$129,AM$1,0)</f>
        <v>0</v>
      </c>
      <c r="AN21" s="13">
        <f>VLOOKUP($F21,'Visu totale'!$D$3:$DT$129,AN$1,0)</f>
        <v>0</v>
      </c>
      <c r="AO21" s="13">
        <f>VLOOKUP($F21,'Visu totale'!$D$3:$DT$129,AO$1,0)</f>
        <v>0</v>
      </c>
      <c r="AP21" s="15">
        <f>VLOOKUP($F21,'Visu totale'!$D$3:$DT$129,AP$1,0)</f>
        <v>0</v>
      </c>
      <c r="AQ21" s="14">
        <f>VLOOKUP($F21,'Visu totale'!$D$3:$DT$129,AQ$1,0)</f>
        <v>0</v>
      </c>
      <c r="AR21" s="13">
        <f>VLOOKUP($F21,'Visu totale'!$D$3:$DT$129,AR$1,0)</f>
        <v>0</v>
      </c>
      <c r="AS21" s="13">
        <f>VLOOKUP($F21,'Visu totale'!$D$3:$DT$129,AS$1,0)</f>
        <v>0</v>
      </c>
      <c r="AT21" s="13">
        <f>VLOOKUP($F21,'Visu totale'!$D$3:$DT$129,AT$1,0)</f>
        <v>0</v>
      </c>
      <c r="AU21" s="13">
        <f>VLOOKUP($F21,'Visu totale'!$D$3:$DT$129,AU$1,0)</f>
        <v>0</v>
      </c>
      <c r="AV21" s="13">
        <f>VLOOKUP($F21,'Visu totale'!$D$3:$DT$129,AV$1,0)</f>
        <v>0</v>
      </c>
      <c r="AW21" s="13">
        <f>VLOOKUP($F21,'Visu totale'!$D$3:$DT$129,AW$1,0)</f>
        <v>0</v>
      </c>
      <c r="AX21" s="13">
        <f>VLOOKUP($F21,'Visu totale'!$D$3:$DT$129,AX$1,0)</f>
        <v>0</v>
      </c>
      <c r="AY21" s="13">
        <f>VLOOKUP($F21,'Visu totale'!$D$3:$DT$129,AY$1,0)</f>
        <v>0</v>
      </c>
      <c r="AZ21" s="13">
        <f>VLOOKUP($F21,'Visu totale'!$D$3:$DT$129,AZ$1,0)</f>
        <v>0</v>
      </c>
      <c r="BA21" s="13">
        <f>VLOOKUP($F21,'Visu totale'!$D$3:$DT$129,BA$1,0)</f>
        <v>0</v>
      </c>
      <c r="BB21" s="15">
        <f>VLOOKUP($F21,'Visu totale'!$D$3:$DT$129,BB$1,0)</f>
        <v>0</v>
      </c>
      <c r="BC21" s="14">
        <f>VLOOKUP($F21,'Visu totale'!$D$3:$DT$129,BC$1,0)</f>
        <v>0</v>
      </c>
      <c r="BD21" s="13">
        <f>VLOOKUP($F21,'Visu totale'!$D$3:$DT$129,BD$1,0)</f>
        <v>0</v>
      </c>
      <c r="BE21" s="13">
        <f>VLOOKUP($F21,'Visu totale'!$D$3:$DT$129,BE$1,0)</f>
        <v>0</v>
      </c>
      <c r="BF21" s="13">
        <f>VLOOKUP($F21,'Visu totale'!$D$3:$DT$129,BF$1,0)</f>
        <v>0</v>
      </c>
      <c r="BG21" s="13">
        <f>VLOOKUP($F21,'Visu totale'!$D$3:$DT$129,BG$1,0)</f>
        <v>0</v>
      </c>
      <c r="BH21" s="13">
        <f>VLOOKUP($F21,'Visu totale'!$D$3:$DT$129,BH$1,0)</f>
        <v>0</v>
      </c>
      <c r="BI21" s="13">
        <f>VLOOKUP($F21,'Visu totale'!$D$3:$DT$129,BI$1,0)</f>
        <v>0</v>
      </c>
      <c r="BJ21" s="13">
        <f>VLOOKUP($F21,'Visu totale'!$D$3:$DT$129,BJ$1,0)</f>
        <v>0</v>
      </c>
      <c r="BK21" s="13">
        <f>VLOOKUP($F21,'Visu totale'!$D$3:$DT$129,BK$1,0)</f>
        <v>0</v>
      </c>
      <c r="BL21" s="13">
        <f>VLOOKUP($F21,'Visu totale'!$D$3:$DT$129,BL$1,0)</f>
        <v>0</v>
      </c>
      <c r="BM21" s="13">
        <f>VLOOKUP($F21,'Visu totale'!$D$3:$DT$129,BM$1,0)</f>
        <v>0</v>
      </c>
      <c r="BN21" s="15">
        <f>VLOOKUP($F21,'Visu totale'!$D$3:$DT$129,BN$1,0)</f>
        <v>0</v>
      </c>
      <c r="BO21" s="14">
        <f>VLOOKUP($F21,'Visu totale'!$D$3:$DT$129,BO$1,0)</f>
        <v>0</v>
      </c>
      <c r="BP21" s="13">
        <f>VLOOKUP($F21,'Visu totale'!$D$3:$DT$129,BP$1,0)</f>
        <v>0</v>
      </c>
      <c r="BQ21" s="13">
        <f>VLOOKUP($F21,'Visu totale'!$D$3:$DT$129,BQ$1,0)</f>
        <v>0</v>
      </c>
      <c r="BR21" s="13">
        <f>VLOOKUP($F21,'Visu totale'!$D$3:$DT$129,BR$1,0)</f>
        <v>0</v>
      </c>
      <c r="BS21" s="13">
        <f>VLOOKUP($F21,'Visu totale'!$D$3:$DT$129,BS$1,0)</f>
        <v>0</v>
      </c>
      <c r="BT21" s="13">
        <f>VLOOKUP($F21,'Visu totale'!$D$3:$DT$129,BT$1,0)</f>
        <v>0</v>
      </c>
      <c r="BU21" s="13">
        <f>VLOOKUP($F21,'Visu totale'!$D$3:$DT$129,BU$1,0)</f>
        <v>0</v>
      </c>
      <c r="BV21" s="13">
        <f>VLOOKUP($F21,'Visu totale'!$D$3:$DT$129,BV$1,0)</f>
        <v>0</v>
      </c>
      <c r="BW21" s="13">
        <f>VLOOKUP($F21,'Visu totale'!$D$3:$DT$129,BW$1,0)</f>
        <v>0</v>
      </c>
      <c r="BX21" s="13">
        <f>VLOOKUP($F21,'Visu totale'!$D$3:$DT$129,BX$1,0)</f>
        <v>0</v>
      </c>
      <c r="BY21" s="13">
        <f>VLOOKUP($F21,'Visu totale'!$D$3:$DT$129,BY$1,0)</f>
        <v>0</v>
      </c>
      <c r="BZ21" s="15">
        <f>VLOOKUP($F21,'Visu totale'!$D$3:$DT$129,BZ$1,0)</f>
        <v>0</v>
      </c>
      <c r="CA21" s="14">
        <f>VLOOKUP($F21,'Visu totale'!$D$3:$DT$129,CA$1,0)</f>
        <v>0</v>
      </c>
      <c r="CB21" s="13">
        <f>VLOOKUP($F21,'Visu totale'!$D$3:$DT$129,CB$1,0)</f>
        <v>0</v>
      </c>
      <c r="CC21" s="13">
        <f>VLOOKUP($F21,'Visu totale'!$D$3:$DT$129,CC$1,0)</f>
        <v>0</v>
      </c>
      <c r="CD21" s="13">
        <f>VLOOKUP($F21,'Visu totale'!$D$3:$DT$129,CD$1,0)</f>
        <v>0</v>
      </c>
      <c r="CE21" s="13">
        <f>VLOOKUP($F21,'Visu totale'!$D$3:$DT$129,CE$1,0)</f>
        <v>0</v>
      </c>
      <c r="CF21" s="13">
        <f>VLOOKUP($F21,'Visu totale'!$D$3:$DT$129,CF$1,0)</f>
        <v>0</v>
      </c>
      <c r="CG21" s="13">
        <f>VLOOKUP($F21,'Visu totale'!$D$3:$DT$129,CG$1,0)</f>
        <v>0</v>
      </c>
      <c r="CH21" s="13">
        <f>VLOOKUP($F21,'Visu totale'!$D$3:$DT$129,CH$1,0)</f>
        <v>0</v>
      </c>
      <c r="CI21" s="13">
        <f>VLOOKUP($F21,'Visu totale'!$D$3:$DT$129,CI$1,0)</f>
        <v>0</v>
      </c>
      <c r="CJ21" s="13">
        <f>VLOOKUP($F21,'Visu totale'!$D$3:$DT$129,CJ$1,0)</f>
        <v>0</v>
      </c>
      <c r="CK21" s="13">
        <f>VLOOKUP($F21,'Visu totale'!$D$3:$DT$129,CK$1,0)</f>
        <v>0</v>
      </c>
      <c r="CL21" s="15">
        <f>VLOOKUP($F21,'Visu totale'!$D$3:$DT$129,CL$1,0)</f>
        <v>0</v>
      </c>
      <c r="CM21" s="14">
        <f>VLOOKUP($F21,'Visu totale'!$D$3:$DT$129,CM$1,0)</f>
        <v>0</v>
      </c>
      <c r="CN21" s="13">
        <f>VLOOKUP($F21,'Visu totale'!$D$3:$DT$129,CN$1,0)</f>
        <v>0</v>
      </c>
      <c r="CO21" s="13">
        <f>VLOOKUP($F21,'Visu totale'!$D$3:$DT$129,CO$1,0)</f>
        <v>0</v>
      </c>
      <c r="CP21" s="13">
        <f>VLOOKUP($F21,'Visu totale'!$D$3:$DT$129,CP$1,0)</f>
        <v>0</v>
      </c>
      <c r="CQ21" s="13">
        <f>VLOOKUP($F21,'Visu totale'!$D$3:$DT$129,CQ$1,0)</f>
        <v>0</v>
      </c>
      <c r="CR21" s="13">
        <f>VLOOKUP($F21,'Visu totale'!$D$3:$DT$129,CR$1,0)</f>
        <v>0</v>
      </c>
      <c r="CS21" s="13">
        <f>VLOOKUP($F21,'Visu totale'!$D$3:$DT$129,CS$1,0)</f>
        <v>0</v>
      </c>
      <c r="CT21" s="13">
        <f>VLOOKUP($F21,'Visu totale'!$D$3:$DT$129,CT$1,0)</f>
        <v>0</v>
      </c>
      <c r="CU21" s="13">
        <f>VLOOKUP($F21,'Visu totale'!$D$3:$DT$129,CU$1,0)</f>
        <v>0</v>
      </c>
      <c r="CV21" s="13">
        <f>VLOOKUP($F21,'Visu totale'!$D$3:$DT$129,CV$1,0)</f>
        <v>0</v>
      </c>
      <c r="CW21" s="13">
        <f>VLOOKUP($F21,'Visu totale'!$D$3:$DT$129,CW$1,0)</f>
        <v>0</v>
      </c>
      <c r="CX21" s="15">
        <f>VLOOKUP($F21,'Visu totale'!$D$3:$DT$129,CX$1,0)</f>
        <v>0</v>
      </c>
      <c r="CY21" s="14">
        <f>VLOOKUP($F21,'Visu totale'!$D$3:$DT$129,CY$1,0)</f>
        <v>0</v>
      </c>
      <c r="CZ21" s="13">
        <f>VLOOKUP($F21,'Visu totale'!$D$3:$DT$129,CZ$1,0)</f>
        <v>0</v>
      </c>
      <c r="DA21" s="13">
        <f>VLOOKUP($F21,'Visu totale'!$D$3:$DT$129,DA$1,0)</f>
        <v>0</v>
      </c>
      <c r="DB21" s="13">
        <f>VLOOKUP($F21,'Visu totale'!$D$3:$DT$129,DB$1,0)</f>
        <v>0</v>
      </c>
      <c r="DC21" s="13">
        <f>VLOOKUP($F21,'Visu totale'!$D$3:$DT$129,DC$1,0)</f>
        <v>0</v>
      </c>
      <c r="DD21" s="13">
        <f>VLOOKUP($F21,'Visu totale'!$D$3:$DT$129,DD$1,0)</f>
        <v>0</v>
      </c>
      <c r="DE21" s="13">
        <f>VLOOKUP($F21,'Visu totale'!$D$3:$DT$129,DE$1,0)</f>
        <v>0</v>
      </c>
      <c r="DF21" s="13">
        <f>VLOOKUP($F21,'Visu totale'!$D$3:$DT$129,DF$1,0)</f>
        <v>0</v>
      </c>
      <c r="DG21" s="13">
        <f>VLOOKUP($F21,'Visu totale'!$D$3:$DT$129,DG$1,0)</f>
        <v>0</v>
      </c>
      <c r="DH21" s="13">
        <f>VLOOKUP($F21,'Visu totale'!$D$3:$DT$129,DH$1,0)</f>
        <v>0</v>
      </c>
      <c r="DI21" s="13">
        <f>VLOOKUP($F21,'Visu totale'!$D$3:$DT$129,DI$1,0)</f>
        <v>0</v>
      </c>
      <c r="DJ21" s="15">
        <f>VLOOKUP($F21,'Visu totale'!$D$3:$DT$129,DJ$1,0)</f>
        <v>0</v>
      </c>
      <c r="DK21" s="14">
        <f>VLOOKUP($F21,'Visu totale'!$D$3:$DT$129,DK$1,0)</f>
        <v>0</v>
      </c>
      <c r="DL21" s="13">
        <f>VLOOKUP($F21,'Visu totale'!$D$3:$DT$129,DL$1,0)</f>
        <v>0</v>
      </c>
      <c r="DM21" s="13">
        <f>VLOOKUP($F21,'Visu totale'!$D$3:$DT$129,DM$1,0)</f>
        <v>0</v>
      </c>
      <c r="DN21" s="13">
        <f>VLOOKUP($F21,'Visu totale'!$D$3:$DT$129,DN$1,0)</f>
        <v>0</v>
      </c>
      <c r="DO21" s="13">
        <f>VLOOKUP($F21,'Visu totale'!$D$3:$DT$129,DO$1,0)</f>
        <v>0</v>
      </c>
      <c r="DP21" s="13">
        <f>VLOOKUP($F21,'Visu totale'!$D$3:$DT$129,DP$1,0)</f>
        <v>0</v>
      </c>
      <c r="DQ21" s="13">
        <f>VLOOKUP($F21,'Visu totale'!$D$3:$DT$129,DQ$1,0)</f>
        <v>0</v>
      </c>
      <c r="DR21" s="13">
        <f>VLOOKUP($F21,'Visu totale'!$D$3:$DT$129,DR$1,0)</f>
        <v>0</v>
      </c>
      <c r="DS21" s="13">
        <f>VLOOKUP($F21,'Visu totale'!$D$3:$DT$129,DS$1,0)</f>
        <v>0</v>
      </c>
      <c r="DT21" s="13">
        <f>VLOOKUP($F21,'Visu totale'!$D$3:$DT$129,DT$1,0)</f>
        <v>0</v>
      </c>
      <c r="DU21" s="13">
        <f>VLOOKUP($F21,'Visu totale'!$D$3:$DT$129,DU$1,0)</f>
        <v>0</v>
      </c>
      <c r="DV21" s="15">
        <f>VLOOKUP($F21,'Visu totale'!$D$3:$DT$129,DV$1,0)</f>
        <v>0</v>
      </c>
    </row>
    <row r="22" spans="1:126" s="12" customFormat="1" x14ac:dyDescent="0.25">
      <c r="A22" s="13"/>
      <c r="B22" s="13"/>
      <c r="C22" s="13"/>
      <c r="D22" s="13"/>
      <c r="E22" s="13"/>
      <c r="F22" s="17" t="s">
        <v>122</v>
      </c>
      <c r="G22" s="14">
        <f>VLOOKUP($F22,'Visu totale'!$D$3:$DT$129,G$1,0)</f>
        <v>0</v>
      </c>
      <c r="H22" s="13">
        <f>VLOOKUP($F22,'Visu totale'!$D$3:$DT$129,H$1,0)</f>
        <v>0</v>
      </c>
      <c r="I22" s="13">
        <f>VLOOKUP($F22,'Visu totale'!$D$3:$DT$129,I$1,0)</f>
        <v>0</v>
      </c>
      <c r="J22" s="13">
        <f>VLOOKUP($F22,'Visu totale'!$D$3:$DT$129,J$1,0)</f>
        <v>0</v>
      </c>
      <c r="K22" s="13">
        <f>VLOOKUP($F22,'Visu totale'!$D$3:$DT$129,K$1,0)</f>
        <v>0</v>
      </c>
      <c r="L22" s="13">
        <f>VLOOKUP($F22,'Visu totale'!$D$3:$DT$129,L$1,0)</f>
        <v>0</v>
      </c>
      <c r="M22" s="13">
        <f>VLOOKUP($F22,'Visu totale'!$D$3:$DT$129,M$1,0)</f>
        <v>0</v>
      </c>
      <c r="N22" s="13">
        <f>VLOOKUP($F22,'Visu totale'!$D$3:$DT$129,N$1,0)</f>
        <v>0</v>
      </c>
      <c r="O22" s="13">
        <f>VLOOKUP($F22,'Visu totale'!$D$3:$DT$129,O$1,0)</f>
        <v>0</v>
      </c>
      <c r="P22" s="13">
        <f>VLOOKUP($F22,'Visu totale'!$D$3:$DT$129,P$1,0)</f>
        <v>0</v>
      </c>
      <c r="Q22" s="13">
        <f>VLOOKUP($F22,'Visu totale'!$D$3:$DT$129,Q$1,0)</f>
        <v>0</v>
      </c>
      <c r="R22" s="15">
        <f>VLOOKUP($F22,'Visu totale'!$D$3:$DT$129,R$1,0)</f>
        <v>0</v>
      </c>
      <c r="S22" s="14">
        <f>VLOOKUP($F22,'Visu totale'!$D$3:$DT$129,S$1,0)</f>
        <v>0</v>
      </c>
      <c r="T22" s="13">
        <f>VLOOKUP($F22,'Visu totale'!$D$3:$DT$129,T$1,0)</f>
        <v>0</v>
      </c>
      <c r="U22" s="13">
        <f>VLOOKUP($F22,'Visu totale'!$D$3:$DT$129,U$1,0)</f>
        <v>0</v>
      </c>
      <c r="V22" s="13">
        <f>VLOOKUP($F22,'Visu totale'!$D$3:$DT$129,V$1,0)</f>
        <v>0</v>
      </c>
      <c r="W22" s="13">
        <f>VLOOKUP($F22,'Visu totale'!$D$3:$DT$129,W$1,0)</f>
        <v>0</v>
      </c>
      <c r="X22" s="13">
        <f>VLOOKUP($F22,'Visu totale'!$D$3:$DT$129,X$1,0)</f>
        <v>0</v>
      </c>
      <c r="Y22" s="13">
        <f>VLOOKUP($F22,'Visu totale'!$D$3:$DT$129,Y$1,0)</f>
        <v>0</v>
      </c>
      <c r="Z22" s="13">
        <f>VLOOKUP($F22,'Visu totale'!$D$3:$DT$129,Z$1,0)</f>
        <v>0</v>
      </c>
      <c r="AA22" s="13">
        <f>VLOOKUP($F22,'Visu totale'!$D$3:$DT$129,AA$1,0)</f>
        <v>0</v>
      </c>
      <c r="AB22" s="13">
        <f>VLOOKUP($F22,'Visu totale'!$D$3:$DT$129,AB$1,0)</f>
        <v>0</v>
      </c>
      <c r="AC22" s="13">
        <f>VLOOKUP($F22,'Visu totale'!$D$3:$DT$129,AC$1,0)</f>
        <v>0</v>
      </c>
      <c r="AD22" s="15">
        <f>VLOOKUP($F22,'Visu totale'!$D$3:$DT$129,AD$1,0)</f>
        <v>0</v>
      </c>
      <c r="AE22" s="14">
        <f>VLOOKUP($F22,'Visu totale'!$D$3:$DT$129,AE$1,0)</f>
        <v>0</v>
      </c>
      <c r="AF22" s="13">
        <f>VLOOKUP($F22,'Visu totale'!$D$3:$DT$129,AF$1,0)</f>
        <v>0</v>
      </c>
      <c r="AG22" s="13">
        <f>VLOOKUP($F22,'Visu totale'!$D$3:$DT$129,AG$1,0)</f>
        <v>0</v>
      </c>
      <c r="AH22" s="13">
        <f>VLOOKUP($F22,'Visu totale'!$D$3:$DT$129,AH$1,0)</f>
        <v>0</v>
      </c>
      <c r="AI22" s="13">
        <f>VLOOKUP($F22,'Visu totale'!$D$3:$DT$129,AI$1,0)</f>
        <v>0</v>
      </c>
      <c r="AJ22" s="13">
        <f>VLOOKUP($F22,'Visu totale'!$D$3:$DT$129,AJ$1,0)</f>
        <v>0</v>
      </c>
      <c r="AK22" s="13">
        <f>VLOOKUP($F22,'Visu totale'!$D$3:$DT$129,AK$1,0)</f>
        <v>0</v>
      </c>
      <c r="AL22" s="13">
        <f>VLOOKUP($F22,'Visu totale'!$D$3:$DT$129,AL$1,0)</f>
        <v>0</v>
      </c>
      <c r="AM22" s="13">
        <f>VLOOKUP($F22,'Visu totale'!$D$3:$DT$129,AM$1,0)</f>
        <v>0</v>
      </c>
      <c r="AN22" s="13">
        <f>VLOOKUP($F22,'Visu totale'!$D$3:$DT$129,AN$1,0)</f>
        <v>0</v>
      </c>
      <c r="AO22" s="13">
        <f>VLOOKUP($F22,'Visu totale'!$D$3:$DT$129,AO$1,0)</f>
        <v>0</v>
      </c>
      <c r="AP22" s="15">
        <f>VLOOKUP($F22,'Visu totale'!$D$3:$DT$129,AP$1,0)</f>
        <v>0</v>
      </c>
      <c r="AQ22" s="14">
        <f>VLOOKUP($F22,'Visu totale'!$D$3:$DT$129,AQ$1,0)</f>
        <v>0</v>
      </c>
      <c r="AR22" s="13">
        <f>VLOOKUP($F22,'Visu totale'!$D$3:$DT$129,AR$1,0)</f>
        <v>0</v>
      </c>
      <c r="AS22" s="13">
        <f>VLOOKUP($F22,'Visu totale'!$D$3:$DT$129,AS$1,0)</f>
        <v>0</v>
      </c>
      <c r="AT22" s="13">
        <f>VLOOKUP($F22,'Visu totale'!$D$3:$DT$129,AT$1,0)</f>
        <v>0</v>
      </c>
      <c r="AU22" s="13">
        <f>VLOOKUP($F22,'Visu totale'!$D$3:$DT$129,AU$1,0)</f>
        <v>0</v>
      </c>
      <c r="AV22" s="13">
        <f>VLOOKUP($F22,'Visu totale'!$D$3:$DT$129,AV$1,0)</f>
        <v>0</v>
      </c>
      <c r="AW22" s="13">
        <f>VLOOKUP($F22,'Visu totale'!$D$3:$DT$129,AW$1,0)</f>
        <v>0</v>
      </c>
      <c r="AX22" s="13">
        <f>VLOOKUP($F22,'Visu totale'!$D$3:$DT$129,AX$1,0)</f>
        <v>0</v>
      </c>
      <c r="AY22" s="13">
        <f>VLOOKUP($F22,'Visu totale'!$D$3:$DT$129,AY$1,0)</f>
        <v>0</v>
      </c>
      <c r="AZ22" s="13">
        <f>VLOOKUP($F22,'Visu totale'!$D$3:$DT$129,AZ$1,0)</f>
        <v>0</v>
      </c>
      <c r="BA22" s="13">
        <f>VLOOKUP($F22,'Visu totale'!$D$3:$DT$129,BA$1,0)</f>
        <v>0</v>
      </c>
      <c r="BB22" s="15">
        <f>VLOOKUP($F22,'Visu totale'!$D$3:$DT$129,BB$1,0)</f>
        <v>0</v>
      </c>
      <c r="BC22" s="14">
        <f>VLOOKUP($F22,'Visu totale'!$D$3:$DT$129,BC$1,0)</f>
        <v>0</v>
      </c>
      <c r="BD22" s="13">
        <f>VLOOKUP($F22,'Visu totale'!$D$3:$DT$129,BD$1,0)</f>
        <v>0</v>
      </c>
      <c r="BE22" s="13">
        <f>VLOOKUP($F22,'Visu totale'!$D$3:$DT$129,BE$1,0)</f>
        <v>0</v>
      </c>
      <c r="BF22" s="13">
        <f>VLOOKUP($F22,'Visu totale'!$D$3:$DT$129,BF$1,0)</f>
        <v>0</v>
      </c>
      <c r="BG22" s="13">
        <f>VLOOKUP($F22,'Visu totale'!$D$3:$DT$129,BG$1,0)</f>
        <v>0</v>
      </c>
      <c r="BH22" s="13">
        <f>VLOOKUP($F22,'Visu totale'!$D$3:$DT$129,BH$1,0)</f>
        <v>0</v>
      </c>
      <c r="BI22" s="13">
        <f>VLOOKUP($F22,'Visu totale'!$D$3:$DT$129,BI$1,0)</f>
        <v>0</v>
      </c>
      <c r="BJ22" s="13">
        <f>VLOOKUP($F22,'Visu totale'!$D$3:$DT$129,BJ$1,0)</f>
        <v>0</v>
      </c>
      <c r="BK22" s="13">
        <f>VLOOKUP($F22,'Visu totale'!$D$3:$DT$129,BK$1,0)</f>
        <v>0</v>
      </c>
      <c r="BL22" s="13">
        <f>VLOOKUP($F22,'Visu totale'!$D$3:$DT$129,BL$1,0)</f>
        <v>0</v>
      </c>
      <c r="BM22" s="13">
        <f>VLOOKUP($F22,'Visu totale'!$D$3:$DT$129,BM$1,0)</f>
        <v>0</v>
      </c>
      <c r="BN22" s="15">
        <f>VLOOKUP($F22,'Visu totale'!$D$3:$DT$129,BN$1,0)</f>
        <v>0</v>
      </c>
      <c r="BO22" s="14">
        <f>VLOOKUP($F22,'Visu totale'!$D$3:$DT$129,BO$1,0)</f>
        <v>0</v>
      </c>
      <c r="BP22" s="13">
        <f>VLOOKUP($F22,'Visu totale'!$D$3:$DT$129,BP$1,0)</f>
        <v>0</v>
      </c>
      <c r="BQ22" s="13">
        <f>VLOOKUP($F22,'Visu totale'!$D$3:$DT$129,BQ$1,0)</f>
        <v>0</v>
      </c>
      <c r="BR22" s="13">
        <f>VLOOKUP($F22,'Visu totale'!$D$3:$DT$129,BR$1,0)</f>
        <v>0</v>
      </c>
      <c r="BS22" s="13">
        <f>VLOOKUP($F22,'Visu totale'!$D$3:$DT$129,BS$1,0)</f>
        <v>0</v>
      </c>
      <c r="BT22" s="13">
        <f>VLOOKUP($F22,'Visu totale'!$D$3:$DT$129,BT$1,0)</f>
        <v>0</v>
      </c>
      <c r="BU22" s="13">
        <f>VLOOKUP($F22,'Visu totale'!$D$3:$DT$129,BU$1,0)</f>
        <v>0</v>
      </c>
      <c r="BV22" s="13">
        <f>VLOOKUP($F22,'Visu totale'!$D$3:$DT$129,BV$1,0)</f>
        <v>0</v>
      </c>
      <c r="BW22" s="13">
        <f>VLOOKUP($F22,'Visu totale'!$D$3:$DT$129,BW$1,0)</f>
        <v>0</v>
      </c>
      <c r="BX22" s="13">
        <f>VLOOKUP($F22,'Visu totale'!$D$3:$DT$129,BX$1,0)</f>
        <v>0</v>
      </c>
      <c r="BY22" s="13">
        <f>VLOOKUP($F22,'Visu totale'!$D$3:$DT$129,BY$1,0)</f>
        <v>0</v>
      </c>
      <c r="BZ22" s="15">
        <f>VLOOKUP($F22,'Visu totale'!$D$3:$DT$129,BZ$1,0)</f>
        <v>0</v>
      </c>
      <c r="CA22" s="14">
        <f>VLOOKUP($F22,'Visu totale'!$D$3:$DT$129,CA$1,0)</f>
        <v>0</v>
      </c>
      <c r="CB22" s="13">
        <f>VLOOKUP($F22,'Visu totale'!$D$3:$DT$129,CB$1,0)</f>
        <v>0</v>
      </c>
      <c r="CC22" s="13">
        <f>VLOOKUP($F22,'Visu totale'!$D$3:$DT$129,CC$1,0)</f>
        <v>0</v>
      </c>
      <c r="CD22" s="13">
        <f>VLOOKUP($F22,'Visu totale'!$D$3:$DT$129,CD$1,0)</f>
        <v>0</v>
      </c>
      <c r="CE22" s="13">
        <f>VLOOKUP($F22,'Visu totale'!$D$3:$DT$129,CE$1,0)</f>
        <v>0</v>
      </c>
      <c r="CF22" s="13">
        <f>VLOOKUP($F22,'Visu totale'!$D$3:$DT$129,CF$1,0)</f>
        <v>0</v>
      </c>
      <c r="CG22" s="13">
        <f>VLOOKUP($F22,'Visu totale'!$D$3:$DT$129,CG$1,0)</f>
        <v>0</v>
      </c>
      <c r="CH22" s="13">
        <f>VLOOKUP($F22,'Visu totale'!$D$3:$DT$129,CH$1,0)</f>
        <v>0</v>
      </c>
      <c r="CI22" s="13">
        <f>VLOOKUP($F22,'Visu totale'!$D$3:$DT$129,CI$1,0)</f>
        <v>0</v>
      </c>
      <c r="CJ22" s="13">
        <f>VLOOKUP($F22,'Visu totale'!$D$3:$DT$129,CJ$1,0)</f>
        <v>0</v>
      </c>
      <c r="CK22" s="13">
        <f>VLOOKUP($F22,'Visu totale'!$D$3:$DT$129,CK$1,0)</f>
        <v>0</v>
      </c>
      <c r="CL22" s="15">
        <f>VLOOKUP($F22,'Visu totale'!$D$3:$DT$129,CL$1,0)</f>
        <v>0</v>
      </c>
      <c r="CM22" s="14">
        <f>VLOOKUP($F22,'Visu totale'!$D$3:$DT$129,CM$1,0)</f>
        <v>0</v>
      </c>
      <c r="CN22" s="13">
        <f>VLOOKUP($F22,'Visu totale'!$D$3:$DT$129,CN$1,0)</f>
        <v>0</v>
      </c>
      <c r="CO22" s="13">
        <f>VLOOKUP($F22,'Visu totale'!$D$3:$DT$129,CO$1,0)</f>
        <v>0</v>
      </c>
      <c r="CP22" s="13">
        <f>VLOOKUP($F22,'Visu totale'!$D$3:$DT$129,CP$1,0)</f>
        <v>0</v>
      </c>
      <c r="CQ22" s="13">
        <f>VLOOKUP($F22,'Visu totale'!$D$3:$DT$129,CQ$1,0)</f>
        <v>0</v>
      </c>
      <c r="CR22" s="13">
        <f>VLOOKUP($F22,'Visu totale'!$D$3:$DT$129,CR$1,0)</f>
        <v>0</v>
      </c>
      <c r="CS22" s="13">
        <f>VLOOKUP($F22,'Visu totale'!$D$3:$DT$129,CS$1,0)</f>
        <v>0</v>
      </c>
      <c r="CT22" s="13">
        <f>VLOOKUP($F22,'Visu totale'!$D$3:$DT$129,CT$1,0)</f>
        <v>0</v>
      </c>
      <c r="CU22" s="13">
        <f>VLOOKUP($F22,'Visu totale'!$D$3:$DT$129,CU$1,0)</f>
        <v>0</v>
      </c>
      <c r="CV22" s="13">
        <f>VLOOKUP($F22,'Visu totale'!$D$3:$DT$129,CV$1,0)</f>
        <v>0</v>
      </c>
      <c r="CW22" s="13">
        <f>VLOOKUP($F22,'Visu totale'!$D$3:$DT$129,CW$1,0)</f>
        <v>0</v>
      </c>
      <c r="CX22" s="15">
        <f>VLOOKUP($F22,'Visu totale'!$D$3:$DT$129,CX$1,0)</f>
        <v>0</v>
      </c>
      <c r="CY22" s="14">
        <f>VLOOKUP($F22,'Visu totale'!$D$3:$DT$129,CY$1,0)</f>
        <v>0</v>
      </c>
      <c r="CZ22" s="13">
        <f>VLOOKUP($F22,'Visu totale'!$D$3:$DT$129,CZ$1,0)</f>
        <v>0</v>
      </c>
      <c r="DA22" s="13">
        <f>VLOOKUP($F22,'Visu totale'!$D$3:$DT$129,DA$1,0)</f>
        <v>0</v>
      </c>
      <c r="DB22" s="13">
        <f>VLOOKUP($F22,'Visu totale'!$D$3:$DT$129,DB$1,0)</f>
        <v>0</v>
      </c>
      <c r="DC22" s="13">
        <f>VLOOKUP($F22,'Visu totale'!$D$3:$DT$129,DC$1,0)</f>
        <v>0</v>
      </c>
      <c r="DD22" s="13">
        <f>VLOOKUP($F22,'Visu totale'!$D$3:$DT$129,DD$1,0)</f>
        <v>0</v>
      </c>
      <c r="DE22" s="13">
        <f>VLOOKUP($F22,'Visu totale'!$D$3:$DT$129,DE$1,0)</f>
        <v>0</v>
      </c>
      <c r="DF22" s="13">
        <f>VLOOKUP($F22,'Visu totale'!$D$3:$DT$129,DF$1,0)</f>
        <v>0</v>
      </c>
      <c r="DG22" s="13">
        <f>VLOOKUP($F22,'Visu totale'!$D$3:$DT$129,DG$1,0)</f>
        <v>0</v>
      </c>
      <c r="DH22" s="13">
        <f>VLOOKUP($F22,'Visu totale'!$D$3:$DT$129,DH$1,0)</f>
        <v>0</v>
      </c>
      <c r="DI22" s="13">
        <f>VLOOKUP($F22,'Visu totale'!$D$3:$DT$129,DI$1,0)</f>
        <v>0</v>
      </c>
      <c r="DJ22" s="15">
        <f>VLOOKUP($F22,'Visu totale'!$D$3:$DT$129,DJ$1,0)</f>
        <v>0</v>
      </c>
      <c r="DK22" s="14">
        <f>VLOOKUP($F22,'Visu totale'!$D$3:$DT$129,DK$1,0)</f>
        <v>0</v>
      </c>
      <c r="DL22" s="13">
        <f>VLOOKUP($F22,'Visu totale'!$D$3:$DT$129,DL$1,0)</f>
        <v>0</v>
      </c>
      <c r="DM22" s="13">
        <f>VLOOKUP($F22,'Visu totale'!$D$3:$DT$129,DM$1,0)</f>
        <v>0</v>
      </c>
      <c r="DN22" s="13">
        <f>VLOOKUP($F22,'Visu totale'!$D$3:$DT$129,DN$1,0)</f>
        <v>0</v>
      </c>
      <c r="DO22" s="13">
        <f>VLOOKUP($F22,'Visu totale'!$D$3:$DT$129,DO$1,0)</f>
        <v>0</v>
      </c>
      <c r="DP22" s="13">
        <f>VLOOKUP($F22,'Visu totale'!$D$3:$DT$129,DP$1,0)</f>
        <v>0</v>
      </c>
      <c r="DQ22" s="13">
        <f>VLOOKUP($F22,'Visu totale'!$D$3:$DT$129,DQ$1,0)</f>
        <v>0</v>
      </c>
      <c r="DR22" s="13">
        <f>VLOOKUP($F22,'Visu totale'!$D$3:$DT$129,DR$1,0)</f>
        <v>0</v>
      </c>
      <c r="DS22" s="13">
        <f>VLOOKUP($F22,'Visu totale'!$D$3:$DT$129,DS$1,0)</f>
        <v>0</v>
      </c>
      <c r="DT22" s="13">
        <f>VLOOKUP($F22,'Visu totale'!$D$3:$DT$129,DT$1,0)</f>
        <v>0</v>
      </c>
      <c r="DU22" s="13">
        <f>VLOOKUP($F22,'Visu totale'!$D$3:$DT$129,DU$1,0)</f>
        <v>0</v>
      </c>
      <c r="DV22" s="15">
        <f>VLOOKUP($F22,'Visu totale'!$D$3:$DT$129,DV$1,0)</f>
        <v>0</v>
      </c>
    </row>
    <row r="23" spans="1:126" s="12" customFormat="1" x14ac:dyDescent="0.25">
      <c r="A23" s="13"/>
      <c r="B23" s="13"/>
      <c r="C23" s="13"/>
      <c r="D23" s="13"/>
      <c r="E23" s="13"/>
      <c r="F23" s="17" t="s">
        <v>123</v>
      </c>
      <c r="G23" s="14">
        <f>VLOOKUP($F23,'Visu totale'!$D$3:$DT$129,G$1,0)</f>
        <v>0</v>
      </c>
      <c r="H23" s="13">
        <f>VLOOKUP($F23,'Visu totale'!$D$3:$DT$129,H$1,0)</f>
        <v>0</v>
      </c>
      <c r="I23" s="13">
        <f>VLOOKUP($F23,'Visu totale'!$D$3:$DT$129,I$1,0)</f>
        <v>0</v>
      </c>
      <c r="J23" s="13">
        <f>VLOOKUP($F23,'Visu totale'!$D$3:$DT$129,J$1,0)</f>
        <v>0</v>
      </c>
      <c r="K23" s="13">
        <f>VLOOKUP($F23,'Visu totale'!$D$3:$DT$129,K$1,0)</f>
        <v>0</v>
      </c>
      <c r="L23" s="13">
        <f>VLOOKUP($F23,'Visu totale'!$D$3:$DT$129,L$1,0)</f>
        <v>0</v>
      </c>
      <c r="M23" s="13">
        <f>VLOOKUP($F23,'Visu totale'!$D$3:$DT$129,M$1,0)</f>
        <v>0</v>
      </c>
      <c r="N23" s="13">
        <f>VLOOKUP($F23,'Visu totale'!$D$3:$DT$129,N$1,0)</f>
        <v>0</v>
      </c>
      <c r="O23" s="13">
        <f>VLOOKUP($F23,'Visu totale'!$D$3:$DT$129,O$1,0)</f>
        <v>0</v>
      </c>
      <c r="P23" s="13">
        <f>VLOOKUP($F23,'Visu totale'!$D$3:$DT$129,P$1,0)</f>
        <v>0</v>
      </c>
      <c r="Q23" s="13">
        <f>VLOOKUP($F23,'Visu totale'!$D$3:$DT$129,Q$1,0)</f>
        <v>0</v>
      </c>
      <c r="R23" s="15">
        <f>VLOOKUP($F23,'Visu totale'!$D$3:$DT$129,R$1,0)</f>
        <v>0</v>
      </c>
      <c r="S23" s="14">
        <f>VLOOKUP($F23,'Visu totale'!$D$3:$DT$129,S$1,0)</f>
        <v>0</v>
      </c>
      <c r="T23" s="13">
        <f>VLOOKUP($F23,'Visu totale'!$D$3:$DT$129,T$1,0)</f>
        <v>0</v>
      </c>
      <c r="U23" s="13">
        <f>VLOOKUP($F23,'Visu totale'!$D$3:$DT$129,U$1,0)</f>
        <v>0</v>
      </c>
      <c r="V23" s="13">
        <f>VLOOKUP($F23,'Visu totale'!$D$3:$DT$129,V$1,0)</f>
        <v>0</v>
      </c>
      <c r="W23" s="13">
        <f>VLOOKUP($F23,'Visu totale'!$D$3:$DT$129,W$1,0)</f>
        <v>0</v>
      </c>
      <c r="X23" s="13">
        <f>VLOOKUP($F23,'Visu totale'!$D$3:$DT$129,X$1,0)</f>
        <v>0</v>
      </c>
      <c r="Y23" s="13">
        <f>VLOOKUP($F23,'Visu totale'!$D$3:$DT$129,Y$1,0)</f>
        <v>0</v>
      </c>
      <c r="Z23" s="13">
        <f>VLOOKUP($F23,'Visu totale'!$D$3:$DT$129,Z$1,0)</f>
        <v>0</v>
      </c>
      <c r="AA23" s="13">
        <f>VLOOKUP($F23,'Visu totale'!$D$3:$DT$129,AA$1,0)</f>
        <v>0</v>
      </c>
      <c r="AB23" s="13">
        <f>VLOOKUP($F23,'Visu totale'!$D$3:$DT$129,AB$1,0)</f>
        <v>0</v>
      </c>
      <c r="AC23" s="13">
        <f>VLOOKUP($F23,'Visu totale'!$D$3:$DT$129,AC$1,0)</f>
        <v>0</v>
      </c>
      <c r="AD23" s="15">
        <f>VLOOKUP($F23,'Visu totale'!$D$3:$DT$129,AD$1,0)</f>
        <v>0</v>
      </c>
      <c r="AE23" s="14">
        <f>VLOOKUP($F23,'Visu totale'!$D$3:$DT$129,AE$1,0)</f>
        <v>0</v>
      </c>
      <c r="AF23" s="13">
        <f>VLOOKUP($F23,'Visu totale'!$D$3:$DT$129,AF$1,0)</f>
        <v>0</v>
      </c>
      <c r="AG23" s="13">
        <f>VLOOKUP($F23,'Visu totale'!$D$3:$DT$129,AG$1,0)</f>
        <v>0</v>
      </c>
      <c r="AH23" s="13">
        <f>VLOOKUP($F23,'Visu totale'!$D$3:$DT$129,AH$1,0)</f>
        <v>0</v>
      </c>
      <c r="AI23" s="13">
        <f>VLOOKUP($F23,'Visu totale'!$D$3:$DT$129,AI$1,0)</f>
        <v>0</v>
      </c>
      <c r="AJ23" s="13">
        <f>VLOOKUP($F23,'Visu totale'!$D$3:$DT$129,AJ$1,0)</f>
        <v>0</v>
      </c>
      <c r="AK23" s="13">
        <f>VLOOKUP($F23,'Visu totale'!$D$3:$DT$129,AK$1,0)</f>
        <v>0</v>
      </c>
      <c r="AL23" s="13">
        <f>VLOOKUP($F23,'Visu totale'!$D$3:$DT$129,AL$1,0)</f>
        <v>0</v>
      </c>
      <c r="AM23" s="13">
        <f>VLOOKUP($F23,'Visu totale'!$D$3:$DT$129,AM$1,0)</f>
        <v>0</v>
      </c>
      <c r="AN23" s="13">
        <f>VLOOKUP($F23,'Visu totale'!$D$3:$DT$129,AN$1,0)</f>
        <v>0</v>
      </c>
      <c r="AO23" s="13">
        <f>VLOOKUP($F23,'Visu totale'!$D$3:$DT$129,AO$1,0)</f>
        <v>0</v>
      </c>
      <c r="AP23" s="15">
        <f>VLOOKUP($F23,'Visu totale'!$D$3:$DT$129,AP$1,0)</f>
        <v>0</v>
      </c>
      <c r="AQ23" s="14">
        <f>VLOOKUP($F23,'Visu totale'!$D$3:$DT$129,AQ$1,0)</f>
        <v>0</v>
      </c>
      <c r="AR23" s="13">
        <f>VLOOKUP($F23,'Visu totale'!$D$3:$DT$129,AR$1,0)</f>
        <v>0</v>
      </c>
      <c r="AS23" s="13">
        <f>VLOOKUP($F23,'Visu totale'!$D$3:$DT$129,AS$1,0)</f>
        <v>0</v>
      </c>
      <c r="AT23" s="13">
        <f>VLOOKUP($F23,'Visu totale'!$D$3:$DT$129,AT$1,0)</f>
        <v>0</v>
      </c>
      <c r="AU23" s="13">
        <f>VLOOKUP($F23,'Visu totale'!$D$3:$DT$129,AU$1,0)</f>
        <v>0</v>
      </c>
      <c r="AV23" s="13">
        <f>VLOOKUP($F23,'Visu totale'!$D$3:$DT$129,AV$1,0)</f>
        <v>0</v>
      </c>
      <c r="AW23" s="13">
        <f>VLOOKUP($F23,'Visu totale'!$D$3:$DT$129,AW$1,0)</f>
        <v>0</v>
      </c>
      <c r="AX23" s="13">
        <f>VLOOKUP($F23,'Visu totale'!$D$3:$DT$129,AX$1,0)</f>
        <v>0</v>
      </c>
      <c r="AY23" s="13">
        <f>VLOOKUP($F23,'Visu totale'!$D$3:$DT$129,AY$1,0)</f>
        <v>0</v>
      </c>
      <c r="AZ23" s="13">
        <f>VLOOKUP($F23,'Visu totale'!$D$3:$DT$129,AZ$1,0)</f>
        <v>0</v>
      </c>
      <c r="BA23" s="13">
        <f>VLOOKUP($F23,'Visu totale'!$D$3:$DT$129,BA$1,0)</f>
        <v>0</v>
      </c>
      <c r="BB23" s="15">
        <f>VLOOKUP($F23,'Visu totale'!$D$3:$DT$129,BB$1,0)</f>
        <v>0</v>
      </c>
      <c r="BC23" s="14">
        <f>VLOOKUP($F23,'Visu totale'!$D$3:$DT$129,BC$1,0)</f>
        <v>0</v>
      </c>
      <c r="BD23" s="13">
        <f>VLOOKUP($F23,'Visu totale'!$D$3:$DT$129,BD$1,0)</f>
        <v>0</v>
      </c>
      <c r="BE23" s="13">
        <f>VLOOKUP($F23,'Visu totale'!$D$3:$DT$129,BE$1,0)</f>
        <v>0</v>
      </c>
      <c r="BF23" s="13">
        <f>VLOOKUP($F23,'Visu totale'!$D$3:$DT$129,BF$1,0)</f>
        <v>0</v>
      </c>
      <c r="BG23" s="13">
        <f>VLOOKUP($F23,'Visu totale'!$D$3:$DT$129,BG$1,0)</f>
        <v>0</v>
      </c>
      <c r="BH23" s="13">
        <f>VLOOKUP($F23,'Visu totale'!$D$3:$DT$129,BH$1,0)</f>
        <v>0</v>
      </c>
      <c r="BI23" s="13">
        <f>VLOOKUP($F23,'Visu totale'!$D$3:$DT$129,BI$1,0)</f>
        <v>0</v>
      </c>
      <c r="BJ23" s="13">
        <f>VLOOKUP($F23,'Visu totale'!$D$3:$DT$129,BJ$1,0)</f>
        <v>0</v>
      </c>
      <c r="BK23" s="13">
        <f>VLOOKUP($F23,'Visu totale'!$D$3:$DT$129,BK$1,0)</f>
        <v>0</v>
      </c>
      <c r="BL23" s="13">
        <f>VLOOKUP($F23,'Visu totale'!$D$3:$DT$129,BL$1,0)</f>
        <v>0</v>
      </c>
      <c r="BM23" s="13">
        <f>VLOOKUP($F23,'Visu totale'!$D$3:$DT$129,BM$1,0)</f>
        <v>0</v>
      </c>
      <c r="BN23" s="15">
        <f>VLOOKUP($F23,'Visu totale'!$D$3:$DT$129,BN$1,0)</f>
        <v>0</v>
      </c>
      <c r="BO23" s="14">
        <f>VLOOKUP($F23,'Visu totale'!$D$3:$DT$129,BO$1,0)</f>
        <v>0</v>
      </c>
      <c r="BP23" s="13">
        <f>VLOOKUP($F23,'Visu totale'!$D$3:$DT$129,BP$1,0)</f>
        <v>0</v>
      </c>
      <c r="BQ23" s="13">
        <f>VLOOKUP($F23,'Visu totale'!$D$3:$DT$129,BQ$1,0)</f>
        <v>0</v>
      </c>
      <c r="BR23" s="13">
        <f>VLOOKUP($F23,'Visu totale'!$D$3:$DT$129,BR$1,0)</f>
        <v>0</v>
      </c>
      <c r="BS23" s="13">
        <f>VLOOKUP($F23,'Visu totale'!$D$3:$DT$129,BS$1,0)</f>
        <v>0</v>
      </c>
      <c r="BT23" s="13">
        <f>VLOOKUP($F23,'Visu totale'!$D$3:$DT$129,BT$1,0)</f>
        <v>0</v>
      </c>
      <c r="BU23" s="13">
        <f>VLOOKUP($F23,'Visu totale'!$D$3:$DT$129,BU$1,0)</f>
        <v>0</v>
      </c>
      <c r="BV23" s="13">
        <f>VLOOKUP($F23,'Visu totale'!$D$3:$DT$129,BV$1,0)</f>
        <v>0</v>
      </c>
      <c r="BW23" s="13">
        <f>VLOOKUP($F23,'Visu totale'!$D$3:$DT$129,BW$1,0)</f>
        <v>0</v>
      </c>
      <c r="BX23" s="13">
        <f>VLOOKUP($F23,'Visu totale'!$D$3:$DT$129,BX$1,0)</f>
        <v>0</v>
      </c>
      <c r="BY23" s="13">
        <f>VLOOKUP($F23,'Visu totale'!$D$3:$DT$129,BY$1,0)</f>
        <v>0</v>
      </c>
      <c r="BZ23" s="15">
        <f>VLOOKUP($F23,'Visu totale'!$D$3:$DT$129,BZ$1,0)</f>
        <v>0</v>
      </c>
      <c r="CA23" s="14">
        <f>VLOOKUP($F23,'Visu totale'!$D$3:$DT$129,CA$1,0)</f>
        <v>0</v>
      </c>
      <c r="CB23" s="13">
        <f>VLOOKUP($F23,'Visu totale'!$D$3:$DT$129,CB$1,0)</f>
        <v>0</v>
      </c>
      <c r="CC23" s="13">
        <f>VLOOKUP($F23,'Visu totale'!$D$3:$DT$129,CC$1,0)</f>
        <v>0</v>
      </c>
      <c r="CD23" s="13">
        <f>VLOOKUP($F23,'Visu totale'!$D$3:$DT$129,CD$1,0)</f>
        <v>0</v>
      </c>
      <c r="CE23" s="13">
        <f>VLOOKUP($F23,'Visu totale'!$D$3:$DT$129,CE$1,0)</f>
        <v>0</v>
      </c>
      <c r="CF23" s="13">
        <f>VLOOKUP($F23,'Visu totale'!$D$3:$DT$129,CF$1,0)</f>
        <v>0</v>
      </c>
      <c r="CG23" s="13">
        <f>VLOOKUP($F23,'Visu totale'!$D$3:$DT$129,CG$1,0)</f>
        <v>0</v>
      </c>
      <c r="CH23" s="13">
        <f>VLOOKUP($F23,'Visu totale'!$D$3:$DT$129,CH$1,0)</f>
        <v>0</v>
      </c>
      <c r="CI23" s="13">
        <f>VLOOKUP($F23,'Visu totale'!$D$3:$DT$129,CI$1,0)</f>
        <v>0</v>
      </c>
      <c r="CJ23" s="13">
        <f>VLOOKUP($F23,'Visu totale'!$D$3:$DT$129,CJ$1,0)</f>
        <v>0</v>
      </c>
      <c r="CK23" s="13">
        <f>VLOOKUP($F23,'Visu totale'!$D$3:$DT$129,CK$1,0)</f>
        <v>0</v>
      </c>
      <c r="CL23" s="15">
        <f>VLOOKUP($F23,'Visu totale'!$D$3:$DT$129,CL$1,0)</f>
        <v>0</v>
      </c>
      <c r="CM23" s="14">
        <f>VLOOKUP($F23,'Visu totale'!$D$3:$DT$129,CM$1,0)</f>
        <v>0</v>
      </c>
      <c r="CN23" s="13">
        <f>VLOOKUP($F23,'Visu totale'!$D$3:$DT$129,CN$1,0)</f>
        <v>0</v>
      </c>
      <c r="CO23" s="13">
        <f>VLOOKUP($F23,'Visu totale'!$D$3:$DT$129,CO$1,0)</f>
        <v>0</v>
      </c>
      <c r="CP23" s="13">
        <f>VLOOKUP($F23,'Visu totale'!$D$3:$DT$129,CP$1,0)</f>
        <v>0</v>
      </c>
      <c r="CQ23" s="13">
        <f>VLOOKUP($F23,'Visu totale'!$D$3:$DT$129,CQ$1,0)</f>
        <v>0</v>
      </c>
      <c r="CR23" s="13">
        <f>VLOOKUP($F23,'Visu totale'!$D$3:$DT$129,CR$1,0)</f>
        <v>0</v>
      </c>
      <c r="CS23" s="13">
        <f>VLOOKUP($F23,'Visu totale'!$D$3:$DT$129,CS$1,0)</f>
        <v>0</v>
      </c>
      <c r="CT23" s="13">
        <f>VLOOKUP($F23,'Visu totale'!$D$3:$DT$129,CT$1,0)</f>
        <v>0</v>
      </c>
      <c r="CU23" s="13">
        <f>VLOOKUP($F23,'Visu totale'!$D$3:$DT$129,CU$1,0)</f>
        <v>0</v>
      </c>
      <c r="CV23" s="13">
        <f>VLOOKUP($F23,'Visu totale'!$D$3:$DT$129,CV$1,0)</f>
        <v>0</v>
      </c>
      <c r="CW23" s="13">
        <f>VLOOKUP($F23,'Visu totale'!$D$3:$DT$129,CW$1,0)</f>
        <v>0</v>
      </c>
      <c r="CX23" s="15">
        <f>VLOOKUP($F23,'Visu totale'!$D$3:$DT$129,CX$1,0)</f>
        <v>0</v>
      </c>
      <c r="CY23" s="14">
        <f>VLOOKUP($F23,'Visu totale'!$D$3:$DT$129,CY$1,0)</f>
        <v>0</v>
      </c>
      <c r="CZ23" s="13">
        <f>VLOOKUP($F23,'Visu totale'!$D$3:$DT$129,CZ$1,0)</f>
        <v>0</v>
      </c>
      <c r="DA23" s="13">
        <f>VLOOKUP($F23,'Visu totale'!$D$3:$DT$129,DA$1,0)</f>
        <v>0</v>
      </c>
      <c r="DB23" s="13">
        <f>VLOOKUP($F23,'Visu totale'!$D$3:$DT$129,DB$1,0)</f>
        <v>0</v>
      </c>
      <c r="DC23" s="13">
        <f>VLOOKUP($F23,'Visu totale'!$D$3:$DT$129,DC$1,0)</f>
        <v>0</v>
      </c>
      <c r="DD23" s="13">
        <f>VLOOKUP($F23,'Visu totale'!$D$3:$DT$129,DD$1,0)</f>
        <v>0</v>
      </c>
      <c r="DE23" s="13">
        <f>VLOOKUP($F23,'Visu totale'!$D$3:$DT$129,DE$1,0)</f>
        <v>0</v>
      </c>
      <c r="DF23" s="13">
        <f>VLOOKUP($F23,'Visu totale'!$D$3:$DT$129,DF$1,0)</f>
        <v>0</v>
      </c>
      <c r="DG23" s="13">
        <f>VLOOKUP($F23,'Visu totale'!$D$3:$DT$129,DG$1,0)</f>
        <v>0</v>
      </c>
      <c r="DH23" s="13">
        <f>VLOOKUP($F23,'Visu totale'!$D$3:$DT$129,DH$1,0)</f>
        <v>0</v>
      </c>
      <c r="DI23" s="13">
        <f>VLOOKUP($F23,'Visu totale'!$D$3:$DT$129,DI$1,0)</f>
        <v>0</v>
      </c>
      <c r="DJ23" s="15">
        <f>VLOOKUP($F23,'Visu totale'!$D$3:$DT$129,DJ$1,0)</f>
        <v>0</v>
      </c>
      <c r="DK23" s="14">
        <f>VLOOKUP($F23,'Visu totale'!$D$3:$DT$129,DK$1,0)</f>
        <v>0</v>
      </c>
      <c r="DL23" s="13">
        <f>VLOOKUP($F23,'Visu totale'!$D$3:$DT$129,DL$1,0)</f>
        <v>0</v>
      </c>
      <c r="DM23" s="13">
        <f>VLOOKUP($F23,'Visu totale'!$D$3:$DT$129,DM$1,0)</f>
        <v>0</v>
      </c>
      <c r="DN23" s="13">
        <f>VLOOKUP($F23,'Visu totale'!$D$3:$DT$129,DN$1,0)</f>
        <v>0</v>
      </c>
      <c r="DO23" s="13">
        <f>VLOOKUP($F23,'Visu totale'!$D$3:$DT$129,DO$1,0)</f>
        <v>0</v>
      </c>
      <c r="DP23" s="13">
        <f>VLOOKUP($F23,'Visu totale'!$D$3:$DT$129,DP$1,0)</f>
        <v>0</v>
      </c>
      <c r="DQ23" s="13">
        <f>VLOOKUP($F23,'Visu totale'!$D$3:$DT$129,DQ$1,0)</f>
        <v>0</v>
      </c>
      <c r="DR23" s="13">
        <f>VLOOKUP($F23,'Visu totale'!$D$3:$DT$129,DR$1,0)</f>
        <v>0</v>
      </c>
      <c r="DS23" s="13">
        <f>VLOOKUP($F23,'Visu totale'!$D$3:$DT$129,DS$1,0)</f>
        <v>0</v>
      </c>
      <c r="DT23" s="13">
        <f>VLOOKUP($F23,'Visu totale'!$D$3:$DT$129,DT$1,0)</f>
        <v>0</v>
      </c>
      <c r="DU23" s="13">
        <f>VLOOKUP($F23,'Visu totale'!$D$3:$DT$129,DU$1,0)</f>
        <v>0</v>
      </c>
      <c r="DV23" s="15">
        <f>VLOOKUP($F23,'Visu totale'!$D$3:$DT$129,DV$1,0)</f>
        <v>0</v>
      </c>
    </row>
    <row r="24" spans="1:126" s="12" customFormat="1" x14ac:dyDescent="0.25">
      <c r="A24" s="13"/>
      <c r="B24" s="13"/>
      <c r="C24" s="13"/>
      <c r="D24" s="13"/>
      <c r="E24" s="13"/>
      <c r="F24" s="17" t="s">
        <v>124</v>
      </c>
      <c r="G24" s="14">
        <f>VLOOKUP($F24,'Visu totale'!$D$3:$DT$129,G$1,0)</f>
        <v>0</v>
      </c>
      <c r="H24" s="13">
        <f>VLOOKUP($F24,'Visu totale'!$D$3:$DT$129,H$1,0)</f>
        <v>0</v>
      </c>
      <c r="I24" s="13">
        <f>VLOOKUP($F24,'Visu totale'!$D$3:$DT$129,I$1,0)</f>
        <v>0</v>
      </c>
      <c r="J24" s="13">
        <f>VLOOKUP($F24,'Visu totale'!$D$3:$DT$129,J$1,0)</f>
        <v>0</v>
      </c>
      <c r="K24" s="13">
        <f>VLOOKUP($F24,'Visu totale'!$D$3:$DT$129,K$1,0)</f>
        <v>0</v>
      </c>
      <c r="L24" s="13">
        <f>VLOOKUP($F24,'Visu totale'!$D$3:$DT$129,L$1,0)</f>
        <v>0</v>
      </c>
      <c r="M24" s="13">
        <f>VLOOKUP($F24,'Visu totale'!$D$3:$DT$129,M$1,0)</f>
        <v>0</v>
      </c>
      <c r="N24" s="13">
        <f>VLOOKUP($F24,'Visu totale'!$D$3:$DT$129,N$1,0)</f>
        <v>0</v>
      </c>
      <c r="O24" s="13">
        <f>VLOOKUP($F24,'Visu totale'!$D$3:$DT$129,O$1,0)</f>
        <v>0</v>
      </c>
      <c r="P24" s="13">
        <f>VLOOKUP($F24,'Visu totale'!$D$3:$DT$129,P$1,0)</f>
        <v>0</v>
      </c>
      <c r="Q24" s="13">
        <f>VLOOKUP($F24,'Visu totale'!$D$3:$DT$129,Q$1,0)</f>
        <v>0</v>
      </c>
      <c r="R24" s="15">
        <f>VLOOKUP($F24,'Visu totale'!$D$3:$DT$129,R$1,0)</f>
        <v>0</v>
      </c>
      <c r="S24" s="14">
        <f>VLOOKUP($F24,'Visu totale'!$D$3:$DT$129,S$1,0)</f>
        <v>0</v>
      </c>
      <c r="T24" s="13">
        <f>VLOOKUP($F24,'Visu totale'!$D$3:$DT$129,T$1,0)</f>
        <v>0</v>
      </c>
      <c r="U24" s="13">
        <f>VLOOKUP($F24,'Visu totale'!$D$3:$DT$129,U$1,0)</f>
        <v>0</v>
      </c>
      <c r="V24" s="13">
        <f>VLOOKUP($F24,'Visu totale'!$D$3:$DT$129,V$1,0)</f>
        <v>0</v>
      </c>
      <c r="W24" s="13">
        <f>VLOOKUP($F24,'Visu totale'!$D$3:$DT$129,W$1,0)</f>
        <v>0</v>
      </c>
      <c r="X24" s="13">
        <f>VLOOKUP($F24,'Visu totale'!$D$3:$DT$129,X$1,0)</f>
        <v>0</v>
      </c>
      <c r="Y24" s="13">
        <f>VLOOKUP($F24,'Visu totale'!$D$3:$DT$129,Y$1,0)</f>
        <v>0</v>
      </c>
      <c r="Z24" s="13">
        <f>VLOOKUP($F24,'Visu totale'!$D$3:$DT$129,Z$1,0)</f>
        <v>0</v>
      </c>
      <c r="AA24" s="13">
        <f>VLOOKUP($F24,'Visu totale'!$D$3:$DT$129,AA$1,0)</f>
        <v>0</v>
      </c>
      <c r="AB24" s="13">
        <f>VLOOKUP($F24,'Visu totale'!$D$3:$DT$129,AB$1,0)</f>
        <v>0</v>
      </c>
      <c r="AC24" s="13">
        <f>VLOOKUP($F24,'Visu totale'!$D$3:$DT$129,AC$1,0)</f>
        <v>0</v>
      </c>
      <c r="AD24" s="15">
        <f>VLOOKUP($F24,'Visu totale'!$D$3:$DT$129,AD$1,0)</f>
        <v>0</v>
      </c>
      <c r="AE24" s="14">
        <f>VLOOKUP($F24,'Visu totale'!$D$3:$DT$129,AE$1,0)</f>
        <v>0</v>
      </c>
      <c r="AF24" s="13">
        <f>VLOOKUP($F24,'Visu totale'!$D$3:$DT$129,AF$1,0)</f>
        <v>0</v>
      </c>
      <c r="AG24" s="13">
        <f>VLOOKUP($F24,'Visu totale'!$D$3:$DT$129,AG$1,0)</f>
        <v>0</v>
      </c>
      <c r="AH24" s="13">
        <f>VLOOKUP($F24,'Visu totale'!$D$3:$DT$129,AH$1,0)</f>
        <v>0</v>
      </c>
      <c r="AI24" s="13">
        <f>VLOOKUP($F24,'Visu totale'!$D$3:$DT$129,AI$1,0)</f>
        <v>0</v>
      </c>
      <c r="AJ24" s="13">
        <f>VLOOKUP($F24,'Visu totale'!$D$3:$DT$129,AJ$1,0)</f>
        <v>0</v>
      </c>
      <c r="AK24" s="13">
        <f>VLOOKUP($F24,'Visu totale'!$D$3:$DT$129,AK$1,0)</f>
        <v>0</v>
      </c>
      <c r="AL24" s="13">
        <f>VLOOKUP($F24,'Visu totale'!$D$3:$DT$129,AL$1,0)</f>
        <v>0</v>
      </c>
      <c r="AM24" s="13">
        <f>VLOOKUP($F24,'Visu totale'!$D$3:$DT$129,AM$1,0)</f>
        <v>0</v>
      </c>
      <c r="AN24" s="13">
        <f>VLOOKUP($F24,'Visu totale'!$D$3:$DT$129,AN$1,0)</f>
        <v>0</v>
      </c>
      <c r="AO24" s="13">
        <f>VLOOKUP($F24,'Visu totale'!$D$3:$DT$129,AO$1,0)</f>
        <v>0</v>
      </c>
      <c r="AP24" s="15">
        <f>VLOOKUP($F24,'Visu totale'!$D$3:$DT$129,AP$1,0)</f>
        <v>0</v>
      </c>
      <c r="AQ24" s="14">
        <f>VLOOKUP($F24,'Visu totale'!$D$3:$DT$129,AQ$1,0)</f>
        <v>0</v>
      </c>
      <c r="AR24" s="13">
        <f>VLOOKUP($F24,'Visu totale'!$D$3:$DT$129,AR$1,0)</f>
        <v>0</v>
      </c>
      <c r="AS24" s="13">
        <f>VLOOKUP($F24,'Visu totale'!$D$3:$DT$129,AS$1,0)</f>
        <v>0</v>
      </c>
      <c r="AT24" s="13">
        <f>VLOOKUP($F24,'Visu totale'!$D$3:$DT$129,AT$1,0)</f>
        <v>0</v>
      </c>
      <c r="AU24" s="13">
        <f>VLOOKUP($F24,'Visu totale'!$D$3:$DT$129,AU$1,0)</f>
        <v>0</v>
      </c>
      <c r="AV24" s="13">
        <f>VLOOKUP($F24,'Visu totale'!$D$3:$DT$129,AV$1,0)</f>
        <v>0</v>
      </c>
      <c r="AW24" s="13">
        <f>VLOOKUP($F24,'Visu totale'!$D$3:$DT$129,AW$1,0)</f>
        <v>0</v>
      </c>
      <c r="AX24" s="13">
        <f>VLOOKUP($F24,'Visu totale'!$D$3:$DT$129,AX$1,0)</f>
        <v>0</v>
      </c>
      <c r="AY24" s="13">
        <f>VLOOKUP($F24,'Visu totale'!$D$3:$DT$129,AY$1,0)</f>
        <v>0</v>
      </c>
      <c r="AZ24" s="13">
        <f>VLOOKUP($F24,'Visu totale'!$D$3:$DT$129,AZ$1,0)</f>
        <v>0</v>
      </c>
      <c r="BA24" s="13">
        <f>VLOOKUP($F24,'Visu totale'!$D$3:$DT$129,BA$1,0)</f>
        <v>0</v>
      </c>
      <c r="BB24" s="15">
        <f>VLOOKUP($F24,'Visu totale'!$D$3:$DT$129,BB$1,0)</f>
        <v>0</v>
      </c>
      <c r="BC24" s="14">
        <f>VLOOKUP($F24,'Visu totale'!$D$3:$DT$129,BC$1,0)</f>
        <v>0</v>
      </c>
      <c r="BD24" s="13">
        <f>VLOOKUP($F24,'Visu totale'!$D$3:$DT$129,BD$1,0)</f>
        <v>0</v>
      </c>
      <c r="BE24" s="13">
        <f>VLOOKUP($F24,'Visu totale'!$D$3:$DT$129,BE$1,0)</f>
        <v>0</v>
      </c>
      <c r="BF24" s="13">
        <f>VLOOKUP($F24,'Visu totale'!$D$3:$DT$129,BF$1,0)</f>
        <v>0</v>
      </c>
      <c r="BG24" s="13">
        <f>VLOOKUP($F24,'Visu totale'!$D$3:$DT$129,BG$1,0)</f>
        <v>0</v>
      </c>
      <c r="BH24" s="13">
        <f>VLOOKUP($F24,'Visu totale'!$D$3:$DT$129,BH$1,0)</f>
        <v>0</v>
      </c>
      <c r="BI24" s="13">
        <f>VLOOKUP($F24,'Visu totale'!$D$3:$DT$129,BI$1,0)</f>
        <v>0</v>
      </c>
      <c r="BJ24" s="13">
        <f>VLOOKUP($F24,'Visu totale'!$D$3:$DT$129,BJ$1,0)</f>
        <v>0</v>
      </c>
      <c r="BK24" s="13">
        <f>VLOOKUP($F24,'Visu totale'!$D$3:$DT$129,BK$1,0)</f>
        <v>0</v>
      </c>
      <c r="BL24" s="13">
        <f>VLOOKUP($F24,'Visu totale'!$D$3:$DT$129,BL$1,0)</f>
        <v>0</v>
      </c>
      <c r="BM24" s="13">
        <f>VLOOKUP($F24,'Visu totale'!$D$3:$DT$129,BM$1,0)</f>
        <v>0</v>
      </c>
      <c r="BN24" s="15">
        <f>VLOOKUP($F24,'Visu totale'!$D$3:$DT$129,BN$1,0)</f>
        <v>0</v>
      </c>
      <c r="BO24" s="14">
        <f>VLOOKUP($F24,'Visu totale'!$D$3:$DT$129,BO$1,0)</f>
        <v>0</v>
      </c>
      <c r="BP24" s="13">
        <f>VLOOKUP($F24,'Visu totale'!$D$3:$DT$129,BP$1,0)</f>
        <v>0</v>
      </c>
      <c r="BQ24" s="13">
        <f>VLOOKUP($F24,'Visu totale'!$D$3:$DT$129,BQ$1,0)</f>
        <v>0</v>
      </c>
      <c r="BR24" s="13">
        <f>VLOOKUP($F24,'Visu totale'!$D$3:$DT$129,BR$1,0)</f>
        <v>0</v>
      </c>
      <c r="BS24" s="13">
        <f>VLOOKUP($F24,'Visu totale'!$D$3:$DT$129,BS$1,0)</f>
        <v>0</v>
      </c>
      <c r="BT24" s="13">
        <f>VLOOKUP($F24,'Visu totale'!$D$3:$DT$129,BT$1,0)</f>
        <v>0</v>
      </c>
      <c r="BU24" s="13">
        <f>VLOOKUP($F24,'Visu totale'!$D$3:$DT$129,BU$1,0)</f>
        <v>0</v>
      </c>
      <c r="BV24" s="13">
        <f>VLOOKUP($F24,'Visu totale'!$D$3:$DT$129,BV$1,0)</f>
        <v>0</v>
      </c>
      <c r="BW24" s="13">
        <f>VLOOKUP($F24,'Visu totale'!$D$3:$DT$129,BW$1,0)</f>
        <v>0</v>
      </c>
      <c r="BX24" s="13">
        <f>VLOOKUP($F24,'Visu totale'!$D$3:$DT$129,BX$1,0)</f>
        <v>0</v>
      </c>
      <c r="BY24" s="13">
        <f>VLOOKUP($F24,'Visu totale'!$D$3:$DT$129,BY$1,0)</f>
        <v>0</v>
      </c>
      <c r="BZ24" s="15">
        <f>VLOOKUP($F24,'Visu totale'!$D$3:$DT$129,BZ$1,0)</f>
        <v>0</v>
      </c>
      <c r="CA24" s="14">
        <f>VLOOKUP($F24,'Visu totale'!$D$3:$DT$129,CA$1,0)</f>
        <v>0</v>
      </c>
      <c r="CB24" s="13">
        <f>VLOOKUP($F24,'Visu totale'!$D$3:$DT$129,CB$1,0)</f>
        <v>0</v>
      </c>
      <c r="CC24" s="13">
        <f>VLOOKUP($F24,'Visu totale'!$D$3:$DT$129,CC$1,0)</f>
        <v>0</v>
      </c>
      <c r="CD24" s="13">
        <f>VLOOKUP($F24,'Visu totale'!$D$3:$DT$129,CD$1,0)</f>
        <v>0</v>
      </c>
      <c r="CE24" s="13">
        <f>VLOOKUP($F24,'Visu totale'!$D$3:$DT$129,CE$1,0)</f>
        <v>0</v>
      </c>
      <c r="CF24" s="13">
        <f>VLOOKUP($F24,'Visu totale'!$D$3:$DT$129,CF$1,0)</f>
        <v>0</v>
      </c>
      <c r="CG24" s="13">
        <f>VLOOKUP($F24,'Visu totale'!$D$3:$DT$129,CG$1,0)</f>
        <v>0</v>
      </c>
      <c r="CH24" s="13">
        <f>VLOOKUP($F24,'Visu totale'!$D$3:$DT$129,CH$1,0)</f>
        <v>0</v>
      </c>
      <c r="CI24" s="13">
        <f>VLOOKUP($F24,'Visu totale'!$D$3:$DT$129,CI$1,0)</f>
        <v>0</v>
      </c>
      <c r="CJ24" s="13">
        <f>VLOOKUP($F24,'Visu totale'!$D$3:$DT$129,CJ$1,0)</f>
        <v>0</v>
      </c>
      <c r="CK24" s="13">
        <f>VLOOKUP($F24,'Visu totale'!$D$3:$DT$129,CK$1,0)</f>
        <v>0</v>
      </c>
      <c r="CL24" s="15">
        <f>VLOOKUP($F24,'Visu totale'!$D$3:$DT$129,CL$1,0)</f>
        <v>0</v>
      </c>
      <c r="CM24" s="14">
        <f>VLOOKUP($F24,'Visu totale'!$D$3:$DT$129,CM$1,0)</f>
        <v>0</v>
      </c>
      <c r="CN24" s="13">
        <f>VLOOKUP($F24,'Visu totale'!$D$3:$DT$129,CN$1,0)</f>
        <v>0</v>
      </c>
      <c r="CO24" s="13">
        <f>VLOOKUP($F24,'Visu totale'!$D$3:$DT$129,CO$1,0)</f>
        <v>0</v>
      </c>
      <c r="CP24" s="13">
        <f>VLOOKUP($F24,'Visu totale'!$D$3:$DT$129,CP$1,0)</f>
        <v>0</v>
      </c>
      <c r="CQ24" s="13">
        <f>VLOOKUP($F24,'Visu totale'!$D$3:$DT$129,CQ$1,0)</f>
        <v>0</v>
      </c>
      <c r="CR24" s="13">
        <f>VLOOKUP($F24,'Visu totale'!$D$3:$DT$129,CR$1,0)</f>
        <v>0</v>
      </c>
      <c r="CS24" s="13">
        <f>VLOOKUP($F24,'Visu totale'!$D$3:$DT$129,CS$1,0)</f>
        <v>0</v>
      </c>
      <c r="CT24" s="13">
        <f>VLOOKUP($F24,'Visu totale'!$D$3:$DT$129,CT$1,0)</f>
        <v>0</v>
      </c>
      <c r="CU24" s="13">
        <f>VLOOKUP($F24,'Visu totale'!$D$3:$DT$129,CU$1,0)</f>
        <v>0</v>
      </c>
      <c r="CV24" s="13">
        <f>VLOOKUP($F24,'Visu totale'!$D$3:$DT$129,CV$1,0)</f>
        <v>0</v>
      </c>
      <c r="CW24" s="13">
        <f>VLOOKUP($F24,'Visu totale'!$D$3:$DT$129,CW$1,0)</f>
        <v>0</v>
      </c>
      <c r="CX24" s="15">
        <f>VLOOKUP($F24,'Visu totale'!$D$3:$DT$129,CX$1,0)</f>
        <v>0</v>
      </c>
      <c r="CY24" s="14">
        <f>VLOOKUP($F24,'Visu totale'!$D$3:$DT$129,CY$1,0)</f>
        <v>0</v>
      </c>
      <c r="CZ24" s="13">
        <f>VLOOKUP($F24,'Visu totale'!$D$3:$DT$129,CZ$1,0)</f>
        <v>0</v>
      </c>
      <c r="DA24" s="13">
        <f>VLOOKUP($F24,'Visu totale'!$D$3:$DT$129,DA$1,0)</f>
        <v>0</v>
      </c>
      <c r="DB24" s="13">
        <f>VLOOKUP($F24,'Visu totale'!$D$3:$DT$129,DB$1,0)</f>
        <v>0</v>
      </c>
      <c r="DC24" s="13">
        <f>VLOOKUP($F24,'Visu totale'!$D$3:$DT$129,DC$1,0)</f>
        <v>0</v>
      </c>
      <c r="DD24" s="13">
        <f>VLOOKUP($F24,'Visu totale'!$D$3:$DT$129,DD$1,0)</f>
        <v>0</v>
      </c>
      <c r="DE24" s="13">
        <f>VLOOKUP($F24,'Visu totale'!$D$3:$DT$129,DE$1,0)</f>
        <v>0</v>
      </c>
      <c r="DF24" s="13">
        <f>VLOOKUP($F24,'Visu totale'!$D$3:$DT$129,DF$1,0)</f>
        <v>0</v>
      </c>
      <c r="DG24" s="13">
        <f>VLOOKUP($F24,'Visu totale'!$D$3:$DT$129,DG$1,0)</f>
        <v>0</v>
      </c>
      <c r="DH24" s="13">
        <f>VLOOKUP($F24,'Visu totale'!$D$3:$DT$129,DH$1,0)</f>
        <v>0</v>
      </c>
      <c r="DI24" s="13">
        <f>VLOOKUP($F24,'Visu totale'!$D$3:$DT$129,DI$1,0)</f>
        <v>0</v>
      </c>
      <c r="DJ24" s="15">
        <f>VLOOKUP($F24,'Visu totale'!$D$3:$DT$129,DJ$1,0)</f>
        <v>0</v>
      </c>
      <c r="DK24" s="14">
        <f>VLOOKUP($F24,'Visu totale'!$D$3:$DT$129,DK$1,0)</f>
        <v>0</v>
      </c>
      <c r="DL24" s="13">
        <f>VLOOKUP($F24,'Visu totale'!$D$3:$DT$129,DL$1,0)</f>
        <v>0</v>
      </c>
      <c r="DM24" s="13">
        <f>VLOOKUP($F24,'Visu totale'!$D$3:$DT$129,DM$1,0)</f>
        <v>0</v>
      </c>
      <c r="DN24" s="13">
        <f>VLOOKUP($F24,'Visu totale'!$D$3:$DT$129,DN$1,0)</f>
        <v>0</v>
      </c>
      <c r="DO24" s="13">
        <f>VLOOKUP($F24,'Visu totale'!$D$3:$DT$129,DO$1,0)</f>
        <v>0</v>
      </c>
      <c r="DP24" s="13">
        <f>VLOOKUP($F24,'Visu totale'!$D$3:$DT$129,DP$1,0)</f>
        <v>0</v>
      </c>
      <c r="DQ24" s="13">
        <f>VLOOKUP($F24,'Visu totale'!$D$3:$DT$129,DQ$1,0)</f>
        <v>0</v>
      </c>
      <c r="DR24" s="13">
        <f>VLOOKUP($F24,'Visu totale'!$D$3:$DT$129,DR$1,0)</f>
        <v>0</v>
      </c>
      <c r="DS24" s="13">
        <f>VLOOKUP($F24,'Visu totale'!$D$3:$DT$129,DS$1,0)</f>
        <v>0</v>
      </c>
      <c r="DT24" s="13">
        <f>VLOOKUP($F24,'Visu totale'!$D$3:$DT$129,DT$1,0)</f>
        <v>0</v>
      </c>
      <c r="DU24" s="13">
        <f>VLOOKUP($F24,'Visu totale'!$D$3:$DT$129,DU$1,0)</f>
        <v>0</v>
      </c>
      <c r="DV24" s="15">
        <f>VLOOKUP($F24,'Visu totale'!$D$3:$DT$129,DV$1,0)</f>
        <v>0</v>
      </c>
    </row>
    <row r="25" spans="1:126" s="12" customFormat="1" x14ac:dyDescent="0.25">
      <c r="A25" s="13"/>
      <c r="B25" s="13"/>
      <c r="C25" s="13"/>
      <c r="D25" s="13"/>
      <c r="E25" s="13"/>
      <c r="F25" s="17" t="s">
        <v>125</v>
      </c>
      <c r="G25" s="14">
        <f>VLOOKUP($F25,'Visu totale'!$D$3:$DT$129,G$1,0)</f>
        <v>0</v>
      </c>
      <c r="H25" s="13">
        <f>VLOOKUP($F25,'Visu totale'!$D$3:$DT$129,H$1,0)</f>
        <v>0</v>
      </c>
      <c r="I25" s="13">
        <f>VLOOKUP($F25,'Visu totale'!$D$3:$DT$129,I$1,0)</f>
        <v>0</v>
      </c>
      <c r="J25" s="13">
        <f>VLOOKUP($F25,'Visu totale'!$D$3:$DT$129,J$1,0)</f>
        <v>0</v>
      </c>
      <c r="K25" s="13">
        <f>VLOOKUP($F25,'Visu totale'!$D$3:$DT$129,K$1,0)</f>
        <v>0</v>
      </c>
      <c r="L25" s="13">
        <f>VLOOKUP($F25,'Visu totale'!$D$3:$DT$129,L$1,0)</f>
        <v>0</v>
      </c>
      <c r="M25" s="13">
        <f>VLOOKUP($F25,'Visu totale'!$D$3:$DT$129,M$1,0)</f>
        <v>0</v>
      </c>
      <c r="N25" s="13">
        <f>VLOOKUP($F25,'Visu totale'!$D$3:$DT$129,N$1,0)</f>
        <v>0</v>
      </c>
      <c r="O25" s="13">
        <f>VLOOKUP($F25,'Visu totale'!$D$3:$DT$129,O$1,0)</f>
        <v>0</v>
      </c>
      <c r="P25" s="13">
        <f>VLOOKUP($F25,'Visu totale'!$D$3:$DT$129,P$1,0)</f>
        <v>0</v>
      </c>
      <c r="Q25" s="13">
        <f>VLOOKUP($F25,'Visu totale'!$D$3:$DT$129,Q$1,0)</f>
        <v>0</v>
      </c>
      <c r="R25" s="15">
        <f>VLOOKUP($F25,'Visu totale'!$D$3:$DT$129,R$1,0)</f>
        <v>0</v>
      </c>
      <c r="S25" s="14">
        <f>VLOOKUP($F25,'Visu totale'!$D$3:$DT$129,S$1,0)</f>
        <v>0</v>
      </c>
      <c r="T25" s="13">
        <f>VLOOKUP($F25,'Visu totale'!$D$3:$DT$129,T$1,0)</f>
        <v>0</v>
      </c>
      <c r="U25" s="13">
        <f>VLOOKUP($F25,'Visu totale'!$D$3:$DT$129,U$1,0)</f>
        <v>0</v>
      </c>
      <c r="V25" s="13">
        <f>VLOOKUP($F25,'Visu totale'!$D$3:$DT$129,V$1,0)</f>
        <v>0</v>
      </c>
      <c r="W25" s="13">
        <f>VLOOKUP($F25,'Visu totale'!$D$3:$DT$129,W$1,0)</f>
        <v>0</v>
      </c>
      <c r="X25" s="13">
        <f>VLOOKUP($F25,'Visu totale'!$D$3:$DT$129,X$1,0)</f>
        <v>0</v>
      </c>
      <c r="Y25" s="13">
        <f>VLOOKUP($F25,'Visu totale'!$D$3:$DT$129,Y$1,0)</f>
        <v>0</v>
      </c>
      <c r="Z25" s="13">
        <f>VLOOKUP($F25,'Visu totale'!$D$3:$DT$129,Z$1,0)</f>
        <v>0</v>
      </c>
      <c r="AA25" s="13">
        <f>VLOOKUP($F25,'Visu totale'!$D$3:$DT$129,AA$1,0)</f>
        <v>0</v>
      </c>
      <c r="AB25" s="13">
        <f>VLOOKUP($F25,'Visu totale'!$D$3:$DT$129,AB$1,0)</f>
        <v>0</v>
      </c>
      <c r="AC25" s="13">
        <f>VLOOKUP($F25,'Visu totale'!$D$3:$DT$129,AC$1,0)</f>
        <v>0</v>
      </c>
      <c r="AD25" s="15">
        <f>VLOOKUP($F25,'Visu totale'!$D$3:$DT$129,AD$1,0)</f>
        <v>0</v>
      </c>
      <c r="AE25" s="14">
        <f>VLOOKUP($F25,'Visu totale'!$D$3:$DT$129,AE$1,0)</f>
        <v>0</v>
      </c>
      <c r="AF25" s="13">
        <f>VLOOKUP($F25,'Visu totale'!$D$3:$DT$129,AF$1,0)</f>
        <v>0</v>
      </c>
      <c r="AG25" s="13">
        <f>VLOOKUP($F25,'Visu totale'!$D$3:$DT$129,AG$1,0)</f>
        <v>0</v>
      </c>
      <c r="AH25" s="13">
        <f>VLOOKUP($F25,'Visu totale'!$D$3:$DT$129,AH$1,0)</f>
        <v>0</v>
      </c>
      <c r="AI25" s="13">
        <f>VLOOKUP($F25,'Visu totale'!$D$3:$DT$129,AI$1,0)</f>
        <v>0</v>
      </c>
      <c r="AJ25" s="13">
        <f>VLOOKUP($F25,'Visu totale'!$D$3:$DT$129,AJ$1,0)</f>
        <v>0</v>
      </c>
      <c r="AK25" s="13">
        <f>VLOOKUP($F25,'Visu totale'!$D$3:$DT$129,AK$1,0)</f>
        <v>0</v>
      </c>
      <c r="AL25" s="13">
        <f>VLOOKUP($F25,'Visu totale'!$D$3:$DT$129,AL$1,0)</f>
        <v>0</v>
      </c>
      <c r="AM25" s="13">
        <f>VLOOKUP($F25,'Visu totale'!$D$3:$DT$129,AM$1,0)</f>
        <v>0</v>
      </c>
      <c r="AN25" s="13">
        <f>VLOOKUP($F25,'Visu totale'!$D$3:$DT$129,AN$1,0)</f>
        <v>0</v>
      </c>
      <c r="AO25" s="13">
        <f>VLOOKUP($F25,'Visu totale'!$D$3:$DT$129,AO$1,0)</f>
        <v>0</v>
      </c>
      <c r="AP25" s="15">
        <f>VLOOKUP($F25,'Visu totale'!$D$3:$DT$129,AP$1,0)</f>
        <v>0</v>
      </c>
      <c r="AQ25" s="14">
        <f>VLOOKUP($F25,'Visu totale'!$D$3:$DT$129,AQ$1,0)</f>
        <v>0</v>
      </c>
      <c r="AR25" s="13">
        <f>VLOOKUP($F25,'Visu totale'!$D$3:$DT$129,AR$1,0)</f>
        <v>0</v>
      </c>
      <c r="AS25" s="13">
        <f>VLOOKUP($F25,'Visu totale'!$D$3:$DT$129,AS$1,0)</f>
        <v>0</v>
      </c>
      <c r="AT25" s="13">
        <f>VLOOKUP($F25,'Visu totale'!$D$3:$DT$129,AT$1,0)</f>
        <v>0</v>
      </c>
      <c r="AU25" s="13">
        <f>VLOOKUP($F25,'Visu totale'!$D$3:$DT$129,AU$1,0)</f>
        <v>0</v>
      </c>
      <c r="AV25" s="13">
        <f>VLOOKUP($F25,'Visu totale'!$D$3:$DT$129,AV$1,0)</f>
        <v>0</v>
      </c>
      <c r="AW25" s="13">
        <f>VLOOKUP($F25,'Visu totale'!$D$3:$DT$129,AW$1,0)</f>
        <v>0</v>
      </c>
      <c r="AX25" s="13">
        <f>VLOOKUP($F25,'Visu totale'!$D$3:$DT$129,AX$1,0)</f>
        <v>0</v>
      </c>
      <c r="AY25" s="13">
        <f>VLOOKUP($F25,'Visu totale'!$D$3:$DT$129,AY$1,0)</f>
        <v>0</v>
      </c>
      <c r="AZ25" s="13">
        <f>VLOOKUP($F25,'Visu totale'!$D$3:$DT$129,AZ$1,0)</f>
        <v>0</v>
      </c>
      <c r="BA25" s="13">
        <f>VLOOKUP($F25,'Visu totale'!$D$3:$DT$129,BA$1,0)</f>
        <v>0</v>
      </c>
      <c r="BB25" s="15">
        <f>VLOOKUP($F25,'Visu totale'!$D$3:$DT$129,BB$1,0)</f>
        <v>0</v>
      </c>
      <c r="BC25" s="14">
        <f>VLOOKUP($F25,'Visu totale'!$D$3:$DT$129,BC$1,0)</f>
        <v>0</v>
      </c>
      <c r="BD25" s="13">
        <f>VLOOKUP($F25,'Visu totale'!$D$3:$DT$129,BD$1,0)</f>
        <v>0</v>
      </c>
      <c r="BE25" s="13">
        <f>VLOOKUP($F25,'Visu totale'!$D$3:$DT$129,BE$1,0)</f>
        <v>0</v>
      </c>
      <c r="BF25" s="13">
        <f>VLOOKUP($F25,'Visu totale'!$D$3:$DT$129,BF$1,0)</f>
        <v>0</v>
      </c>
      <c r="BG25" s="13">
        <f>VLOOKUP($F25,'Visu totale'!$D$3:$DT$129,BG$1,0)</f>
        <v>0</v>
      </c>
      <c r="BH25" s="13">
        <f>VLOOKUP($F25,'Visu totale'!$D$3:$DT$129,BH$1,0)</f>
        <v>0</v>
      </c>
      <c r="BI25" s="13">
        <f>VLOOKUP($F25,'Visu totale'!$D$3:$DT$129,BI$1,0)</f>
        <v>0</v>
      </c>
      <c r="BJ25" s="13">
        <f>VLOOKUP($F25,'Visu totale'!$D$3:$DT$129,BJ$1,0)</f>
        <v>0</v>
      </c>
      <c r="BK25" s="13">
        <f>VLOOKUP($F25,'Visu totale'!$D$3:$DT$129,BK$1,0)</f>
        <v>0</v>
      </c>
      <c r="BL25" s="13">
        <f>VLOOKUP($F25,'Visu totale'!$D$3:$DT$129,BL$1,0)</f>
        <v>0</v>
      </c>
      <c r="BM25" s="13">
        <f>VLOOKUP($F25,'Visu totale'!$D$3:$DT$129,BM$1,0)</f>
        <v>0</v>
      </c>
      <c r="BN25" s="15">
        <f>VLOOKUP($F25,'Visu totale'!$D$3:$DT$129,BN$1,0)</f>
        <v>0</v>
      </c>
      <c r="BO25" s="14">
        <f>VLOOKUP($F25,'Visu totale'!$D$3:$DT$129,BO$1,0)</f>
        <v>0</v>
      </c>
      <c r="BP25" s="13">
        <f>VLOOKUP($F25,'Visu totale'!$D$3:$DT$129,BP$1,0)</f>
        <v>0</v>
      </c>
      <c r="BQ25" s="13">
        <f>VLOOKUP($F25,'Visu totale'!$D$3:$DT$129,BQ$1,0)</f>
        <v>0</v>
      </c>
      <c r="BR25" s="13">
        <f>VLOOKUP($F25,'Visu totale'!$D$3:$DT$129,BR$1,0)</f>
        <v>0</v>
      </c>
      <c r="BS25" s="13">
        <f>VLOOKUP($F25,'Visu totale'!$D$3:$DT$129,BS$1,0)</f>
        <v>0</v>
      </c>
      <c r="BT25" s="13">
        <f>VLOOKUP($F25,'Visu totale'!$D$3:$DT$129,BT$1,0)</f>
        <v>0</v>
      </c>
      <c r="BU25" s="13">
        <f>VLOOKUP($F25,'Visu totale'!$D$3:$DT$129,BU$1,0)</f>
        <v>0</v>
      </c>
      <c r="BV25" s="13">
        <f>VLOOKUP($F25,'Visu totale'!$D$3:$DT$129,BV$1,0)</f>
        <v>0</v>
      </c>
      <c r="BW25" s="13">
        <f>VLOOKUP($F25,'Visu totale'!$D$3:$DT$129,BW$1,0)</f>
        <v>0</v>
      </c>
      <c r="BX25" s="13">
        <f>VLOOKUP($F25,'Visu totale'!$D$3:$DT$129,BX$1,0)</f>
        <v>0</v>
      </c>
      <c r="BY25" s="13">
        <f>VLOOKUP($F25,'Visu totale'!$D$3:$DT$129,BY$1,0)</f>
        <v>0</v>
      </c>
      <c r="BZ25" s="15">
        <f>VLOOKUP($F25,'Visu totale'!$D$3:$DT$129,BZ$1,0)</f>
        <v>0</v>
      </c>
      <c r="CA25" s="14">
        <f>VLOOKUP($F25,'Visu totale'!$D$3:$DT$129,CA$1,0)</f>
        <v>0</v>
      </c>
      <c r="CB25" s="13">
        <f>VLOOKUP($F25,'Visu totale'!$D$3:$DT$129,CB$1,0)</f>
        <v>0</v>
      </c>
      <c r="CC25" s="13">
        <f>VLOOKUP($F25,'Visu totale'!$D$3:$DT$129,CC$1,0)</f>
        <v>0</v>
      </c>
      <c r="CD25" s="13">
        <f>VLOOKUP($F25,'Visu totale'!$D$3:$DT$129,CD$1,0)</f>
        <v>0</v>
      </c>
      <c r="CE25" s="13">
        <f>VLOOKUP($F25,'Visu totale'!$D$3:$DT$129,CE$1,0)</f>
        <v>0</v>
      </c>
      <c r="CF25" s="13">
        <f>VLOOKUP($F25,'Visu totale'!$D$3:$DT$129,CF$1,0)</f>
        <v>0</v>
      </c>
      <c r="CG25" s="13">
        <f>VLOOKUP($F25,'Visu totale'!$D$3:$DT$129,CG$1,0)</f>
        <v>0</v>
      </c>
      <c r="CH25" s="13">
        <f>VLOOKUP($F25,'Visu totale'!$D$3:$DT$129,CH$1,0)</f>
        <v>0</v>
      </c>
      <c r="CI25" s="13">
        <f>VLOOKUP($F25,'Visu totale'!$D$3:$DT$129,CI$1,0)</f>
        <v>0</v>
      </c>
      <c r="CJ25" s="13">
        <f>VLOOKUP($F25,'Visu totale'!$D$3:$DT$129,CJ$1,0)</f>
        <v>0</v>
      </c>
      <c r="CK25" s="13">
        <f>VLOOKUP($F25,'Visu totale'!$D$3:$DT$129,CK$1,0)</f>
        <v>0</v>
      </c>
      <c r="CL25" s="15">
        <f>VLOOKUP($F25,'Visu totale'!$D$3:$DT$129,CL$1,0)</f>
        <v>0</v>
      </c>
      <c r="CM25" s="14">
        <f>VLOOKUP($F25,'Visu totale'!$D$3:$DT$129,CM$1,0)</f>
        <v>0</v>
      </c>
      <c r="CN25" s="13">
        <f>VLOOKUP($F25,'Visu totale'!$D$3:$DT$129,CN$1,0)</f>
        <v>0</v>
      </c>
      <c r="CO25" s="13">
        <f>VLOOKUP($F25,'Visu totale'!$D$3:$DT$129,CO$1,0)</f>
        <v>0</v>
      </c>
      <c r="CP25" s="13">
        <f>VLOOKUP($F25,'Visu totale'!$D$3:$DT$129,CP$1,0)</f>
        <v>0</v>
      </c>
      <c r="CQ25" s="13">
        <f>VLOOKUP($F25,'Visu totale'!$D$3:$DT$129,CQ$1,0)</f>
        <v>0</v>
      </c>
      <c r="CR25" s="13">
        <f>VLOOKUP($F25,'Visu totale'!$D$3:$DT$129,CR$1,0)</f>
        <v>0</v>
      </c>
      <c r="CS25" s="13">
        <f>VLOOKUP($F25,'Visu totale'!$D$3:$DT$129,CS$1,0)</f>
        <v>0</v>
      </c>
      <c r="CT25" s="13">
        <f>VLOOKUP($F25,'Visu totale'!$D$3:$DT$129,CT$1,0)</f>
        <v>0</v>
      </c>
      <c r="CU25" s="13">
        <f>VLOOKUP($F25,'Visu totale'!$D$3:$DT$129,CU$1,0)</f>
        <v>0</v>
      </c>
      <c r="CV25" s="13">
        <f>VLOOKUP($F25,'Visu totale'!$D$3:$DT$129,CV$1,0)</f>
        <v>0</v>
      </c>
      <c r="CW25" s="13">
        <f>VLOOKUP($F25,'Visu totale'!$D$3:$DT$129,CW$1,0)</f>
        <v>0</v>
      </c>
      <c r="CX25" s="15">
        <f>VLOOKUP($F25,'Visu totale'!$D$3:$DT$129,CX$1,0)</f>
        <v>0</v>
      </c>
      <c r="CY25" s="14">
        <f>VLOOKUP($F25,'Visu totale'!$D$3:$DT$129,CY$1,0)</f>
        <v>0</v>
      </c>
      <c r="CZ25" s="13">
        <f>VLOOKUP($F25,'Visu totale'!$D$3:$DT$129,CZ$1,0)</f>
        <v>0</v>
      </c>
      <c r="DA25" s="13">
        <f>VLOOKUP($F25,'Visu totale'!$D$3:$DT$129,DA$1,0)</f>
        <v>0</v>
      </c>
      <c r="DB25" s="13">
        <f>VLOOKUP($F25,'Visu totale'!$D$3:$DT$129,DB$1,0)</f>
        <v>0</v>
      </c>
      <c r="DC25" s="13">
        <f>VLOOKUP($F25,'Visu totale'!$D$3:$DT$129,DC$1,0)</f>
        <v>0</v>
      </c>
      <c r="DD25" s="13">
        <f>VLOOKUP($F25,'Visu totale'!$D$3:$DT$129,DD$1,0)</f>
        <v>0</v>
      </c>
      <c r="DE25" s="13">
        <f>VLOOKUP($F25,'Visu totale'!$D$3:$DT$129,DE$1,0)</f>
        <v>0</v>
      </c>
      <c r="DF25" s="13">
        <f>VLOOKUP($F25,'Visu totale'!$D$3:$DT$129,DF$1,0)</f>
        <v>0</v>
      </c>
      <c r="DG25" s="13">
        <f>VLOOKUP($F25,'Visu totale'!$D$3:$DT$129,DG$1,0)</f>
        <v>0</v>
      </c>
      <c r="DH25" s="13">
        <f>VLOOKUP($F25,'Visu totale'!$D$3:$DT$129,DH$1,0)</f>
        <v>0</v>
      </c>
      <c r="DI25" s="13">
        <f>VLOOKUP($F25,'Visu totale'!$D$3:$DT$129,DI$1,0)</f>
        <v>0</v>
      </c>
      <c r="DJ25" s="15">
        <f>VLOOKUP($F25,'Visu totale'!$D$3:$DT$129,DJ$1,0)</f>
        <v>0</v>
      </c>
      <c r="DK25" s="14">
        <f>VLOOKUP($F25,'Visu totale'!$D$3:$DT$129,DK$1,0)</f>
        <v>0</v>
      </c>
      <c r="DL25" s="13">
        <f>VLOOKUP($F25,'Visu totale'!$D$3:$DT$129,DL$1,0)</f>
        <v>0</v>
      </c>
      <c r="DM25" s="13">
        <f>VLOOKUP($F25,'Visu totale'!$D$3:$DT$129,DM$1,0)</f>
        <v>0</v>
      </c>
      <c r="DN25" s="13">
        <f>VLOOKUP($F25,'Visu totale'!$D$3:$DT$129,DN$1,0)</f>
        <v>0</v>
      </c>
      <c r="DO25" s="13">
        <f>VLOOKUP($F25,'Visu totale'!$D$3:$DT$129,DO$1,0)</f>
        <v>0</v>
      </c>
      <c r="DP25" s="13">
        <f>VLOOKUP($F25,'Visu totale'!$D$3:$DT$129,DP$1,0)</f>
        <v>0</v>
      </c>
      <c r="DQ25" s="13">
        <f>VLOOKUP($F25,'Visu totale'!$D$3:$DT$129,DQ$1,0)</f>
        <v>0</v>
      </c>
      <c r="DR25" s="13">
        <f>VLOOKUP($F25,'Visu totale'!$D$3:$DT$129,DR$1,0)</f>
        <v>0</v>
      </c>
      <c r="DS25" s="13">
        <f>VLOOKUP($F25,'Visu totale'!$D$3:$DT$129,DS$1,0)</f>
        <v>0</v>
      </c>
      <c r="DT25" s="13">
        <f>VLOOKUP($F25,'Visu totale'!$D$3:$DT$129,DT$1,0)</f>
        <v>0</v>
      </c>
      <c r="DU25" s="13">
        <f>VLOOKUP($F25,'Visu totale'!$D$3:$DT$129,DU$1,0)</f>
        <v>0</v>
      </c>
      <c r="DV25" s="15">
        <f>VLOOKUP($F25,'Visu totale'!$D$3:$DT$129,DV$1,0)</f>
        <v>0</v>
      </c>
    </row>
    <row r="26" spans="1:126" s="12" customFormat="1" x14ac:dyDescent="0.25">
      <c r="A26" s="13"/>
      <c r="B26" s="13"/>
      <c r="C26" s="13"/>
      <c r="D26" s="13"/>
      <c r="E26" s="13"/>
      <c r="F26" s="17" t="s">
        <v>126</v>
      </c>
      <c r="G26" s="14">
        <f>VLOOKUP($F26,'Visu totale'!$D$3:$DT$129,G$1,0)</f>
        <v>0</v>
      </c>
      <c r="H26" s="13">
        <f>VLOOKUP($F26,'Visu totale'!$D$3:$DT$129,H$1,0)</f>
        <v>0</v>
      </c>
      <c r="I26" s="13">
        <f>VLOOKUP($F26,'Visu totale'!$D$3:$DT$129,I$1,0)</f>
        <v>0</v>
      </c>
      <c r="J26" s="13">
        <f>VLOOKUP($F26,'Visu totale'!$D$3:$DT$129,J$1,0)</f>
        <v>0</v>
      </c>
      <c r="K26" s="13">
        <f>VLOOKUP($F26,'Visu totale'!$D$3:$DT$129,K$1,0)</f>
        <v>0</v>
      </c>
      <c r="L26" s="13">
        <f>VLOOKUP($F26,'Visu totale'!$D$3:$DT$129,L$1,0)</f>
        <v>0</v>
      </c>
      <c r="M26" s="13">
        <f>VLOOKUP($F26,'Visu totale'!$D$3:$DT$129,M$1,0)</f>
        <v>0</v>
      </c>
      <c r="N26" s="13">
        <f>VLOOKUP($F26,'Visu totale'!$D$3:$DT$129,N$1,0)</f>
        <v>0</v>
      </c>
      <c r="O26" s="13">
        <f>VLOOKUP($F26,'Visu totale'!$D$3:$DT$129,O$1,0)</f>
        <v>0</v>
      </c>
      <c r="P26" s="13">
        <f>VLOOKUP($F26,'Visu totale'!$D$3:$DT$129,P$1,0)</f>
        <v>0</v>
      </c>
      <c r="Q26" s="13">
        <f>VLOOKUP($F26,'Visu totale'!$D$3:$DT$129,Q$1,0)</f>
        <v>0</v>
      </c>
      <c r="R26" s="15">
        <f>VLOOKUP($F26,'Visu totale'!$D$3:$DT$129,R$1,0)</f>
        <v>0</v>
      </c>
      <c r="S26" s="14">
        <f>VLOOKUP($F26,'Visu totale'!$D$3:$DT$129,S$1,0)</f>
        <v>0</v>
      </c>
      <c r="T26" s="13">
        <f>VLOOKUP($F26,'Visu totale'!$D$3:$DT$129,T$1,0)</f>
        <v>0</v>
      </c>
      <c r="U26" s="13">
        <f>VLOOKUP($F26,'Visu totale'!$D$3:$DT$129,U$1,0)</f>
        <v>0</v>
      </c>
      <c r="V26" s="13">
        <f>VLOOKUP($F26,'Visu totale'!$D$3:$DT$129,V$1,0)</f>
        <v>0</v>
      </c>
      <c r="W26" s="13">
        <f>VLOOKUP($F26,'Visu totale'!$D$3:$DT$129,W$1,0)</f>
        <v>0</v>
      </c>
      <c r="X26" s="13">
        <f>VLOOKUP($F26,'Visu totale'!$D$3:$DT$129,X$1,0)</f>
        <v>0</v>
      </c>
      <c r="Y26" s="13">
        <f>VLOOKUP($F26,'Visu totale'!$D$3:$DT$129,Y$1,0)</f>
        <v>0</v>
      </c>
      <c r="Z26" s="13">
        <f>VLOOKUP($F26,'Visu totale'!$D$3:$DT$129,Z$1,0)</f>
        <v>0</v>
      </c>
      <c r="AA26" s="13">
        <f>VLOOKUP($F26,'Visu totale'!$D$3:$DT$129,AA$1,0)</f>
        <v>0</v>
      </c>
      <c r="AB26" s="13">
        <f>VLOOKUP($F26,'Visu totale'!$D$3:$DT$129,AB$1,0)</f>
        <v>0</v>
      </c>
      <c r="AC26" s="13">
        <f>VLOOKUP($F26,'Visu totale'!$D$3:$DT$129,AC$1,0)</f>
        <v>0</v>
      </c>
      <c r="AD26" s="15">
        <f>VLOOKUP($F26,'Visu totale'!$D$3:$DT$129,AD$1,0)</f>
        <v>0</v>
      </c>
      <c r="AE26" s="14">
        <f>VLOOKUP($F26,'Visu totale'!$D$3:$DT$129,AE$1,0)</f>
        <v>0</v>
      </c>
      <c r="AF26" s="13">
        <f>VLOOKUP($F26,'Visu totale'!$D$3:$DT$129,AF$1,0)</f>
        <v>0</v>
      </c>
      <c r="AG26" s="13">
        <f>VLOOKUP($F26,'Visu totale'!$D$3:$DT$129,AG$1,0)</f>
        <v>0</v>
      </c>
      <c r="AH26" s="13">
        <f>VLOOKUP($F26,'Visu totale'!$D$3:$DT$129,AH$1,0)</f>
        <v>0</v>
      </c>
      <c r="AI26" s="13">
        <f>VLOOKUP($F26,'Visu totale'!$D$3:$DT$129,AI$1,0)</f>
        <v>0</v>
      </c>
      <c r="AJ26" s="13">
        <f>VLOOKUP($F26,'Visu totale'!$D$3:$DT$129,AJ$1,0)</f>
        <v>0</v>
      </c>
      <c r="AK26" s="13">
        <f>VLOOKUP($F26,'Visu totale'!$D$3:$DT$129,AK$1,0)</f>
        <v>0</v>
      </c>
      <c r="AL26" s="13">
        <f>VLOOKUP($F26,'Visu totale'!$D$3:$DT$129,AL$1,0)</f>
        <v>0</v>
      </c>
      <c r="AM26" s="13">
        <f>VLOOKUP($F26,'Visu totale'!$D$3:$DT$129,AM$1,0)</f>
        <v>0</v>
      </c>
      <c r="AN26" s="13">
        <f>VLOOKUP($F26,'Visu totale'!$D$3:$DT$129,AN$1,0)</f>
        <v>0</v>
      </c>
      <c r="AO26" s="13">
        <f>VLOOKUP($F26,'Visu totale'!$D$3:$DT$129,AO$1,0)</f>
        <v>0</v>
      </c>
      <c r="AP26" s="15">
        <f>VLOOKUP($F26,'Visu totale'!$D$3:$DT$129,AP$1,0)</f>
        <v>0</v>
      </c>
      <c r="AQ26" s="14">
        <f>VLOOKUP($F26,'Visu totale'!$D$3:$DT$129,AQ$1,0)</f>
        <v>0</v>
      </c>
      <c r="AR26" s="13">
        <f>VLOOKUP($F26,'Visu totale'!$D$3:$DT$129,AR$1,0)</f>
        <v>0</v>
      </c>
      <c r="AS26" s="13">
        <f>VLOOKUP($F26,'Visu totale'!$D$3:$DT$129,AS$1,0)</f>
        <v>0</v>
      </c>
      <c r="AT26" s="13">
        <f>VLOOKUP($F26,'Visu totale'!$D$3:$DT$129,AT$1,0)</f>
        <v>0</v>
      </c>
      <c r="AU26" s="13">
        <f>VLOOKUP($F26,'Visu totale'!$D$3:$DT$129,AU$1,0)</f>
        <v>0</v>
      </c>
      <c r="AV26" s="13">
        <f>VLOOKUP($F26,'Visu totale'!$D$3:$DT$129,AV$1,0)</f>
        <v>0</v>
      </c>
      <c r="AW26" s="13">
        <f>VLOOKUP($F26,'Visu totale'!$D$3:$DT$129,AW$1,0)</f>
        <v>0</v>
      </c>
      <c r="AX26" s="13">
        <f>VLOOKUP($F26,'Visu totale'!$D$3:$DT$129,AX$1,0)</f>
        <v>0</v>
      </c>
      <c r="AY26" s="13">
        <f>VLOOKUP($F26,'Visu totale'!$D$3:$DT$129,AY$1,0)</f>
        <v>0</v>
      </c>
      <c r="AZ26" s="13">
        <f>VLOOKUP($F26,'Visu totale'!$D$3:$DT$129,AZ$1,0)</f>
        <v>0</v>
      </c>
      <c r="BA26" s="13">
        <f>VLOOKUP($F26,'Visu totale'!$D$3:$DT$129,BA$1,0)</f>
        <v>0</v>
      </c>
      <c r="BB26" s="15">
        <f>VLOOKUP($F26,'Visu totale'!$D$3:$DT$129,BB$1,0)</f>
        <v>0</v>
      </c>
      <c r="BC26" s="14">
        <f>VLOOKUP($F26,'Visu totale'!$D$3:$DT$129,BC$1,0)</f>
        <v>0</v>
      </c>
      <c r="BD26" s="13">
        <f>VLOOKUP($F26,'Visu totale'!$D$3:$DT$129,BD$1,0)</f>
        <v>0</v>
      </c>
      <c r="BE26" s="13">
        <f>VLOOKUP($F26,'Visu totale'!$D$3:$DT$129,BE$1,0)</f>
        <v>0</v>
      </c>
      <c r="BF26" s="13">
        <f>VLOOKUP($F26,'Visu totale'!$D$3:$DT$129,BF$1,0)</f>
        <v>0</v>
      </c>
      <c r="BG26" s="13">
        <f>VLOOKUP($F26,'Visu totale'!$D$3:$DT$129,BG$1,0)</f>
        <v>0</v>
      </c>
      <c r="BH26" s="13">
        <f>VLOOKUP($F26,'Visu totale'!$D$3:$DT$129,BH$1,0)</f>
        <v>0</v>
      </c>
      <c r="BI26" s="13">
        <f>VLOOKUP($F26,'Visu totale'!$D$3:$DT$129,BI$1,0)</f>
        <v>0</v>
      </c>
      <c r="BJ26" s="13">
        <f>VLOOKUP($F26,'Visu totale'!$D$3:$DT$129,BJ$1,0)</f>
        <v>0</v>
      </c>
      <c r="BK26" s="13">
        <f>VLOOKUP($F26,'Visu totale'!$D$3:$DT$129,BK$1,0)</f>
        <v>0</v>
      </c>
      <c r="BL26" s="13">
        <f>VLOOKUP($F26,'Visu totale'!$D$3:$DT$129,BL$1,0)</f>
        <v>0</v>
      </c>
      <c r="BM26" s="13">
        <f>VLOOKUP($F26,'Visu totale'!$D$3:$DT$129,BM$1,0)</f>
        <v>0</v>
      </c>
      <c r="BN26" s="15">
        <f>VLOOKUP($F26,'Visu totale'!$D$3:$DT$129,BN$1,0)</f>
        <v>0</v>
      </c>
      <c r="BO26" s="14">
        <f>VLOOKUP($F26,'Visu totale'!$D$3:$DT$129,BO$1,0)</f>
        <v>0</v>
      </c>
      <c r="BP26" s="13">
        <f>VLOOKUP($F26,'Visu totale'!$D$3:$DT$129,BP$1,0)</f>
        <v>0</v>
      </c>
      <c r="BQ26" s="13">
        <f>VLOOKUP($F26,'Visu totale'!$D$3:$DT$129,BQ$1,0)</f>
        <v>0</v>
      </c>
      <c r="BR26" s="13">
        <f>VLOOKUP($F26,'Visu totale'!$D$3:$DT$129,BR$1,0)</f>
        <v>0</v>
      </c>
      <c r="BS26" s="13">
        <f>VLOOKUP($F26,'Visu totale'!$D$3:$DT$129,BS$1,0)</f>
        <v>0</v>
      </c>
      <c r="BT26" s="13">
        <f>VLOOKUP($F26,'Visu totale'!$D$3:$DT$129,BT$1,0)</f>
        <v>0</v>
      </c>
      <c r="BU26" s="13">
        <f>VLOOKUP($F26,'Visu totale'!$D$3:$DT$129,BU$1,0)</f>
        <v>0</v>
      </c>
      <c r="BV26" s="13">
        <f>VLOOKUP($F26,'Visu totale'!$D$3:$DT$129,BV$1,0)</f>
        <v>0</v>
      </c>
      <c r="BW26" s="13">
        <f>VLOOKUP($F26,'Visu totale'!$D$3:$DT$129,BW$1,0)</f>
        <v>0</v>
      </c>
      <c r="BX26" s="13">
        <f>VLOOKUP($F26,'Visu totale'!$D$3:$DT$129,BX$1,0)</f>
        <v>0</v>
      </c>
      <c r="BY26" s="13">
        <f>VLOOKUP($F26,'Visu totale'!$D$3:$DT$129,BY$1,0)</f>
        <v>0</v>
      </c>
      <c r="BZ26" s="15">
        <f>VLOOKUP($F26,'Visu totale'!$D$3:$DT$129,BZ$1,0)</f>
        <v>0</v>
      </c>
      <c r="CA26" s="14">
        <f>VLOOKUP($F26,'Visu totale'!$D$3:$DT$129,CA$1,0)</f>
        <v>0</v>
      </c>
      <c r="CB26" s="13">
        <f>VLOOKUP($F26,'Visu totale'!$D$3:$DT$129,CB$1,0)</f>
        <v>0</v>
      </c>
      <c r="CC26" s="13">
        <f>VLOOKUP($F26,'Visu totale'!$D$3:$DT$129,CC$1,0)</f>
        <v>0</v>
      </c>
      <c r="CD26" s="13">
        <f>VLOOKUP($F26,'Visu totale'!$D$3:$DT$129,CD$1,0)</f>
        <v>0</v>
      </c>
      <c r="CE26" s="13">
        <f>VLOOKUP($F26,'Visu totale'!$D$3:$DT$129,CE$1,0)</f>
        <v>0</v>
      </c>
      <c r="CF26" s="13">
        <f>VLOOKUP($F26,'Visu totale'!$D$3:$DT$129,CF$1,0)</f>
        <v>0</v>
      </c>
      <c r="CG26" s="13">
        <f>VLOOKUP($F26,'Visu totale'!$D$3:$DT$129,CG$1,0)</f>
        <v>0</v>
      </c>
      <c r="CH26" s="13">
        <f>VLOOKUP($F26,'Visu totale'!$D$3:$DT$129,CH$1,0)</f>
        <v>0</v>
      </c>
      <c r="CI26" s="13">
        <f>VLOOKUP($F26,'Visu totale'!$D$3:$DT$129,CI$1,0)</f>
        <v>0</v>
      </c>
      <c r="CJ26" s="13">
        <f>VLOOKUP($F26,'Visu totale'!$D$3:$DT$129,CJ$1,0)</f>
        <v>0</v>
      </c>
      <c r="CK26" s="13">
        <f>VLOOKUP($F26,'Visu totale'!$D$3:$DT$129,CK$1,0)</f>
        <v>0</v>
      </c>
      <c r="CL26" s="15">
        <f>VLOOKUP($F26,'Visu totale'!$D$3:$DT$129,CL$1,0)</f>
        <v>0</v>
      </c>
      <c r="CM26" s="14">
        <f>VLOOKUP($F26,'Visu totale'!$D$3:$DT$129,CM$1,0)</f>
        <v>0</v>
      </c>
      <c r="CN26" s="13">
        <f>VLOOKUP($F26,'Visu totale'!$D$3:$DT$129,CN$1,0)</f>
        <v>0</v>
      </c>
      <c r="CO26" s="13">
        <f>VLOOKUP($F26,'Visu totale'!$D$3:$DT$129,CO$1,0)</f>
        <v>0</v>
      </c>
      <c r="CP26" s="13">
        <f>VLOOKUP($F26,'Visu totale'!$D$3:$DT$129,CP$1,0)</f>
        <v>0</v>
      </c>
      <c r="CQ26" s="13">
        <f>VLOOKUP($F26,'Visu totale'!$D$3:$DT$129,CQ$1,0)</f>
        <v>0</v>
      </c>
      <c r="CR26" s="13">
        <f>VLOOKUP($F26,'Visu totale'!$D$3:$DT$129,CR$1,0)</f>
        <v>0</v>
      </c>
      <c r="CS26" s="13">
        <f>VLOOKUP($F26,'Visu totale'!$D$3:$DT$129,CS$1,0)</f>
        <v>0</v>
      </c>
      <c r="CT26" s="13">
        <f>VLOOKUP($F26,'Visu totale'!$D$3:$DT$129,CT$1,0)</f>
        <v>0</v>
      </c>
      <c r="CU26" s="13">
        <f>VLOOKUP($F26,'Visu totale'!$D$3:$DT$129,CU$1,0)</f>
        <v>0</v>
      </c>
      <c r="CV26" s="13">
        <f>VLOOKUP($F26,'Visu totale'!$D$3:$DT$129,CV$1,0)</f>
        <v>0</v>
      </c>
      <c r="CW26" s="13">
        <f>VLOOKUP($F26,'Visu totale'!$D$3:$DT$129,CW$1,0)</f>
        <v>0</v>
      </c>
      <c r="CX26" s="15">
        <f>VLOOKUP($F26,'Visu totale'!$D$3:$DT$129,CX$1,0)</f>
        <v>0</v>
      </c>
      <c r="CY26" s="14">
        <f>VLOOKUP($F26,'Visu totale'!$D$3:$DT$129,CY$1,0)</f>
        <v>0</v>
      </c>
      <c r="CZ26" s="13">
        <f>VLOOKUP($F26,'Visu totale'!$D$3:$DT$129,CZ$1,0)</f>
        <v>0</v>
      </c>
      <c r="DA26" s="13">
        <f>VLOOKUP($F26,'Visu totale'!$D$3:$DT$129,DA$1,0)</f>
        <v>0</v>
      </c>
      <c r="DB26" s="13">
        <f>VLOOKUP($F26,'Visu totale'!$D$3:$DT$129,DB$1,0)</f>
        <v>0</v>
      </c>
      <c r="DC26" s="13">
        <f>VLOOKUP($F26,'Visu totale'!$D$3:$DT$129,DC$1,0)</f>
        <v>0</v>
      </c>
      <c r="DD26" s="13">
        <f>VLOOKUP($F26,'Visu totale'!$D$3:$DT$129,DD$1,0)</f>
        <v>0</v>
      </c>
      <c r="DE26" s="13">
        <f>VLOOKUP($F26,'Visu totale'!$D$3:$DT$129,DE$1,0)</f>
        <v>0</v>
      </c>
      <c r="DF26" s="13">
        <f>VLOOKUP($F26,'Visu totale'!$D$3:$DT$129,DF$1,0)</f>
        <v>0</v>
      </c>
      <c r="DG26" s="13">
        <f>VLOOKUP($F26,'Visu totale'!$D$3:$DT$129,DG$1,0)</f>
        <v>0</v>
      </c>
      <c r="DH26" s="13">
        <f>VLOOKUP($F26,'Visu totale'!$D$3:$DT$129,DH$1,0)</f>
        <v>0</v>
      </c>
      <c r="DI26" s="13">
        <f>VLOOKUP($F26,'Visu totale'!$D$3:$DT$129,DI$1,0)</f>
        <v>0</v>
      </c>
      <c r="DJ26" s="15">
        <f>VLOOKUP($F26,'Visu totale'!$D$3:$DT$129,DJ$1,0)</f>
        <v>0</v>
      </c>
      <c r="DK26" s="14">
        <f>VLOOKUP($F26,'Visu totale'!$D$3:$DT$129,DK$1,0)</f>
        <v>0</v>
      </c>
      <c r="DL26" s="13">
        <f>VLOOKUP($F26,'Visu totale'!$D$3:$DT$129,DL$1,0)</f>
        <v>0</v>
      </c>
      <c r="DM26" s="13">
        <f>VLOOKUP($F26,'Visu totale'!$D$3:$DT$129,DM$1,0)</f>
        <v>0</v>
      </c>
      <c r="DN26" s="13">
        <f>VLOOKUP($F26,'Visu totale'!$D$3:$DT$129,DN$1,0)</f>
        <v>0</v>
      </c>
      <c r="DO26" s="13">
        <f>VLOOKUP($F26,'Visu totale'!$D$3:$DT$129,DO$1,0)</f>
        <v>0</v>
      </c>
      <c r="DP26" s="13">
        <f>VLOOKUP($F26,'Visu totale'!$D$3:$DT$129,DP$1,0)</f>
        <v>0</v>
      </c>
      <c r="DQ26" s="13">
        <f>VLOOKUP($F26,'Visu totale'!$D$3:$DT$129,DQ$1,0)</f>
        <v>0</v>
      </c>
      <c r="DR26" s="13">
        <f>VLOOKUP($F26,'Visu totale'!$D$3:$DT$129,DR$1,0)</f>
        <v>0</v>
      </c>
      <c r="DS26" s="13">
        <f>VLOOKUP($F26,'Visu totale'!$D$3:$DT$129,DS$1,0)</f>
        <v>0</v>
      </c>
      <c r="DT26" s="13">
        <f>VLOOKUP($F26,'Visu totale'!$D$3:$DT$129,DT$1,0)</f>
        <v>0</v>
      </c>
      <c r="DU26" s="13">
        <f>VLOOKUP($F26,'Visu totale'!$D$3:$DT$129,DU$1,0)</f>
        <v>0</v>
      </c>
      <c r="DV26" s="15">
        <f>VLOOKUP($F26,'Visu totale'!$D$3:$DT$129,DV$1,0)</f>
        <v>0</v>
      </c>
    </row>
    <row r="27" spans="1:126" s="12" customFormat="1" x14ac:dyDescent="0.25">
      <c r="A27" s="13"/>
      <c r="B27" s="13"/>
      <c r="C27" s="13"/>
      <c r="D27" s="13"/>
      <c r="E27" s="13"/>
      <c r="F27" s="17" t="s">
        <v>127</v>
      </c>
      <c r="G27" s="14">
        <f>VLOOKUP($F27,'Visu totale'!$D$3:$DT$129,G$1,0)</f>
        <v>0</v>
      </c>
      <c r="H27" s="13">
        <f>VLOOKUP($F27,'Visu totale'!$D$3:$DT$129,H$1,0)</f>
        <v>0</v>
      </c>
      <c r="I27" s="13">
        <f>VLOOKUP($F27,'Visu totale'!$D$3:$DT$129,I$1,0)</f>
        <v>0</v>
      </c>
      <c r="J27" s="13">
        <f>VLOOKUP($F27,'Visu totale'!$D$3:$DT$129,J$1,0)</f>
        <v>0</v>
      </c>
      <c r="K27" s="13">
        <f>VLOOKUP($F27,'Visu totale'!$D$3:$DT$129,K$1,0)</f>
        <v>0</v>
      </c>
      <c r="L27" s="13">
        <f>VLOOKUP($F27,'Visu totale'!$D$3:$DT$129,L$1,0)</f>
        <v>0</v>
      </c>
      <c r="M27" s="13">
        <f>VLOOKUP($F27,'Visu totale'!$D$3:$DT$129,M$1,0)</f>
        <v>0</v>
      </c>
      <c r="N27" s="13">
        <f>VLOOKUP($F27,'Visu totale'!$D$3:$DT$129,N$1,0)</f>
        <v>0</v>
      </c>
      <c r="O27" s="13">
        <f>VLOOKUP($F27,'Visu totale'!$D$3:$DT$129,O$1,0)</f>
        <v>0</v>
      </c>
      <c r="P27" s="13">
        <f>VLOOKUP($F27,'Visu totale'!$D$3:$DT$129,P$1,0)</f>
        <v>0</v>
      </c>
      <c r="Q27" s="13">
        <f>VLOOKUP($F27,'Visu totale'!$D$3:$DT$129,Q$1,0)</f>
        <v>0</v>
      </c>
      <c r="R27" s="15">
        <f>VLOOKUP($F27,'Visu totale'!$D$3:$DT$129,R$1,0)</f>
        <v>0</v>
      </c>
      <c r="S27" s="14">
        <f>VLOOKUP($F27,'Visu totale'!$D$3:$DT$129,S$1,0)</f>
        <v>0</v>
      </c>
      <c r="T27" s="13">
        <f>VLOOKUP($F27,'Visu totale'!$D$3:$DT$129,T$1,0)</f>
        <v>0</v>
      </c>
      <c r="U27" s="13">
        <f>VLOOKUP($F27,'Visu totale'!$D$3:$DT$129,U$1,0)</f>
        <v>0</v>
      </c>
      <c r="V27" s="13">
        <f>VLOOKUP($F27,'Visu totale'!$D$3:$DT$129,V$1,0)</f>
        <v>0</v>
      </c>
      <c r="W27" s="13">
        <f>VLOOKUP($F27,'Visu totale'!$D$3:$DT$129,W$1,0)</f>
        <v>0</v>
      </c>
      <c r="X27" s="13">
        <f>VLOOKUP($F27,'Visu totale'!$D$3:$DT$129,X$1,0)</f>
        <v>0</v>
      </c>
      <c r="Y27" s="13">
        <f>VLOOKUP($F27,'Visu totale'!$D$3:$DT$129,Y$1,0)</f>
        <v>0</v>
      </c>
      <c r="Z27" s="13">
        <f>VLOOKUP($F27,'Visu totale'!$D$3:$DT$129,Z$1,0)</f>
        <v>0</v>
      </c>
      <c r="AA27" s="13">
        <f>VLOOKUP($F27,'Visu totale'!$D$3:$DT$129,AA$1,0)</f>
        <v>0</v>
      </c>
      <c r="AB27" s="13">
        <f>VLOOKUP($F27,'Visu totale'!$D$3:$DT$129,AB$1,0)</f>
        <v>0</v>
      </c>
      <c r="AC27" s="13">
        <f>VLOOKUP($F27,'Visu totale'!$D$3:$DT$129,AC$1,0)</f>
        <v>0</v>
      </c>
      <c r="AD27" s="15">
        <f>VLOOKUP($F27,'Visu totale'!$D$3:$DT$129,AD$1,0)</f>
        <v>0</v>
      </c>
      <c r="AE27" s="14">
        <f>VLOOKUP($F27,'Visu totale'!$D$3:$DT$129,AE$1,0)</f>
        <v>0</v>
      </c>
      <c r="AF27" s="13">
        <f>VLOOKUP($F27,'Visu totale'!$D$3:$DT$129,AF$1,0)</f>
        <v>0</v>
      </c>
      <c r="AG27" s="13">
        <f>VLOOKUP($F27,'Visu totale'!$D$3:$DT$129,AG$1,0)</f>
        <v>0</v>
      </c>
      <c r="AH27" s="13">
        <f>VLOOKUP($F27,'Visu totale'!$D$3:$DT$129,AH$1,0)</f>
        <v>0</v>
      </c>
      <c r="AI27" s="13">
        <f>VLOOKUP($F27,'Visu totale'!$D$3:$DT$129,AI$1,0)</f>
        <v>0</v>
      </c>
      <c r="AJ27" s="13">
        <f>VLOOKUP($F27,'Visu totale'!$D$3:$DT$129,AJ$1,0)</f>
        <v>0</v>
      </c>
      <c r="AK27" s="13">
        <f>VLOOKUP($F27,'Visu totale'!$D$3:$DT$129,AK$1,0)</f>
        <v>0</v>
      </c>
      <c r="AL27" s="13">
        <f>VLOOKUP($F27,'Visu totale'!$D$3:$DT$129,AL$1,0)</f>
        <v>0</v>
      </c>
      <c r="AM27" s="13">
        <f>VLOOKUP($F27,'Visu totale'!$D$3:$DT$129,AM$1,0)</f>
        <v>0</v>
      </c>
      <c r="AN27" s="13">
        <f>VLOOKUP($F27,'Visu totale'!$D$3:$DT$129,AN$1,0)</f>
        <v>0</v>
      </c>
      <c r="AO27" s="13">
        <f>VLOOKUP($F27,'Visu totale'!$D$3:$DT$129,AO$1,0)</f>
        <v>0</v>
      </c>
      <c r="AP27" s="15">
        <f>VLOOKUP($F27,'Visu totale'!$D$3:$DT$129,AP$1,0)</f>
        <v>0</v>
      </c>
      <c r="AQ27" s="14">
        <f>VLOOKUP($F27,'Visu totale'!$D$3:$DT$129,AQ$1,0)</f>
        <v>0</v>
      </c>
      <c r="AR27" s="13">
        <f>VLOOKUP($F27,'Visu totale'!$D$3:$DT$129,AR$1,0)</f>
        <v>0</v>
      </c>
      <c r="AS27" s="13">
        <f>VLOOKUP($F27,'Visu totale'!$D$3:$DT$129,AS$1,0)</f>
        <v>0</v>
      </c>
      <c r="AT27" s="13">
        <f>VLOOKUP($F27,'Visu totale'!$D$3:$DT$129,AT$1,0)</f>
        <v>0</v>
      </c>
      <c r="AU27" s="13">
        <f>VLOOKUP($F27,'Visu totale'!$D$3:$DT$129,AU$1,0)</f>
        <v>0</v>
      </c>
      <c r="AV27" s="13">
        <f>VLOOKUP($F27,'Visu totale'!$D$3:$DT$129,AV$1,0)</f>
        <v>0</v>
      </c>
      <c r="AW27" s="13">
        <f>VLOOKUP($F27,'Visu totale'!$D$3:$DT$129,AW$1,0)</f>
        <v>0</v>
      </c>
      <c r="AX27" s="13">
        <f>VLOOKUP($F27,'Visu totale'!$D$3:$DT$129,AX$1,0)</f>
        <v>0</v>
      </c>
      <c r="AY27" s="13">
        <f>VLOOKUP($F27,'Visu totale'!$D$3:$DT$129,AY$1,0)</f>
        <v>0</v>
      </c>
      <c r="AZ27" s="13">
        <f>VLOOKUP($F27,'Visu totale'!$D$3:$DT$129,AZ$1,0)</f>
        <v>0</v>
      </c>
      <c r="BA27" s="13">
        <f>VLOOKUP($F27,'Visu totale'!$D$3:$DT$129,BA$1,0)</f>
        <v>0</v>
      </c>
      <c r="BB27" s="15">
        <f>VLOOKUP($F27,'Visu totale'!$D$3:$DT$129,BB$1,0)</f>
        <v>0</v>
      </c>
      <c r="BC27" s="14">
        <f>VLOOKUP($F27,'Visu totale'!$D$3:$DT$129,BC$1,0)</f>
        <v>0</v>
      </c>
      <c r="BD27" s="13">
        <f>VLOOKUP($F27,'Visu totale'!$D$3:$DT$129,BD$1,0)</f>
        <v>0</v>
      </c>
      <c r="BE27" s="13">
        <f>VLOOKUP($F27,'Visu totale'!$D$3:$DT$129,BE$1,0)</f>
        <v>0</v>
      </c>
      <c r="BF27" s="13">
        <f>VLOOKUP($F27,'Visu totale'!$D$3:$DT$129,BF$1,0)</f>
        <v>0</v>
      </c>
      <c r="BG27" s="13">
        <f>VLOOKUP($F27,'Visu totale'!$D$3:$DT$129,BG$1,0)</f>
        <v>0</v>
      </c>
      <c r="BH27" s="13">
        <f>VLOOKUP($F27,'Visu totale'!$D$3:$DT$129,BH$1,0)</f>
        <v>0</v>
      </c>
      <c r="BI27" s="13">
        <f>VLOOKUP($F27,'Visu totale'!$D$3:$DT$129,BI$1,0)</f>
        <v>0</v>
      </c>
      <c r="BJ27" s="13">
        <f>VLOOKUP($F27,'Visu totale'!$D$3:$DT$129,BJ$1,0)</f>
        <v>0</v>
      </c>
      <c r="BK27" s="13">
        <f>VLOOKUP($F27,'Visu totale'!$D$3:$DT$129,BK$1,0)</f>
        <v>0</v>
      </c>
      <c r="BL27" s="13">
        <f>VLOOKUP($F27,'Visu totale'!$D$3:$DT$129,BL$1,0)</f>
        <v>0</v>
      </c>
      <c r="BM27" s="13">
        <f>VLOOKUP($F27,'Visu totale'!$D$3:$DT$129,BM$1,0)</f>
        <v>0</v>
      </c>
      <c r="BN27" s="15">
        <f>VLOOKUP($F27,'Visu totale'!$D$3:$DT$129,BN$1,0)</f>
        <v>0</v>
      </c>
      <c r="BO27" s="14">
        <f>VLOOKUP($F27,'Visu totale'!$D$3:$DT$129,BO$1,0)</f>
        <v>0</v>
      </c>
      <c r="BP27" s="13">
        <f>VLOOKUP($F27,'Visu totale'!$D$3:$DT$129,BP$1,0)</f>
        <v>0</v>
      </c>
      <c r="BQ27" s="13">
        <f>VLOOKUP($F27,'Visu totale'!$D$3:$DT$129,BQ$1,0)</f>
        <v>0</v>
      </c>
      <c r="BR27" s="13">
        <f>VLOOKUP($F27,'Visu totale'!$D$3:$DT$129,BR$1,0)</f>
        <v>0</v>
      </c>
      <c r="BS27" s="13">
        <f>VLOOKUP($F27,'Visu totale'!$D$3:$DT$129,BS$1,0)</f>
        <v>0</v>
      </c>
      <c r="BT27" s="13">
        <f>VLOOKUP($F27,'Visu totale'!$D$3:$DT$129,BT$1,0)</f>
        <v>0</v>
      </c>
      <c r="BU27" s="13">
        <f>VLOOKUP($F27,'Visu totale'!$D$3:$DT$129,BU$1,0)</f>
        <v>0</v>
      </c>
      <c r="BV27" s="13">
        <f>VLOOKUP($F27,'Visu totale'!$D$3:$DT$129,BV$1,0)</f>
        <v>0</v>
      </c>
      <c r="BW27" s="13">
        <f>VLOOKUP($F27,'Visu totale'!$D$3:$DT$129,BW$1,0)</f>
        <v>0</v>
      </c>
      <c r="BX27" s="13">
        <f>VLOOKUP($F27,'Visu totale'!$D$3:$DT$129,BX$1,0)</f>
        <v>0</v>
      </c>
      <c r="BY27" s="13">
        <f>VLOOKUP($F27,'Visu totale'!$D$3:$DT$129,BY$1,0)</f>
        <v>0</v>
      </c>
      <c r="BZ27" s="15">
        <f>VLOOKUP($F27,'Visu totale'!$D$3:$DT$129,BZ$1,0)</f>
        <v>0</v>
      </c>
      <c r="CA27" s="14">
        <f>VLOOKUP($F27,'Visu totale'!$D$3:$DT$129,CA$1,0)</f>
        <v>0</v>
      </c>
      <c r="CB27" s="13">
        <f>VLOOKUP($F27,'Visu totale'!$D$3:$DT$129,CB$1,0)</f>
        <v>0</v>
      </c>
      <c r="CC27" s="13">
        <f>VLOOKUP($F27,'Visu totale'!$D$3:$DT$129,CC$1,0)</f>
        <v>0</v>
      </c>
      <c r="CD27" s="13">
        <f>VLOOKUP($F27,'Visu totale'!$D$3:$DT$129,CD$1,0)</f>
        <v>0</v>
      </c>
      <c r="CE27" s="13">
        <f>VLOOKUP($F27,'Visu totale'!$D$3:$DT$129,CE$1,0)</f>
        <v>0</v>
      </c>
      <c r="CF27" s="13">
        <f>VLOOKUP($F27,'Visu totale'!$D$3:$DT$129,CF$1,0)</f>
        <v>0</v>
      </c>
      <c r="CG27" s="13">
        <f>VLOOKUP($F27,'Visu totale'!$D$3:$DT$129,CG$1,0)</f>
        <v>0</v>
      </c>
      <c r="CH27" s="13">
        <f>VLOOKUP($F27,'Visu totale'!$D$3:$DT$129,CH$1,0)</f>
        <v>0</v>
      </c>
      <c r="CI27" s="13">
        <f>VLOOKUP($F27,'Visu totale'!$D$3:$DT$129,CI$1,0)</f>
        <v>0</v>
      </c>
      <c r="CJ27" s="13">
        <f>VLOOKUP($F27,'Visu totale'!$D$3:$DT$129,CJ$1,0)</f>
        <v>0</v>
      </c>
      <c r="CK27" s="13">
        <f>VLOOKUP($F27,'Visu totale'!$D$3:$DT$129,CK$1,0)</f>
        <v>0</v>
      </c>
      <c r="CL27" s="15">
        <f>VLOOKUP($F27,'Visu totale'!$D$3:$DT$129,CL$1,0)</f>
        <v>0</v>
      </c>
      <c r="CM27" s="14">
        <f>VLOOKUP($F27,'Visu totale'!$D$3:$DT$129,CM$1,0)</f>
        <v>0</v>
      </c>
      <c r="CN27" s="13">
        <f>VLOOKUP($F27,'Visu totale'!$D$3:$DT$129,CN$1,0)</f>
        <v>0</v>
      </c>
      <c r="CO27" s="13">
        <f>VLOOKUP($F27,'Visu totale'!$D$3:$DT$129,CO$1,0)</f>
        <v>0</v>
      </c>
      <c r="CP27" s="13">
        <f>VLOOKUP($F27,'Visu totale'!$D$3:$DT$129,CP$1,0)</f>
        <v>0</v>
      </c>
      <c r="CQ27" s="13">
        <f>VLOOKUP($F27,'Visu totale'!$D$3:$DT$129,CQ$1,0)</f>
        <v>0</v>
      </c>
      <c r="CR27" s="13">
        <f>VLOOKUP($F27,'Visu totale'!$D$3:$DT$129,CR$1,0)</f>
        <v>0</v>
      </c>
      <c r="CS27" s="13">
        <f>VLOOKUP($F27,'Visu totale'!$D$3:$DT$129,CS$1,0)</f>
        <v>0</v>
      </c>
      <c r="CT27" s="13">
        <f>VLOOKUP($F27,'Visu totale'!$D$3:$DT$129,CT$1,0)</f>
        <v>0</v>
      </c>
      <c r="CU27" s="13">
        <f>VLOOKUP($F27,'Visu totale'!$D$3:$DT$129,CU$1,0)</f>
        <v>0</v>
      </c>
      <c r="CV27" s="13">
        <f>VLOOKUP($F27,'Visu totale'!$D$3:$DT$129,CV$1,0)</f>
        <v>0</v>
      </c>
      <c r="CW27" s="13">
        <f>VLOOKUP($F27,'Visu totale'!$D$3:$DT$129,CW$1,0)</f>
        <v>0</v>
      </c>
      <c r="CX27" s="15">
        <f>VLOOKUP($F27,'Visu totale'!$D$3:$DT$129,CX$1,0)</f>
        <v>0</v>
      </c>
      <c r="CY27" s="14">
        <f>VLOOKUP($F27,'Visu totale'!$D$3:$DT$129,CY$1,0)</f>
        <v>0</v>
      </c>
      <c r="CZ27" s="13">
        <f>VLOOKUP($F27,'Visu totale'!$D$3:$DT$129,CZ$1,0)</f>
        <v>0</v>
      </c>
      <c r="DA27" s="13">
        <f>VLOOKUP($F27,'Visu totale'!$D$3:$DT$129,DA$1,0)</f>
        <v>0</v>
      </c>
      <c r="DB27" s="13">
        <f>VLOOKUP($F27,'Visu totale'!$D$3:$DT$129,DB$1,0)</f>
        <v>0</v>
      </c>
      <c r="DC27" s="13">
        <f>VLOOKUP($F27,'Visu totale'!$D$3:$DT$129,DC$1,0)</f>
        <v>0</v>
      </c>
      <c r="DD27" s="13">
        <f>VLOOKUP($F27,'Visu totale'!$D$3:$DT$129,DD$1,0)</f>
        <v>0</v>
      </c>
      <c r="DE27" s="13">
        <f>VLOOKUP($F27,'Visu totale'!$D$3:$DT$129,DE$1,0)</f>
        <v>0</v>
      </c>
      <c r="DF27" s="13">
        <f>VLOOKUP($F27,'Visu totale'!$D$3:$DT$129,DF$1,0)</f>
        <v>0</v>
      </c>
      <c r="DG27" s="13">
        <f>VLOOKUP($F27,'Visu totale'!$D$3:$DT$129,DG$1,0)</f>
        <v>0</v>
      </c>
      <c r="DH27" s="13">
        <f>VLOOKUP($F27,'Visu totale'!$D$3:$DT$129,DH$1,0)</f>
        <v>0</v>
      </c>
      <c r="DI27" s="13">
        <f>VLOOKUP($F27,'Visu totale'!$D$3:$DT$129,DI$1,0)</f>
        <v>0</v>
      </c>
      <c r="DJ27" s="15">
        <f>VLOOKUP($F27,'Visu totale'!$D$3:$DT$129,DJ$1,0)</f>
        <v>0</v>
      </c>
      <c r="DK27" s="14">
        <f>VLOOKUP($F27,'Visu totale'!$D$3:$DT$129,DK$1,0)</f>
        <v>0</v>
      </c>
      <c r="DL27" s="13">
        <f>VLOOKUP($F27,'Visu totale'!$D$3:$DT$129,DL$1,0)</f>
        <v>0</v>
      </c>
      <c r="DM27" s="13">
        <f>VLOOKUP($F27,'Visu totale'!$D$3:$DT$129,DM$1,0)</f>
        <v>0</v>
      </c>
      <c r="DN27" s="13">
        <f>VLOOKUP($F27,'Visu totale'!$D$3:$DT$129,DN$1,0)</f>
        <v>0</v>
      </c>
      <c r="DO27" s="13">
        <f>VLOOKUP($F27,'Visu totale'!$D$3:$DT$129,DO$1,0)</f>
        <v>0</v>
      </c>
      <c r="DP27" s="13">
        <f>VLOOKUP($F27,'Visu totale'!$D$3:$DT$129,DP$1,0)</f>
        <v>0</v>
      </c>
      <c r="DQ27" s="13">
        <f>VLOOKUP($F27,'Visu totale'!$D$3:$DT$129,DQ$1,0)</f>
        <v>0</v>
      </c>
      <c r="DR27" s="13">
        <f>VLOOKUP($F27,'Visu totale'!$D$3:$DT$129,DR$1,0)</f>
        <v>0</v>
      </c>
      <c r="DS27" s="13">
        <f>VLOOKUP($F27,'Visu totale'!$D$3:$DT$129,DS$1,0)</f>
        <v>0</v>
      </c>
      <c r="DT27" s="13">
        <f>VLOOKUP($F27,'Visu totale'!$D$3:$DT$129,DT$1,0)</f>
        <v>0</v>
      </c>
      <c r="DU27" s="13">
        <f>VLOOKUP($F27,'Visu totale'!$D$3:$DT$129,DU$1,0)</f>
        <v>0</v>
      </c>
      <c r="DV27" s="15">
        <f>VLOOKUP($F27,'Visu totale'!$D$3:$DT$129,DV$1,0)</f>
        <v>0</v>
      </c>
    </row>
    <row r="28" spans="1:126" s="12" customFormat="1" x14ac:dyDescent="0.25">
      <c r="A28" s="13"/>
      <c r="B28" s="13"/>
      <c r="C28" s="13"/>
      <c r="D28" s="13"/>
      <c r="E28" s="13"/>
      <c r="F28" s="17" t="s">
        <v>128</v>
      </c>
      <c r="G28" s="14">
        <f>VLOOKUP($F28,'Visu totale'!$D$3:$DT$129,G$1,0)</f>
        <v>0</v>
      </c>
      <c r="H28" s="13">
        <f>VLOOKUP($F28,'Visu totale'!$D$3:$DT$129,H$1,0)</f>
        <v>0</v>
      </c>
      <c r="I28" s="13">
        <f>VLOOKUP($F28,'Visu totale'!$D$3:$DT$129,I$1,0)</f>
        <v>0</v>
      </c>
      <c r="J28" s="13">
        <f>VLOOKUP($F28,'Visu totale'!$D$3:$DT$129,J$1,0)</f>
        <v>0</v>
      </c>
      <c r="K28" s="13">
        <f>VLOOKUP($F28,'Visu totale'!$D$3:$DT$129,K$1,0)</f>
        <v>0</v>
      </c>
      <c r="L28" s="13">
        <f>VLOOKUP($F28,'Visu totale'!$D$3:$DT$129,L$1,0)</f>
        <v>0</v>
      </c>
      <c r="M28" s="13">
        <f>VLOOKUP($F28,'Visu totale'!$D$3:$DT$129,M$1,0)</f>
        <v>0</v>
      </c>
      <c r="N28" s="13">
        <f>VLOOKUP($F28,'Visu totale'!$D$3:$DT$129,N$1,0)</f>
        <v>0</v>
      </c>
      <c r="O28" s="13">
        <f>VLOOKUP($F28,'Visu totale'!$D$3:$DT$129,O$1,0)</f>
        <v>0</v>
      </c>
      <c r="P28" s="13">
        <f>VLOOKUP($F28,'Visu totale'!$D$3:$DT$129,P$1,0)</f>
        <v>0</v>
      </c>
      <c r="Q28" s="13">
        <f>VLOOKUP($F28,'Visu totale'!$D$3:$DT$129,Q$1,0)</f>
        <v>0</v>
      </c>
      <c r="R28" s="15">
        <f>VLOOKUP($F28,'Visu totale'!$D$3:$DT$129,R$1,0)</f>
        <v>0</v>
      </c>
      <c r="S28" s="14">
        <f>VLOOKUP($F28,'Visu totale'!$D$3:$DT$129,S$1,0)</f>
        <v>0</v>
      </c>
      <c r="T28" s="13">
        <f>VLOOKUP($F28,'Visu totale'!$D$3:$DT$129,T$1,0)</f>
        <v>0</v>
      </c>
      <c r="U28" s="13">
        <f>VLOOKUP($F28,'Visu totale'!$D$3:$DT$129,U$1,0)</f>
        <v>0</v>
      </c>
      <c r="V28" s="13">
        <f>VLOOKUP($F28,'Visu totale'!$D$3:$DT$129,V$1,0)</f>
        <v>0</v>
      </c>
      <c r="W28" s="13">
        <f>VLOOKUP($F28,'Visu totale'!$D$3:$DT$129,W$1,0)</f>
        <v>0</v>
      </c>
      <c r="X28" s="13">
        <f>VLOOKUP($F28,'Visu totale'!$D$3:$DT$129,X$1,0)</f>
        <v>0</v>
      </c>
      <c r="Y28" s="13">
        <f>VLOOKUP($F28,'Visu totale'!$D$3:$DT$129,Y$1,0)</f>
        <v>0</v>
      </c>
      <c r="Z28" s="13">
        <f>VLOOKUP($F28,'Visu totale'!$D$3:$DT$129,Z$1,0)</f>
        <v>0</v>
      </c>
      <c r="AA28" s="13">
        <f>VLOOKUP($F28,'Visu totale'!$D$3:$DT$129,AA$1,0)</f>
        <v>0</v>
      </c>
      <c r="AB28" s="13">
        <f>VLOOKUP($F28,'Visu totale'!$D$3:$DT$129,AB$1,0)</f>
        <v>0</v>
      </c>
      <c r="AC28" s="13">
        <f>VLOOKUP($F28,'Visu totale'!$D$3:$DT$129,AC$1,0)</f>
        <v>0</v>
      </c>
      <c r="AD28" s="15">
        <f>VLOOKUP($F28,'Visu totale'!$D$3:$DT$129,AD$1,0)</f>
        <v>0</v>
      </c>
      <c r="AE28" s="14">
        <f>VLOOKUP($F28,'Visu totale'!$D$3:$DT$129,AE$1,0)</f>
        <v>0</v>
      </c>
      <c r="AF28" s="13">
        <f>VLOOKUP($F28,'Visu totale'!$D$3:$DT$129,AF$1,0)</f>
        <v>0</v>
      </c>
      <c r="AG28" s="13">
        <f>VLOOKUP($F28,'Visu totale'!$D$3:$DT$129,AG$1,0)</f>
        <v>0</v>
      </c>
      <c r="AH28" s="13">
        <f>VLOOKUP($F28,'Visu totale'!$D$3:$DT$129,AH$1,0)</f>
        <v>0</v>
      </c>
      <c r="AI28" s="13">
        <f>VLOOKUP($F28,'Visu totale'!$D$3:$DT$129,AI$1,0)</f>
        <v>0</v>
      </c>
      <c r="AJ28" s="13">
        <f>VLOOKUP($F28,'Visu totale'!$D$3:$DT$129,AJ$1,0)</f>
        <v>0</v>
      </c>
      <c r="AK28" s="13">
        <f>VLOOKUP($F28,'Visu totale'!$D$3:$DT$129,AK$1,0)</f>
        <v>0</v>
      </c>
      <c r="AL28" s="13">
        <f>VLOOKUP($F28,'Visu totale'!$D$3:$DT$129,AL$1,0)</f>
        <v>0</v>
      </c>
      <c r="AM28" s="13">
        <f>VLOOKUP($F28,'Visu totale'!$D$3:$DT$129,AM$1,0)</f>
        <v>0</v>
      </c>
      <c r="AN28" s="13">
        <f>VLOOKUP($F28,'Visu totale'!$D$3:$DT$129,AN$1,0)</f>
        <v>0</v>
      </c>
      <c r="AO28" s="13">
        <f>VLOOKUP($F28,'Visu totale'!$D$3:$DT$129,AO$1,0)</f>
        <v>0</v>
      </c>
      <c r="AP28" s="15">
        <f>VLOOKUP($F28,'Visu totale'!$D$3:$DT$129,AP$1,0)</f>
        <v>0</v>
      </c>
      <c r="AQ28" s="14">
        <f>VLOOKUP($F28,'Visu totale'!$D$3:$DT$129,AQ$1,0)</f>
        <v>0</v>
      </c>
      <c r="AR28" s="13">
        <f>VLOOKUP($F28,'Visu totale'!$D$3:$DT$129,AR$1,0)</f>
        <v>0</v>
      </c>
      <c r="AS28" s="13">
        <f>VLOOKUP($F28,'Visu totale'!$D$3:$DT$129,AS$1,0)</f>
        <v>0</v>
      </c>
      <c r="AT28" s="13">
        <f>VLOOKUP($F28,'Visu totale'!$D$3:$DT$129,AT$1,0)</f>
        <v>0</v>
      </c>
      <c r="AU28" s="13">
        <f>VLOOKUP($F28,'Visu totale'!$D$3:$DT$129,AU$1,0)</f>
        <v>0</v>
      </c>
      <c r="AV28" s="13">
        <f>VLOOKUP($F28,'Visu totale'!$D$3:$DT$129,AV$1,0)</f>
        <v>0</v>
      </c>
      <c r="AW28" s="13">
        <f>VLOOKUP($F28,'Visu totale'!$D$3:$DT$129,AW$1,0)</f>
        <v>0</v>
      </c>
      <c r="AX28" s="13">
        <f>VLOOKUP($F28,'Visu totale'!$D$3:$DT$129,AX$1,0)</f>
        <v>0</v>
      </c>
      <c r="AY28" s="13">
        <f>VLOOKUP($F28,'Visu totale'!$D$3:$DT$129,AY$1,0)</f>
        <v>0</v>
      </c>
      <c r="AZ28" s="13">
        <f>VLOOKUP($F28,'Visu totale'!$D$3:$DT$129,AZ$1,0)</f>
        <v>0</v>
      </c>
      <c r="BA28" s="13">
        <f>VLOOKUP($F28,'Visu totale'!$D$3:$DT$129,BA$1,0)</f>
        <v>0</v>
      </c>
      <c r="BB28" s="15">
        <f>VLOOKUP($F28,'Visu totale'!$D$3:$DT$129,BB$1,0)</f>
        <v>0</v>
      </c>
      <c r="BC28" s="14">
        <f>VLOOKUP($F28,'Visu totale'!$D$3:$DT$129,BC$1,0)</f>
        <v>0</v>
      </c>
      <c r="BD28" s="13">
        <f>VLOOKUP($F28,'Visu totale'!$D$3:$DT$129,BD$1,0)</f>
        <v>0</v>
      </c>
      <c r="BE28" s="13">
        <f>VLOOKUP($F28,'Visu totale'!$D$3:$DT$129,BE$1,0)</f>
        <v>0</v>
      </c>
      <c r="BF28" s="13">
        <f>VLOOKUP($F28,'Visu totale'!$D$3:$DT$129,BF$1,0)</f>
        <v>0</v>
      </c>
      <c r="BG28" s="13">
        <f>VLOOKUP($F28,'Visu totale'!$D$3:$DT$129,BG$1,0)</f>
        <v>0</v>
      </c>
      <c r="BH28" s="13">
        <f>VLOOKUP($F28,'Visu totale'!$D$3:$DT$129,BH$1,0)</f>
        <v>0</v>
      </c>
      <c r="BI28" s="13">
        <f>VLOOKUP($F28,'Visu totale'!$D$3:$DT$129,BI$1,0)</f>
        <v>0</v>
      </c>
      <c r="BJ28" s="13">
        <f>VLOOKUP($F28,'Visu totale'!$D$3:$DT$129,BJ$1,0)</f>
        <v>0</v>
      </c>
      <c r="BK28" s="13">
        <f>VLOOKUP($F28,'Visu totale'!$D$3:$DT$129,BK$1,0)</f>
        <v>0</v>
      </c>
      <c r="BL28" s="13">
        <f>VLOOKUP($F28,'Visu totale'!$D$3:$DT$129,BL$1,0)</f>
        <v>0</v>
      </c>
      <c r="BM28" s="13">
        <f>VLOOKUP($F28,'Visu totale'!$D$3:$DT$129,BM$1,0)</f>
        <v>0</v>
      </c>
      <c r="BN28" s="15">
        <f>VLOOKUP($F28,'Visu totale'!$D$3:$DT$129,BN$1,0)</f>
        <v>0</v>
      </c>
      <c r="BO28" s="14">
        <f>VLOOKUP($F28,'Visu totale'!$D$3:$DT$129,BO$1,0)</f>
        <v>0</v>
      </c>
      <c r="BP28" s="13">
        <f>VLOOKUP($F28,'Visu totale'!$D$3:$DT$129,BP$1,0)</f>
        <v>0</v>
      </c>
      <c r="BQ28" s="13">
        <f>VLOOKUP($F28,'Visu totale'!$D$3:$DT$129,BQ$1,0)</f>
        <v>0</v>
      </c>
      <c r="BR28" s="13">
        <f>VLOOKUP($F28,'Visu totale'!$D$3:$DT$129,BR$1,0)</f>
        <v>0</v>
      </c>
      <c r="BS28" s="13">
        <f>VLOOKUP($F28,'Visu totale'!$D$3:$DT$129,BS$1,0)</f>
        <v>0</v>
      </c>
      <c r="BT28" s="13">
        <f>VLOOKUP($F28,'Visu totale'!$D$3:$DT$129,BT$1,0)</f>
        <v>0</v>
      </c>
      <c r="BU28" s="13">
        <f>VLOOKUP($F28,'Visu totale'!$D$3:$DT$129,BU$1,0)</f>
        <v>0</v>
      </c>
      <c r="BV28" s="13">
        <f>VLOOKUP($F28,'Visu totale'!$D$3:$DT$129,BV$1,0)</f>
        <v>0</v>
      </c>
      <c r="BW28" s="13">
        <f>VLOOKUP($F28,'Visu totale'!$D$3:$DT$129,BW$1,0)</f>
        <v>0</v>
      </c>
      <c r="BX28" s="13">
        <f>VLOOKUP($F28,'Visu totale'!$D$3:$DT$129,BX$1,0)</f>
        <v>0</v>
      </c>
      <c r="BY28" s="13">
        <f>VLOOKUP($F28,'Visu totale'!$D$3:$DT$129,BY$1,0)</f>
        <v>0</v>
      </c>
      <c r="BZ28" s="15">
        <f>VLOOKUP($F28,'Visu totale'!$D$3:$DT$129,BZ$1,0)</f>
        <v>0</v>
      </c>
      <c r="CA28" s="14">
        <f>VLOOKUP($F28,'Visu totale'!$D$3:$DT$129,CA$1,0)</f>
        <v>0</v>
      </c>
      <c r="CB28" s="13">
        <f>VLOOKUP($F28,'Visu totale'!$D$3:$DT$129,CB$1,0)</f>
        <v>0</v>
      </c>
      <c r="CC28" s="13">
        <f>VLOOKUP($F28,'Visu totale'!$D$3:$DT$129,CC$1,0)</f>
        <v>0</v>
      </c>
      <c r="CD28" s="13">
        <f>VLOOKUP($F28,'Visu totale'!$D$3:$DT$129,CD$1,0)</f>
        <v>0</v>
      </c>
      <c r="CE28" s="13">
        <f>VLOOKUP($F28,'Visu totale'!$D$3:$DT$129,CE$1,0)</f>
        <v>0</v>
      </c>
      <c r="CF28" s="13">
        <f>VLOOKUP($F28,'Visu totale'!$D$3:$DT$129,CF$1,0)</f>
        <v>0</v>
      </c>
      <c r="CG28" s="13">
        <f>VLOOKUP($F28,'Visu totale'!$D$3:$DT$129,CG$1,0)</f>
        <v>0</v>
      </c>
      <c r="CH28" s="13">
        <f>VLOOKUP($F28,'Visu totale'!$D$3:$DT$129,CH$1,0)</f>
        <v>0</v>
      </c>
      <c r="CI28" s="13">
        <f>VLOOKUP($F28,'Visu totale'!$D$3:$DT$129,CI$1,0)</f>
        <v>0</v>
      </c>
      <c r="CJ28" s="13">
        <f>VLOOKUP($F28,'Visu totale'!$D$3:$DT$129,CJ$1,0)</f>
        <v>0</v>
      </c>
      <c r="CK28" s="13">
        <f>VLOOKUP($F28,'Visu totale'!$D$3:$DT$129,CK$1,0)</f>
        <v>0</v>
      </c>
      <c r="CL28" s="15">
        <f>VLOOKUP($F28,'Visu totale'!$D$3:$DT$129,CL$1,0)</f>
        <v>0</v>
      </c>
      <c r="CM28" s="14">
        <f>VLOOKUP($F28,'Visu totale'!$D$3:$DT$129,CM$1,0)</f>
        <v>0</v>
      </c>
      <c r="CN28" s="13">
        <f>VLOOKUP($F28,'Visu totale'!$D$3:$DT$129,CN$1,0)</f>
        <v>0</v>
      </c>
      <c r="CO28" s="13">
        <f>VLOOKUP($F28,'Visu totale'!$D$3:$DT$129,CO$1,0)</f>
        <v>0</v>
      </c>
      <c r="CP28" s="13">
        <f>VLOOKUP($F28,'Visu totale'!$D$3:$DT$129,CP$1,0)</f>
        <v>0</v>
      </c>
      <c r="CQ28" s="13">
        <f>VLOOKUP($F28,'Visu totale'!$D$3:$DT$129,CQ$1,0)</f>
        <v>0</v>
      </c>
      <c r="CR28" s="13">
        <f>VLOOKUP($F28,'Visu totale'!$D$3:$DT$129,CR$1,0)</f>
        <v>0</v>
      </c>
      <c r="CS28" s="13">
        <f>VLOOKUP($F28,'Visu totale'!$D$3:$DT$129,CS$1,0)</f>
        <v>0</v>
      </c>
      <c r="CT28" s="13">
        <f>VLOOKUP($F28,'Visu totale'!$D$3:$DT$129,CT$1,0)</f>
        <v>0</v>
      </c>
      <c r="CU28" s="13">
        <f>VLOOKUP($F28,'Visu totale'!$D$3:$DT$129,CU$1,0)</f>
        <v>0</v>
      </c>
      <c r="CV28" s="13">
        <f>VLOOKUP($F28,'Visu totale'!$D$3:$DT$129,CV$1,0)</f>
        <v>0</v>
      </c>
      <c r="CW28" s="13">
        <f>VLOOKUP($F28,'Visu totale'!$D$3:$DT$129,CW$1,0)</f>
        <v>0</v>
      </c>
      <c r="CX28" s="15">
        <f>VLOOKUP($F28,'Visu totale'!$D$3:$DT$129,CX$1,0)</f>
        <v>0</v>
      </c>
      <c r="CY28" s="14">
        <f>VLOOKUP($F28,'Visu totale'!$D$3:$DT$129,CY$1,0)</f>
        <v>0</v>
      </c>
      <c r="CZ28" s="13">
        <f>VLOOKUP($F28,'Visu totale'!$D$3:$DT$129,CZ$1,0)</f>
        <v>0</v>
      </c>
      <c r="DA28" s="13">
        <f>VLOOKUP($F28,'Visu totale'!$D$3:$DT$129,DA$1,0)</f>
        <v>0</v>
      </c>
      <c r="DB28" s="13">
        <f>VLOOKUP($F28,'Visu totale'!$D$3:$DT$129,DB$1,0)</f>
        <v>0</v>
      </c>
      <c r="DC28" s="13">
        <f>VLOOKUP($F28,'Visu totale'!$D$3:$DT$129,DC$1,0)</f>
        <v>0</v>
      </c>
      <c r="DD28" s="13">
        <f>VLOOKUP($F28,'Visu totale'!$D$3:$DT$129,DD$1,0)</f>
        <v>0</v>
      </c>
      <c r="DE28" s="13">
        <f>VLOOKUP($F28,'Visu totale'!$D$3:$DT$129,DE$1,0)</f>
        <v>0</v>
      </c>
      <c r="DF28" s="13">
        <f>VLOOKUP($F28,'Visu totale'!$D$3:$DT$129,DF$1,0)</f>
        <v>0</v>
      </c>
      <c r="DG28" s="13">
        <f>VLOOKUP($F28,'Visu totale'!$D$3:$DT$129,DG$1,0)</f>
        <v>0</v>
      </c>
      <c r="DH28" s="13">
        <f>VLOOKUP($F28,'Visu totale'!$D$3:$DT$129,DH$1,0)</f>
        <v>0</v>
      </c>
      <c r="DI28" s="13">
        <f>VLOOKUP($F28,'Visu totale'!$D$3:$DT$129,DI$1,0)</f>
        <v>0</v>
      </c>
      <c r="DJ28" s="15">
        <f>VLOOKUP($F28,'Visu totale'!$D$3:$DT$129,DJ$1,0)</f>
        <v>0</v>
      </c>
      <c r="DK28" s="14">
        <f>VLOOKUP($F28,'Visu totale'!$D$3:$DT$129,DK$1,0)</f>
        <v>0</v>
      </c>
      <c r="DL28" s="13">
        <f>VLOOKUP($F28,'Visu totale'!$D$3:$DT$129,DL$1,0)</f>
        <v>0</v>
      </c>
      <c r="DM28" s="13">
        <f>VLOOKUP($F28,'Visu totale'!$D$3:$DT$129,DM$1,0)</f>
        <v>0</v>
      </c>
      <c r="DN28" s="13">
        <f>VLOOKUP($F28,'Visu totale'!$D$3:$DT$129,DN$1,0)</f>
        <v>0</v>
      </c>
      <c r="DO28" s="13">
        <f>VLOOKUP($F28,'Visu totale'!$D$3:$DT$129,DO$1,0)</f>
        <v>0</v>
      </c>
      <c r="DP28" s="13">
        <f>VLOOKUP($F28,'Visu totale'!$D$3:$DT$129,DP$1,0)</f>
        <v>0</v>
      </c>
      <c r="DQ28" s="13">
        <f>VLOOKUP($F28,'Visu totale'!$D$3:$DT$129,DQ$1,0)</f>
        <v>0</v>
      </c>
      <c r="DR28" s="13">
        <f>VLOOKUP($F28,'Visu totale'!$D$3:$DT$129,DR$1,0)</f>
        <v>0</v>
      </c>
      <c r="DS28" s="13">
        <f>VLOOKUP($F28,'Visu totale'!$D$3:$DT$129,DS$1,0)</f>
        <v>0</v>
      </c>
      <c r="DT28" s="13">
        <f>VLOOKUP($F28,'Visu totale'!$D$3:$DT$129,DT$1,0)</f>
        <v>0</v>
      </c>
      <c r="DU28" s="13">
        <f>VLOOKUP($F28,'Visu totale'!$D$3:$DT$129,DU$1,0)</f>
        <v>0</v>
      </c>
      <c r="DV28" s="15">
        <f>VLOOKUP($F28,'Visu totale'!$D$3:$DT$129,DV$1,0)</f>
        <v>0</v>
      </c>
    </row>
    <row r="29" spans="1:126" s="12" customFormat="1" x14ac:dyDescent="0.25">
      <c r="A29" s="13"/>
      <c r="B29" s="13"/>
      <c r="C29" s="13"/>
      <c r="D29" s="13"/>
      <c r="E29" s="13"/>
      <c r="F29" s="17" t="s">
        <v>129</v>
      </c>
      <c r="G29" s="14">
        <f>VLOOKUP($F29,'Visu totale'!$D$3:$DT$129,G$1,0)</f>
        <v>0</v>
      </c>
      <c r="H29" s="13">
        <f>VLOOKUP($F29,'Visu totale'!$D$3:$DT$129,H$1,0)</f>
        <v>0</v>
      </c>
      <c r="I29" s="13">
        <f>VLOOKUP($F29,'Visu totale'!$D$3:$DT$129,I$1,0)</f>
        <v>0</v>
      </c>
      <c r="J29" s="13">
        <f>VLOOKUP($F29,'Visu totale'!$D$3:$DT$129,J$1,0)</f>
        <v>0</v>
      </c>
      <c r="K29" s="13">
        <f>VLOOKUP($F29,'Visu totale'!$D$3:$DT$129,K$1,0)</f>
        <v>0</v>
      </c>
      <c r="L29" s="13">
        <f>VLOOKUP($F29,'Visu totale'!$D$3:$DT$129,L$1,0)</f>
        <v>0</v>
      </c>
      <c r="M29" s="13">
        <f>VLOOKUP($F29,'Visu totale'!$D$3:$DT$129,M$1,0)</f>
        <v>0</v>
      </c>
      <c r="N29" s="13">
        <f>VLOOKUP($F29,'Visu totale'!$D$3:$DT$129,N$1,0)</f>
        <v>0</v>
      </c>
      <c r="O29" s="13">
        <f>VLOOKUP($F29,'Visu totale'!$D$3:$DT$129,O$1,0)</f>
        <v>0</v>
      </c>
      <c r="P29" s="13">
        <f>VLOOKUP($F29,'Visu totale'!$D$3:$DT$129,P$1,0)</f>
        <v>0</v>
      </c>
      <c r="Q29" s="13">
        <f>VLOOKUP($F29,'Visu totale'!$D$3:$DT$129,Q$1,0)</f>
        <v>0</v>
      </c>
      <c r="R29" s="15">
        <f>VLOOKUP($F29,'Visu totale'!$D$3:$DT$129,R$1,0)</f>
        <v>0</v>
      </c>
      <c r="S29" s="14">
        <f>VLOOKUP($F29,'Visu totale'!$D$3:$DT$129,S$1,0)</f>
        <v>0</v>
      </c>
      <c r="T29" s="13">
        <f>VLOOKUP($F29,'Visu totale'!$D$3:$DT$129,T$1,0)</f>
        <v>0</v>
      </c>
      <c r="U29" s="13">
        <f>VLOOKUP($F29,'Visu totale'!$D$3:$DT$129,U$1,0)</f>
        <v>0</v>
      </c>
      <c r="V29" s="13">
        <f>VLOOKUP($F29,'Visu totale'!$D$3:$DT$129,V$1,0)</f>
        <v>0</v>
      </c>
      <c r="W29" s="13">
        <f>VLOOKUP($F29,'Visu totale'!$D$3:$DT$129,W$1,0)</f>
        <v>0</v>
      </c>
      <c r="X29" s="13">
        <f>VLOOKUP($F29,'Visu totale'!$D$3:$DT$129,X$1,0)</f>
        <v>0</v>
      </c>
      <c r="Y29" s="13">
        <f>VLOOKUP($F29,'Visu totale'!$D$3:$DT$129,Y$1,0)</f>
        <v>0</v>
      </c>
      <c r="Z29" s="13">
        <f>VLOOKUP($F29,'Visu totale'!$D$3:$DT$129,Z$1,0)</f>
        <v>0</v>
      </c>
      <c r="AA29" s="13">
        <f>VLOOKUP($F29,'Visu totale'!$D$3:$DT$129,AA$1,0)</f>
        <v>0</v>
      </c>
      <c r="AB29" s="13">
        <f>VLOOKUP($F29,'Visu totale'!$D$3:$DT$129,AB$1,0)</f>
        <v>0</v>
      </c>
      <c r="AC29" s="13">
        <f>VLOOKUP($F29,'Visu totale'!$D$3:$DT$129,AC$1,0)</f>
        <v>0</v>
      </c>
      <c r="AD29" s="15">
        <f>VLOOKUP($F29,'Visu totale'!$D$3:$DT$129,AD$1,0)</f>
        <v>0</v>
      </c>
      <c r="AE29" s="14">
        <f>VLOOKUP($F29,'Visu totale'!$D$3:$DT$129,AE$1,0)</f>
        <v>0</v>
      </c>
      <c r="AF29" s="13">
        <f>VLOOKUP($F29,'Visu totale'!$D$3:$DT$129,AF$1,0)</f>
        <v>0</v>
      </c>
      <c r="AG29" s="13">
        <f>VLOOKUP($F29,'Visu totale'!$D$3:$DT$129,AG$1,0)</f>
        <v>0</v>
      </c>
      <c r="AH29" s="13">
        <f>VLOOKUP($F29,'Visu totale'!$D$3:$DT$129,AH$1,0)</f>
        <v>0</v>
      </c>
      <c r="AI29" s="13">
        <f>VLOOKUP($F29,'Visu totale'!$D$3:$DT$129,AI$1,0)</f>
        <v>0</v>
      </c>
      <c r="AJ29" s="13">
        <f>VLOOKUP($F29,'Visu totale'!$D$3:$DT$129,AJ$1,0)</f>
        <v>0</v>
      </c>
      <c r="AK29" s="13">
        <f>VLOOKUP($F29,'Visu totale'!$D$3:$DT$129,AK$1,0)</f>
        <v>0</v>
      </c>
      <c r="AL29" s="13">
        <f>VLOOKUP($F29,'Visu totale'!$D$3:$DT$129,AL$1,0)</f>
        <v>0</v>
      </c>
      <c r="AM29" s="13">
        <f>VLOOKUP($F29,'Visu totale'!$D$3:$DT$129,AM$1,0)</f>
        <v>0</v>
      </c>
      <c r="AN29" s="13">
        <f>VLOOKUP($F29,'Visu totale'!$D$3:$DT$129,AN$1,0)</f>
        <v>0</v>
      </c>
      <c r="AO29" s="13">
        <f>VLOOKUP($F29,'Visu totale'!$D$3:$DT$129,AO$1,0)</f>
        <v>0</v>
      </c>
      <c r="AP29" s="15">
        <f>VLOOKUP($F29,'Visu totale'!$D$3:$DT$129,AP$1,0)</f>
        <v>0</v>
      </c>
      <c r="AQ29" s="14">
        <f>VLOOKUP($F29,'Visu totale'!$D$3:$DT$129,AQ$1,0)</f>
        <v>0</v>
      </c>
      <c r="AR29" s="13">
        <f>VLOOKUP($F29,'Visu totale'!$D$3:$DT$129,AR$1,0)</f>
        <v>0</v>
      </c>
      <c r="AS29" s="13">
        <f>VLOOKUP($F29,'Visu totale'!$D$3:$DT$129,AS$1,0)</f>
        <v>0</v>
      </c>
      <c r="AT29" s="13">
        <f>VLOOKUP($F29,'Visu totale'!$D$3:$DT$129,AT$1,0)</f>
        <v>0</v>
      </c>
      <c r="AU29" s="13">
        <f>VLOOKUP($F29,'Visu totale'!$D$3:$DT$129,AU$1,0)</f>
        <v>0</v>
      </c>
      <c r="AV29" s="13">
        <f>VLOOKUP($F29,'Visu totale'!$D$3:$DT$129,AV$1,0)</f>
        <v>0</v>
      </c>
      <c r="AW29" s="13">
        <f>VLOOKUP($F29,'Visu totale'!$D$3:$DT$129,AW$1,0)</f>
        <v>0</v>
      </c>
      <c r="AX29" s="13">
        <f>VLOOKUP($F29,'Visu totale'!$D$3:$DT$129,AX$1,0)</f>
        <v>0</v>
      </c>
      <c r="AY29" s="13">
        <f>VLOOKUP($F29,'Visu totale'!$D$3:$DT$129,AY$1,0)</f>
        <v>0</v>
      </c>
      <c r="AZ29" s="13">
        <f>VLOOKUP($F29,'Visu totale'!$D$3:$DT$129,AZ$1,0)</f>
        <v>0</v>
      </c>
      <c r="BA29" s="13">
        <f>VLOOKUP($F29,'Visu totale'!$D$3:$DT$129,BA$1,0)</f>
        <v>0</v>
      </c>
      <c r="BB29" s="15">
        <f>VLOOKUP($F29,'Visu totale'!$D$3:$DT$129,BB$1,0)</f>
        <v>0</v>
      </c>
      <c r="BC29" s="14">
        <f>VLOOKUP($F29,'Visu totale'!$D$3:$DT$129,BC$1,0)</f>
        <v>0</v>
      </c>
      <c r="BD29" s="13">
        <f>VLOOKUP($F29,'Visu totale'!$D$3:$DT$129,BD$1,0)</f>
        <v>0</v>
      </c>
      <c r="BE29" s="13">
        <f>VLOOKUP($F29,'Visu totale'!$D$3:$DT$129,BE$1,0)</f>
        <v>0</v>
      </c>
      <c r="BF29" s="13">
        <f>VLOOKUP($F29,'Visu totale'!$D$3:$DT$129,BF$1,0)</f>
        <v>0</v>
      </c>
      <c r="BG29" s="13">
        <f>VLOOKUP($F29,'Visu totale'!$D$3:$DT$129,BG$1,0)</f>
        <v>0</v>
      </c>
      <c r="BH29" s="13">
        <f>VLOOKUP($F29,'Visu totale'!$D$3:$DT$129,BH$1,0)</f>
        <v>0</v>
      </c>
      <c r="BI29" s="13">
        <f>VLOOKUP($F29,'Visu totale'!$D$3:$DT$129,BI$1,0)</f>
        <v>0</v>
      </c>
      <c r="BJ29" s="13">
        <f>VLOOKUP($F29,'Visu totale'!$D$3:$DT$129,BJ$1,0)</f>
        <v>0</v>
      </c>
      <c r="BK29" s="13">
        <f>VLOOKUP($F29,'Visu totale'!$D$3:$DT$129,BK$1,0)</f>
        <v>0</v>
      </c>
      <c r="BL29" s="13">
        <f>VLOOKUP($F29,'Visu totale'!$D$3:$DT$129,BL$1,0)</f>
        <v>0</v>
      </c>
      <c r="BM29" s="13">
        <f>VLOOKUP($F29,'Visu totale'!$D$3:$DT$129,BM$1,0)</f>
        <v>0</v>
      </c>
      <c r="BN29" s="15">
        <f>VLOOKUP($F29,'Visu totale'!$D$3:$DT$129,BN$1,0)</f>
        <v>0</v>
      </c>
      <c r="BO29" s="14">
        <f>VLOOKUP($F29,'Visu totale'!$D$3:$DT$129,BO$1,0)</f>
        <v>0</v>
      </c>
      <c r="BP29" s="13">
        <f>VLOOKUP($F29,'Visu totale'!$D$3:$DT$129,BP$1,0)</f>
        <v>0</v>
      </c>
      <c r="BQ29" s="13">
        <f>VLOOKUP($F29,'Visu totale'!$D$3:$DT$129,BQ$1,0)</f>
        <v>0</v>
      </c>
      <c r="BR29" s="13">
        <f>VLOOKUP($F29,'Visu totale'!$D$3:$DT$129,BR$1,0)</f>
        <v>0</v>
      </c>
      <c r="BS29" s="13">
        <f>VLOOKUP($F29,'Visu totale'!$D$3:$DT$129,BS$1,0)</f>
        <v>0</v>
      </c>
      <c r="BT29" s="13">
        <f>VLOOKUP($F29,'Visu totale'!$D$3:$DT$129,BT$1,0)</f>
        <v>0</v>
      </c>
      <c r="BU29" s="13">
        <f>VLOOKUP($F29,'Visu totale'!$D$3:$DT$129,BU$1,0)</f>
        <v>0</v>
      </c>
      <c r="BV29" s="13">
        <f>VLOOKUP($F29,'Visu totale'!$D$3:$DT$129,BV$1,0)</f>
        <v>0</v>
      </c>
      <c r="BW29" s="13">
        <f>VLOOKUP($F29,'Visu totale'!$D$3:$DT$129,BW$1,0)</f>
        <v>0</v>
      </c>
      <c r="BX29" s="13">
        <f>VLOOKUP($F29,'Visu totale'!$D$3:$DT$129,BX$1,0)</f>
        <v>0</v>
      </c>
      <c r="BY29" s="13">
        <f>VLOOKUP($F29,'Visu totale'!$D$3:$DT$129,BY$1,0)</f>
        <v>0</v>
      </c>
      <c r="BZ29" s="15">
        <f>VLOOKUP($F29,'Visu totale'!$D$3:$DT$129,BZ$1,0)</f>
        <v>0</v>
      </c>
      <c r="CA29" s="14">
        <f>VLOOKUP($F29,'Visu totale'!$D$3:$DT$129,CA$1,0)</f>
        <v>0</v>
      </c>
      <c r="CB29" s="13">
        <f>VLOOKUP($F29,'Visu totale'!$D$3:$DT$129,CB$1,0)</f>
        <v>0</v>
      </c>
      <c r="CC29" s="13">
        <f>VLOOKUP($F29,'Visu totale'!$D$3:$DT$129,CC$1,0)</f>
        <v>0</v>
      </c>
      <c r="CD29" s="13">
        <f>VLOOKUP($F29,'Visu totale'!$D$3:$DT$129,CD$1,0)</f>
        <v>0</v>
      </c>
      <c r="CE29" s="13">
        <f>VLOOKUP($F29,'Visu totale'!$D$3:$DT$129,CE$1,0)</f>
        <v>0</v>
      </c>
      <c r="CF29" s="13">
        <f>VLOOKUP($F29,'Visu totale'!$D$3:$DT$129,CF$1,0)</f>
        <v>0</v>
      </c>
      <c r="CG29" s="13">
        <f>VLOOKUP($F29,'Visu totale'!$D$3:$DT$129,CG$1,0)</f>
        <v>0</v>
      </c>
      <c r="CH29" s="13">
        <f>VLOOKUP($F29,'Visu totale'!$D$3:$DT$129,CH$1,0)</f>
        <v>0</v>
      </c>
      <c r="CI29" s="13">
        <f>VLOOKUP($F29,'Visu totale'!$D$3:$DT$129,CI$1,0)</f>
        <v>0</v>
      </c>
      <c r="CJ29" s="13">
        <f>VLOOKUP($F29,'Visu totale'!$D$3:$DT$129,CJ$1,0)</f>
        <v>0</v>
      </c>
      <c r="CK29" s="13">
        <f>VLOOKUP($F29,'Visu totale'!$D$3:$DT$129,CK$1,0)</f>
        <v>0</v>
      </c>
      <c r="CL29" s="15">
        <f>VLOOKUP($F29,'Visu totale'!$D$3:$DT$129,CL$1,0)</f>
        <v>0</v>
      </c>
      <c r="CM29" s="14">
        <f>VLOOKUP($F29,'Visu totale'!$D$3:$DT$129,CM$1,0)</f>
        <v>0</v>
      </c>
      <c r="CN29" s="13">
        <f>VLOOKUP($F29,'Visu totale'!$D$3:$DT$129,CN$1,0)</f>
        <v>0</v>
      </c>
      <c r="CO29" s="13">
        <f>VLOOKUP($F29,'Visu totale'!$D$3:$DT$129,CO$1,0)</f>
        <v>0</v>
      </c>
      <c r="CP29" s="13">
        <f>VLOOKUP($F29,'Visu totale'!$D$3:$DT$129,CP$1,0)</f>
        <v>0</v>
      </c>
      <c r="CQ29" s="13">
        <f>VLOOKUP($F29,'Visu totale'!$D$3:$DT$129,CQ$1,0)</f>
        <v>0</v>
      </c>
      <c r="CR29" s="13">
        <f>VLOOKUP($F29,'Visu totale'!$D$3:$DT$129,CR$1,0)</f>
        <v>0</v>
      </c>
      <c r="CS29" s="13">
        <f>VLOOKUP($F29,'Visu totale'!$D$3:$DT$129,CS$1,0)</f>
        <v>0</v>
      </c>
      <c r="CT29" s="13">
        <f>VLOOKUP($F29,'Visu totale'!$D$3:$DT$129,CT$1,0)</f>
        <v>0</v>
      </c>
      <c r="CU29" s="13">
        <f>VLOOKUP($F29,'Visu totale'!$D$3:$DT$129,CU$1,0)</f>
        <v>0</v>
      </c>
      <c r="CV29" s="13">
        <f>VLOOKUP($F29,'Visu totale'!$D$3:$DT$129,CV$1,0)</f>
        <v>0</v>
      </c>
      <c r="CW29" s="13">
        <f>VLOOKUP($F29,'Visu totale'!$D$3:$DT$129,CW$1,0)</f>
        <v>0</v>
      </c>
      <c r="CX29" s="15">
        <f>VLOOKUP($F29,'Visu totale'!$D$3:$DT$129,CX$1,0)</f>
        <v>0</v>
      </c>
      <c r="CY29" s="14">
        <f>VLOOKUP($F29,'Visu totale'!$D$3:$DT$129,CY$1,0)</f>
        <v>0</v>
      </c>
      <c r="CZ29" s="13">
        <f>VLOOKUP($F29,'Visu totale'!$D$3:$DT$129,CZ$1,0)</f>
        <v>0</v>
      </c>
      <c r="DA29" s="13">
        <f>VLOOKUP($F29,'Visu totale'!$D$3:$DT$129,DA$1,0)</f>
        <v>0</v>
      </c>
      <c r="DB29" s="13">
        <f>VLOOKUP($F29,'Visu totale'!$D$3:$DT$129,DB$1,0)</f>
        <v>0</v>
      </c>
      <c r="DC29" s="13">
        <f>VLOOKUP($F29,'Visu totale'!$D$3:$DT$129,DC$1,0)</f>
        <v>0</v>
      </c>
      <c r="DD29" s="13">
        <f>VLOOKUP($F29,'Visu totale'!$D$3:$DT$129,DD$1,0)</f>
        <v>0</v>
      </c>
      <c r="DE29" s="13">
        <f>VLOOKUP($F29,'Visu totale'!$D$3:$DT$129,DE$1,0)</f>
        <v>0</v>
      </c>
      <c r="DF29" s="13">
        <f>VLOOKUP($F29,'Visu totale'!$D$3:$DT$129,DF$1,0)</f>
        <v>0</v>
      </c>
      <c r="DG29" s="13">
        <f>VLOOKUP($F29,'Visu totale'!$D$3:$DT$129,DG$1,0)</f>
        <v>0</v>
      </c>
      <c r="DH29" s="13">
        <f>VLOOKUP($F29,'Visu totale'!$D$3:$DT$129,DH$1,0)</f>
        <v>0</v>
      </c>
      <c r="DI29" s="13">
        <f>VLOOKUP($F29,'Visu totale'!$D$3:$DT$129,DI$1,0)</f>
        <v>0</v>
      </c>
      <c r="DJ29" s="15">
        <f>VLOOKUP($F29,'Visu totale'!$D$3:$DT$129,DJ$1,0)</f>
        <v>0</v>
      </c>
      <c r="DK29" s="14">
        <f>VLOOKUP($F29,'Visu totale'!$D$3:$DT$129,DK$1,0)</f>
        <v>0</v>
      </c>
      <c r="DL29" s="13">
        <f>VLOOKUP($F29,'Visu totale'!$D$3:$DT$129,DL$1,0)</f>
        <v>0</v>
      </c>
      <c r="DM29" s="13">
        <f>VLOOKUP($F29,'Visu totale'!$D$3:$DT$129,DM$1,0)</f>
        <v>0</v>
      </c>
      <c r="DN29" s="13">
        <f>VLOOKUP($F29,'Visu totale'!$D$3:$DT$129,DN$1,0)</f>
        <v>0</v>
      </c>
      <c r="DO29" s="13">
        <f>VLOOKUP($F29,'Visu totale'!$D$3:$DT$129,DO$1,0)</f>
        <v>0</v>
      </c>
      <c r="DP29" s="13">
        <f>VLOOKUP($F29,'Visu totale'!$D$3:$DT$129,DP$1,0)</f>
        <v>0</v>
      </c>
      <c r="DQ29" s="13">
        <f>VLOOKUP($F29,'Visu totale'!$D$3:$DT$129,DQ$1,0)</f>
        <v>0</v>
      </c>
      <c r="DR29" s="13">
        <f>VLOOKUP($F29,'Visu totale'!$D$3:$DT$129,DR$1,0)</f>
        <v>0</v>
      </c>
      <c r="DS29" s="13">
        <f>VLOOKUP($F29,'Visu totale'!$D$3:$DT$129,DS$1,0)</f>
        <v>0</v>
      </c>
      <c r="DT29" s="13">
        <f>VLOOKUP($F29,'Visu totale'!$D$3:$DT$129,DT$1,0)</f>
        <v>0</v>
      </c>
      <c r="DU29" s="13">
        <f>VLOOKUP($F29,'Visu totale'!$D$3:$DT$129,DU$1,0)</f>
        <v>0</v>
      </c>
      <c r="DV29" s="15">
        <f>VLOOKUP($F29,'Visu totale'!$D$3:$DT$129,DV$1,0)</f>
        <v>0</v>
      </c>
    </row>
    <row r="30" spans="1:126" s="12" customFormat="1" x14ac:dyDescent="0.25">
      <c r="A30" s="13"/>
      <c r="B30" s="13"/>
      <c r="C30" s="13"/>
      <c r="D30" s="13"/>
      <c r="E30" s="13"/>
      <c r="F30" s="17" t="s">
        <v>130</v>
      </c>
      <c r="G30" s="14">
        <f>VLOOKUP($F30,'Visu totale'!$D$3:$DT$129,G$1,0)</f>
        <v>0</v>
      </c>
      <c r="H30" s="13">
        <f>VLOOKUP($F30,'Visu totale'!$D$3:$DT$129,H$1,0)</f>
        <v>0</v>
      </c>
      <c r="I30" s="13">
        <f>VLOOKUP($F30,'Visu totale'!$D$3:$DT$129,I$1,0)</f>
        <v>0</v>
      </c>
      <c r="J30" s="13">
        <f>VLOOKUP($F30,'Visu totale'!$D$3:$DT$129,J$1,0)</f>
        <v>0</v>
      </c>
      <c r="K30" s="13">
        <f>VLOOKUP($F30,'Visu totale'!$D$3:$DT$129,K$1,0)</f>
        <v>0</v>
      </c>
      <c r="L30" s="13">
        <f>VLOOKUP($F30,'Visu totale'!$D$3:$DT$129,L$1,0)</f>
        <v>0</v>
      </c>
      <c r="M30" s="13">
        <f>VLOOKUP($F30,'Visu totale'!$D$3:$DT$129,M$1,0)</f>
        <v>0</v>
      </c>
      <c r="N30" s="13">
        <f>VLOOKUP($F30,'Visu totale'!$D$3:$DT$129,N$1,0)</f>
        <v>0</v>
      </c>
      <c r="O30" s="13">
        <f>VLOOKUP($F30,'Visu totale'!$D$3:$DT$129,O$1,0)</f>
        <v>0</v>
      </c>
      <c r="P30" s="13">
        <f>VLOOKUP($F30,'Visu totale'!$D$3:$DT$129,P$1,0)</f>
        <v>0</v>
      </c>
      <c r="Q30" s="13">
        <f>VLOOKUP($F30,'Visu totale'!$D$3:$DT$129,Q$1,0)</f>
        <v>0</v>
      </c>
      <c r="R30" s="15">
        <f>VLOOKUP($F30,'Visu totale'!$D$3:$DT$129,R$1,0)</f>
        <v>0</v>
      </c>
      <c r="S30" s="14">
        <f>VLOOKUP($F30,'Visu totale'!$D$3:$DT$129,S$1,0)</f>
        <v>0</v>
      </c>
      <c r="T30" s="13">
        <f>VLOOKUP($F30,'Visu totale'!$D$3:$DT$129,T$1,0)</f>
        <v>0</v>
      </c>
      <c r="U30" s="13">
        <f>VLOOKUP($F30,'Visu totale'!$D$3:$DT$129,U$1,0)</f>
        <v>0</v>
      </c>
      <c r="V30" s="13">
        <f>VLOOKUP($F30,'Visu totale'!$D$3:$DT$129,V$1,0)</f>
        <v>0</v>
      </c>
      <c r="W30" s="13">
        <f>VLOOKUP($F30,'Visu totale'!$D$3:$DT$129,W$1,0)</f>
        <v>0</v>
      </c>
      <c r="X30" s="13">
        <f>VLOOKUP($F30,'Visu totale'!$D$3:$DT$129,X$1,0)</f>
        <v>0</v>
      </c>
      <c r="Y30" s="13">
        <f>VLOOKUP($F30,'Visu totale'!$D$3:$DT$129,Y$1,0)</f>
        <v>0</v>
      </c>
      <c r="Z30" s="13">
        <f>VLOOKUP($F30,'Visu totale'!$D$3:$DT$129,Z$1,0)</f>
        <v>0</v>
      </c>
      <c r="AA30" s="13">
        <f>VLOOKUP($F30,'Visu totale'!$D$3:$DT$129,AA$1,0)</f>
        <v>0</v>
      </c>
      <c r="AB30" s="13">
        <f>VLOOKUP($F30,'Visu totale'!$D$3:$DT$129,AB$1,0)</f>
        <v>0</v>
      </c>
      <c r="AC30" s="13">
        <f>VLOOKUP($F30,'Visu totale'!$D$3:$DT$129,AC$1,0)</f>
        <v>0</v>
      </c>
      <c r="AD30" s="15">
        <f>VLOOKUP($F30,'Visu totale'!$D$3:$DT$129,AD$1,0)</f>
        <v>0</v>
      </c>
      <c r="AE30" s="14">
        <f>VLOOKUP($F30,'Visu totale'!$D$3:$DT$129,AE$1,0)</f>
        <v>0</v>
      </c>
      <c r="AF30" s="13">
        <f>VLOOKUP($F30,'Visu totale'!$D$3:$DT$129,AF$1,0)</f>
        <v>0</v>
      </c>
      <c r="AG30" s="13">
        <f>VLOOKUP($F30,'Visu totale'!$D$3:$DT$129,AG$1,0)</f>
        <v>0</v>
      </c>
      <c r="AH30" s="13">
        <f>VLOOKUP($F30,'Visu totale'!$D$3:$DT$129,AH$1,0)</f>
        <v>0</v>
      </c>
      <c r="AI30" s="13">
        <f>VLOOKUP($F30,'Visu totale'!$D$3:$DT$129,AI$1,0)</f>
        <v>0</v>
      </c>
      <c r="AJ30" s="13">
        <f>VLOOKUP($F30,'Visu totale'!$D$3:$DT$129,AJ$1,0)</f>
        <v>0</v>
      </c>
      <c r="AK30" s="13">
        <f>VLOOKUP($F30,'Visu totale'!$D$3:$DT$129,AK$1,0)</f>
        <v>0</v>
      </c>
      <c r="AL30" s="13">
        <f>VLOOKUP($F30,'Visu totale'!$D$3:$DT$129,AL$1,0)</f>
        <v>0</v>
      </c>
      <c r="AM30" s="13">
        <f>VLOOKUP($F30,'Visu totale'!$D$3:$DT$129,AM$1,0)</f>
        <v>0</v>
      </c>
      <c r="AN30" s="13">
        <f>VLOOKUP($F30,'Visu totale'!$D$3:$DT$129,AN$1,0)</f>
        <v>0</v>
      </c>
      <c r="AO30" s="13">
        <f>VLOOKUP($F30,'Visu totale'!$D$3:$DT$129,AO$1,0)</f>
        <v>0</v>
      </c>
      <c r="AP30" s="15">
        <f>VLOOKUP($F30,'Visu totale'!$D$3:$DT$129,AP$1,0)</f>
        <v>0</v>
      </c>
      <c r="AQ30" s="14">
        <f>VLOOKUP($F30,'Visu totale'!$D$3:$DT$129,AQ$1,0)</f>
        <v>0</v>
      </c>
      <c r="AR30" s="13">
        <f>VLOOKUP($F30,'Visu totale'!$D$3:$DT$129,AR$1,0)</f>
        <v>0</v>
      </c>
      <c r="AS30" s="13">
        <f>VLOOKUP($F30,'Visu totale'!$D$3:$DT$129,AS$1,0)</f>
        <v>0</v>
      </c>
      <c r="AT30" s="13">
        <f>VLOOKUP($F30,'Visu totale'!$D$3:$DT$129,AT$1,0)</f>
        <v>0</v>
      </c>
      <c r="AU30" s="13">
        <f>VLOOKUP($F30,'Visu totale'!$D$3:$DT$129,AU$1,0)</f>
        <v>0</v>
      </c>
      <c r="AV30" s="13">
        <f>VLOOKUP($F30,'Visu totale'!$D$3:$DT$129,AV$1,0)</f>
        <v>0</v>
      </c>
      <c r="AW30" s="13">
        <f>VLOOKUP($F30,'Visu totale'!$D$3:$DT$129,AW$1,0)</f>
        <v>0</v>
      </c>
      <c r="AX30" s="13">
        <f>VLOOKUP($F30,'Visu totale'!$D$3:$DT$129,AX$1,0)</f>
        <v>0</v>
      </c>
      <c r="AY30" s="13">
        <f>VLOOKUP($F30,'Visu totale'!$D$3:$DT$129,AY$1,0)</f>
        <v>0</v>
      </c>
      <c r="AZ30" s="13">
        <f>VLOOKUP($F30,'Visu totale'!$D$3:$DT$129,AZ$1,0)</f>
        <v>0</v>
      </c>
      <c r="BA30" s="13">
        <f>VLOOKUP($F30,'Visu totale'!$D$3:$DT$129,BA$1,0)</f>
        <v>0</v>
      </c>
      <c r="BB30" s="15">
        <f>VLOOKUP($F30,'Visu totale'!$D$3:$DT$129,BB$1,0)</f>
        <v>0</v>
      </c>
      <c r="BC30" s="14">
        <f>VLOOKUP($F30,'Visu totale'!$D$3:$DT$129,BC$1,0)</f>
        <v>0</v>
      </c>
      <c r="BD30" s="13">
        <f>VLOOKUP($F30,'Visu totale'!$D$3:$DT$129,BD$1,0)</f>
        <v>0</v>
      </c>
      <c r="BE30" s="13">
        <f>VLOOKUP($F30,'Visu totale'!$D$3:$DT$129,BE$1,0)</f>
        <v>0</v>
      </c>
      <c r="BF30" s="13">
        <f>VLOOKUP($F30,'Visu totale'!$D$3:$DT$129,BF$1,0)</f>
        <v>0</v>
      </c>
      <c r="BG30" s="13">
        <f>VLOOKUP($F30,'Visu totale'!$D$3:$DT$129,BG$1,0)</f>
        <v>0</v>
      </c>
      <c r="BH30" s="13">
        <f>VLOOKUP($F30,'Visu totale'!$D$3:$DT$129,BH$1,0)</f>
        <v>0</v>
      </c>
      <c r="BI30" s="13">
        <f>VLOOKUP($F30,'Visu totale'!$D$3:$DT$129,BI$1,0)</f>
        <v>0</v>
      </c>
      <c r="BJ30" s="13">
        <f>VLOOKUP($F30,'Visu totale'!$D$3:$DT$129,BJ$1,0)</f>
        <v>0</v>
      </c>
      <c r="BK30" s="13">
        <f>VLOOKUP($F30,'Visu totale'!$D$3:$DT$129,BK$1,0)</f>
        <v>0</v>
      </c>
      <c r="BL30" s="13">
        <f>VLOOKUP($F30,'Visu totale'!$D$3:$DT$129,BL$1,0)</f>
        <v>0</v>
      </c>
      <c r="BM30" s="13">
        <f>VLOOKUP($F30,'Visu totale'!$D$3:$DT$129,BM$1,0)</f>
        <v>0</v>
      </c>
      <c r="BN30" s="15">
        <f>VLOOKUP($F30,'Visu totale'!$D$3:$DT$129,BN$1,0)</f>
        <v>0</v>
      </c>
      <c r="BO30" s="14">
        <f>VLOOKUP($F30,'Visu totale'!$D$3:$DT$129,BO$1,0)</f>
        <v>0</v>
      </c>
      <c r="BP30" s="13">
        <f>VLOOKUP($F30,'Visu totale'!$D$3:$DT$129,BP$1,0)</f>
        <v>0</v>
      </c>
      <c r="BQ30" s="13">
        <f>VLOOKUP($F30,'Visu totale'!$D$3:$DT$129,BQ$1,0)</f>
        <v>0</v>
      </c>
      <c r="BR30" s="13">
        <f>VLOOKUP($F30,'Visu totale'!$D$3:$DT$129,BR$1,0)</f>
        <v>0</v>
      </c>
      <c r="BS30" s="13">
        <f>VLOOKUP($F30,'Visu totale'!$D$3:$DT$129,BS$1,0)</f>
        <v>0</v>
      </c>
      <c r="BT30" s="13">
        <f>VLOOKUP($F30,'Visu totale'!$D$3:$DT$129,BT$1,0)</f>
        <v>0</v>
      </c>
      <c r="BU30" s="13">
        <f>VLOOKUP($F30,'Visu totale'!$D$3:$DT$129,BU$1,0)</f>
        <v>0</v>
      </c>
      <c r="BV30" s="13">
        <f>VLOOKUP($F30,'Visu totale'!$D$3:$DT$129,BV$1,0)</f>
        <v>0</v>
      </c>
      <c r="BW30" s="13">
        <f>VLOOKUP($F30,'Visu totale'!$D$3:$DT$129,BW$1,0)</f>
        <v>0</v>
      </c>
      <c r="BX30" s="13">
        <f>VLOOKUP($F30,'Visu totale'!$D$3:$DT$129,BX$1,0)</f>
        <v>0</v>
      </c>
      <c r="BY30" s="13">
        <f>VLOOKUP($F30,'Visu totale'!$D$3:$DT$129,BY$1,0)</f>
        <v>0</v>
      </c>
      <c r="BZ30" s="15">
        <f>VLOOKUP($F30,'Visu totale'!$D$3:$DT$129,BZ$1,0)</f>
        <v>0</v>
      </c>
      <c r="CA30" s="14">
        <f>VLOOKUP($F30,'Visu totale'!$D$3:$DT$129,CA$1,0)</f>
        <v>0</v>
      </c>
      <c r="CB30" s="13">
        <f>VLOOKUP($F30,'Visu totale'!$D$3:$DT$129,CB$1,0)</f>
        <v>0</v>
      </c>
      <c r="CC30" s="13">
        <f>VLOOKUP($F30,'Visu totale'!$D$3:$DT$129,CC$1,0)</f>
        <v>0</v>
      </c>
      <c r="CD30" s="13">
        <f>VLOOKUP($F30,'Visu totale'!$D$3:$DT$129,CD$1,0)</f>
        <v>0</v>
      </c>
      <c r="CE30" s="13">
        <f>VLOOKUP($F30,'Visu totale'!$D$3:$DT$129,CE$1,0)</f>
        <v>0</v>
      </c>
      <c r="CF30" s="13">
        <f>VLOOKUP($F30,'Visu totale'!$D$3:$DT$129,CF$1,0)</f>
        <v>0</v>
      </c>
      <c r="CG30" s="13">
        <f>VLOOKUP($F30,'Visu totale'!$D$3:$DT$129,CG$1,0)</f>
        <v>0</v>
      </c>
      <c r="CH30" s="13">
        <f>VLOOKUP($F30,'Visu totale'!$D$3:$DT$129,CH$1,0)</f>
        <v>0</v>
      </c>
      <c r="CI30" s="13">
        <f>VLOOKUP($F30,'Visu totale'!$D$3:$DT$129,CI$1,0)</f>
        <v>0</v>
      </c>
      <c r="CJ30" s="13">
        <f>VLOOKUP($F30,'Visu totale'!$D$3:$DT$129,CJ$1,0)</f>
        <v>0</v>
      </c>
      <c r="CK30" s="13">
        <f>VLOOKUP($F30,'Visu totale'!$D$3:$DT$129,CK$1,0)</f>
        <v>0</v>
      </c>
      <c r="CL30" s="15">
        <f>VLOOKUP($F30,'Visu totale'!$D$3:$DT$129,CL$1,0)</f>
        <v>0</v>
      </c>
      <c r="CM30" s="14">
        <f>VLOOKUP($F30,'Visu totale'!$D$3:$DT$129,CM$1,0)</f>
        <v>0</v>
      </c>
      <c r="CN30" s="13">
        <f>VLOOKUP($F30,'Visu totale'!$D$3:$DT$129,CN$1,0)</f>
        <v>0</v>
      </c>
      <c r="CO30" s="13">
        <f>VLOOKUP($F30,'Visu totale'!$D$3:$DT$129,CO$1,0)</f>
        <v>0</v>
      </c>
      <c r="CP30" s="13">
        <f>VLOOKUP($F30,'Visu totale'!$D$3:$DT$129,CP$1,0)</f>
        <v>0</v>
      </c>
      <c r="CQ30" s="13">
        <f>VLOOKUP($F30,'Visu totale'!$D$3:$DT$129,CQ$1,0)</f>
        <v>0</v>
      </c>
      <c r="CR30" s="13">
        <f>VLOOKUP($F30,'Visu totale'!$D$3:$DT$129,CR$1,0)</f>
        <v>0</v>
      </c>
      <c r="CS30" s="13">
        <f>VLOOKUP($F30,'Visu totale'!$D$3:$DT$129,CS$1,0)</f>
        <v>0</v>
      </c>
      <c r="CT30" s="13">
        <f>VLOOKUP($F30,'Visu totale'!$D$3:$DT$129,CT$1,0)</f>
        <v>0</v>
      </c>
      <c r="CU30" s="13">
        <f>VLOOKUP($F30,'Visu totale'!$D$3:$DT$129,CU$1,0)</f>
        <v>0</v>
      </c>
      <c r="CV30" s="13">
        <f>VLOOKUP($F30,'Visu totale'!$D$3:$DT$129,CV$1,0)</f>
        <v>0</v>
      </c>
      <c r="CW30" s="13">
        <f>VLOOKUP($F30,'Visu totale'!$D$3:$DT$129,CW$1,0)</f>
        <v>0</v>
      </c>
      <c r="CX30" s="15">
        <f>VLOOKUP($F30,'Visu totale'!$D$3:$DT$129,CX$1,0)</f>
        <v>0</v>
      </c>
      <c r="CY30" s="14">
        <f>VLOOKUP($F30,'Visu totale'!$D$3:$DT$129,CY$1,0)</f>
        <v>0</v>
      </c>
      <c r="CZ30" s="13">
        <f>VLOOKUP($F30,'Visu totale'!$D$3:$DT$129,CZ$1,0)</f>
        <v>0</v>
      </c>
      <c r="DA30" s="13">
        <f>VLOOKUP($F30,'Visu totale'!$D$3:$DT$129,DA$1,0)</f>
        <v>0</v>
      </c>
      <c r="DB30" s="13">
        <f>VLOOKUP($F30,'Visu totale'!$D$3:$DT$129,DB$1,0)</f>
        <v>0</v>
      </c>
      <c r="DC30" s="13">
        <f>VLOOKUP($F30,'Visu totale'!$D$3:$DT$129,DC$1,0)</f>
        <v>0</v>
      </c>
      <c r="DD30" s="13">
        <f>VLOOKUP($F30,'Visu totale'!$D$3:$DT$129,DD$1,0)</f>
        <v>0</v>
      </c>
      <c r="DE30" s="13">
        <f>VLOOKUP($F30,'Visu totale'!$D$3:$DT$129,DE$1,0)</f>
        <v>0</v>
      </c>
      <c r="DF30" s="13">
        <f>VLOOKUP($F30,'Visu totale'!$D$3:$DT$129,DF$1,0)</f>
        <v>0</v>
      </c>
      <c r="DG30" s="13">
        <f>VLOOKUP($F30,'Visu totale'!$D$3:$DT$129,DG$1,0)</f>
        <v>0</v>
      </c>
      <c r="DH30" s="13">
        <f>VLOOKUP($F30,'Visu totale'!$D$3:$DT$129,DH$1,0)</f>
        <v>0</v>
      </c>
      <c r="DI30" s="13">
        <f>VLOOKUP($F30,'Visu totale'!$D$3:$DT$129,DI$1,0)</f>
        <v>0</v>
      </c>
      <c r="DJ30" s="15">
        <f>VLOOKUP($F30,'Visu totale'!$D$3:$DT$129,DJ$1,0)</f>
        <v>0</v>
      </c>
      <c r="DK30" s="14">
        <f>VLOOKUP($F30,'Visu totale'!$D$3:$DT$129,DK$1,0)</f>
        <v>0</v>
      </c>
      <c r="DL30" s="13">
        <f>VLOOKUP($F30,'Visu totale'!$D$3:$DT$129,DL$1,0)</f>
        <v>0</v>
      </c>
      <c r="DM30" s="13">
        <f>VLOOKUP($F30,'Visu totale'!$D$3:$DT$129,DM$1,0)</f>
        <v>0</v>
      </c>
      <c r="DN30" s="13">
        <f>VLOOKUP($F30,'Visu totale'!$D$3:$DT$129,DN$1,0)</f>
        <v>0</v>
      </c>
      <c r="DO30" s="13">
        <f>VLOOKUP($F30,'Visu totale'!$D$3:$DT$129,DO$1,0)</f>
        <v>0</v>
      </c>
      <c r="DP30" s="13">
        <f>VLOOKUP($F30,'Visu totale'!$D$3:$DT$129,DP$1,0)</f>
        <v>0</v>
      </c>
      <c r="DQ30" s="13">
        <f>VLOOKUP($F30,'Visu totale'!$D$3:$DT$129,DQ$1,0)</f>
        <v>0</v>
      </c>
      <c r="DR30" s="13">
        <f>VLOOKUP($F30,'Visu totale'!$D$3:$DT$129,DR$1,0)</f>
        <v>0</v>
      </c>
      <c r="DS30" s="13">
        <f>VLOOKUP($F30,'Visu totale'!$D$3:$DT$129,DS$1,0)</f>
        <v>0</v>
      </c>
      <c r="DT30" s="13">
        <f>VLOOKUP($F30,'Visu totale'!$D$3:$DT$129,DT$1,0)</f>
        <v>0</v>
      </c>
      <c r="DU30" s="13">
        <f>VLOOKUP($F30,'Visu totale'!$D$3:$DT$129,DU$1,0)</f>
        <v>0</v>
      </c>
      <c r="DV30" s="15">
        <f>VLOOKUP($F30,'Visu totale'!$D$3:$DT$129,DV$1,0)</f>
        <v>0</v>
      </c>
    </row>
    <row r="31" spans="1:126" s="12" customFormat="1" x14ac:dyDescent="0.25">
      <c r="A31" s="13"/>
      <c r="B31" s="13"/>
      <c r="C31" s="13"/>
      <c r="D31" s="13"/>
      <c r="E31" s="13"/>
      <c r="F31" s="17" t="s">
        <v>131</v>
      </c>
      <c r="G31" s="14">
        <f>VLOOKUP($F31,'Visu totale'!$D$3:$DT$129,G$1,0)</f>
        <v>0</v>
      </c>
      <c r="H31" s="13">
        <f>VLOOKUP($F31,'Visu totale'!$D$3:$DT$129,H$1,0)</f>
        <v>0</v>
      </c>
      <c r="I31" s="13">
        <f>VLOOKUP($F31,'Visu totale'!$D$3:$DT$129,I$1,0)</f>
        <v>0</v>
      </c>
      <c r="J31" s="13">
        <f>VLOOKUP($F31,'Visu totale'!$D$3:$DT$129,J$1,0)</f>
        <v>0</v>
      </c>
      <c r="K31" s="13">
        <f>VLOOKUP($F31,'Visu totale'!$D$3:$DT$129,K$1,0)</f>
        <v>0</v>
      </c>
      <c r="L31" s="13">
        <f>VLOOKUP($F31,'Visu totale'!$D$3:$DT$129,L$1,0)</f>
        <v>0</v>
      </c>
      <c r="M31" s="13">
        <f>VLOOKUP($F31,'Visu totale'!$D$3:$DT$129,M$1,0)</f>
        <v>0</v>
      </c>
      <c r="N31" s="13">
        <f>VLOOKUP($F31,'Visu totale'!$D$3:$DT$129,N$1,0)</f>
        <v>0</v>
      </c>
      <c r="O31" s="13">
        <f>VLOOKUP($F31,'Visu totale'!$D$3:$DT$129,O$1,0)</f>
        <v>0</v>
      </c>
      <c r="P31" s="13">
        <f>VLOOKUP($F31,'Visu totale'!$D$3:$DT$129,P$1,0)</f>
        <v>0</v>
      </c>
      <c r="Q31" s="13">
        <f>VLOOKUP($F31,'Visu totale'!$D$3:$DT$129,Q$1,0)</f>
        <v>0</v>
      </c>
      <c r="R31" s="15">
        <f>VLOOKUP($F31,'Visu totale'!$D$3:$DT$129,R$1,0)</f>
        <v>0</v>
      </c>
      <c r="S31" s="14">
        <f>VLOOKUP($F31,'Visu totale'!$D$3:$DT$129,S$1,0)</f>
        <v>0</v>
      </c>
      <c r="T31" s="13">
        <f>VLOOKUP($F31,'Visu totale'!$D$3:$DT$129,T$1,0)</f>
        <v>0</v>
      </c>
      <c r="U31" s="13">
        <f>VLOOKUP($F31,'Visu totale'!$D$3:$DT$129,U$1,0)</f>
        <v>0</v>
      </c>
      <c r="V31" s="13">
        <f>VLOOKUP($F31,'Visu totale'!$D$3:$DT$129,V$1,0)</f>
        <v>0</v>
      </c>
      <c r="W31" s="13">
        <f>VLOOKUP($F31,'Visu totale'!$D$3:$DT$129,W$1,0)</f>
        <v>0</v>
      </c>
      <c r="X31" s="13">
        <f>VLOOKUP($F31,'Visu totale'!$D$3:$DT$129,X$1,0)</f>
        <v>0</v>
      </c>
      <c r="Y31" s="13">
        <f>VLOOKUP($F31,'Visu totale'!$D$3:$DT$129,Y$1,0)</f>
        <v>0</v>
      </c>
      <c r="Z31" s="13">
        <f>VLOOKUP($F31,'Visu totale'!$D$3:$DT$129,Z$1,0)</f>
        <v>0</v>
      </c>
      <c r="AA31" s="13">
        <f>VLOOKUP($F31,'Visu totale'!$D$3:$DT$129,AA$1,0)</f>
        <v>0</v>
      </c>
      <c r="AB31" s="13">
        <f>VLOOKUP($F31,'Visu totale'!$D$3:$DT$129,AB$1,0)</f>
        <v>0</v>
      </c>
      <c r="AC31" s="13">
        <f>VLOOKUP($F31,'Visu totale'!$D$3:$DT$129,AC$1,0)</f>
        <v>0</v>
      </c>
      <c r="AD31" s="15">
        <f>VLOOKUP($F31,'Visu totale'!$D$3:$DT$129,AD$1,0)</f>
        <v>0</v>
      </c>
      <c r="AE31" s="14">
        <f>VLOOKUP($F31,'Visu totale'!$D$3:$DT$129,AE$1,0)</f>
        <v>0</v>
      </c>
      <c r="AF31" s="13">
        <f>VLOOKUP($F31,'Visu totale'!$D$3:$DT$129,AF$1,0)</f>
        <v>0</v>
      </c>
      <c r="AG31" s="13">
        <f>VLOOKUP($F31,'Visu totale'!$D$3:$DT$129,AG$1,0)</f>
        <v>0</v>
      </c>
      <c r="AH31" s="13">
        <f>VLOOKUP($F31,'Visu totale'!$D$3:$DT$129,AH$1,0)</f>
        <v>0</v>
      </c>
      <c r="AI31" s="13">
        <f>VLOOKUP($F31,'Visu totale'!$D$3:$DT$129,AI$1,0)</f>
        <v>0</v>
      </c>
      <c r="AJ31" s="13">
        <f>VLOOKUP($F31,'Visu totale'!$D$3:$DT$129,AJ$1,0)</f>
        <v>0</v>
      </c>
      <c r="AK31" s="13">
        <f>VLOOKUP($F31,'Visu totale'!$D$3:$DT$129,AK$1,0)</f>
        <v>0</v>
      </c>
      <c r="AL31" s="13">
        <f>VLOOKUP($F31,'Visu totale'!$D$3:$DT$129,AL$1,0)</f>
        <v>0</v>
      </c>
      <c r="AM31" s="13">
        <f>VLOOKUP($F31,'Visu totale'!$D$3:$DT$129,AM$1,0)</f>
        <v>0</v>
      </c>
      <c r="AN31" s="13">
        <f>VLOOKUP($F31,'Visu totale'!$D$3:$DT$129,AN$1,0)</f>
        <v>0</v>
      </c>
      <c r="AO31" s="13">
        <f>VLOOKUP($F31,'Visu totale'!$D$3:$DT$129,AO$1,0)</f>
        <v>0</v>
      </c>
      <c r="AP31" s="15">
        <f>VLOOKUP($F31,'Visu totale'!$D$3:$DT$129,AP$1,0)</f>
        <v>0</v>
      </c>
      <c r="AQ31" s="14">
        <f>VLOOKUP($F31,'Visu totale'!$D$3:$DT$129,AQ$1,0)</f>
        <v>0</v>
      </c>
      <c r="AR31" s="13">
        <f>VLOOKUP($F31,'Visu totale'!$D$3:$DT$129,AR$1,0)</f>
        <v>0</v>
      </c>
      <c r="AS31" s="13">
        <f>VLOOKUP($F31,'Visu totale'!$D$3:$DT$129,AS$1,0)</f>
        <v>0</v>
      </c>
      <c r="AT31" s="13">
        <f>VLOOKUP($F31,'Visu totale'!$D$3:$DT$129,AT$1,0)</f>
        <v>0</v>
      </c>
      <c r="AU31" s="13">
        <f>VLOOKUP($F31,'Visu totale'!$D$3:$DT$129,AU$1,0)</f>
        <v>0</v>
      </c>
      <c r="AV31" s="13">
        <f>VLOOKUP($F31,'Visu totale'!$D$3:$DT$129,AV$1,0)</f>
        <v>0</v>
      </c>
      <c r="AW31" s="13">
        <f>VLOOKUP($F31,'Visu totale'!$D$3:$DT$129,AW$1,0)</f>
        <v>0</v>
      </c>
      <c r="AX31" s="13">
        <f>VLOOKUP($F31,'Visu totale'!$D$3:$DT$129,AX$1,0)</f>
        <v>0</v>
      </c>
      <c r="AY31" s="13">
        <f>VLOOKUP($F31,'Visu totale'!$D$3:$DT$129,AY$1,0)</f>
        <v>0</v>
      </c>
      <c r="AZ31" s="13">
        <f>VLOOKUP($F31,'Visu totale'!$D$3:$DT$129,AZ$1,0)</f>
        <v>0</v>
      </c>
      <c r="BA31" s="13">
        <f>VLOOKUP($F31,'Visu totale'!$D$3:$DT$129,BA$1,0)</f>
        <v>0</v>
      </c>
      <c r="BB31" s="15">
        <f>VLOOKUP($F31,'Visu totale'!$D$3:$DT$129,BB$1,0)</f>
        <v>0</v>
      </c>
      <c r="BC31" s="14">
        <f>VLOOKUP($F31,'Visu totale'!$D$3:$DT$129,BC$1,0)</f>
        <v>0</v>
      </c>
      <c r="BD31" s="13">
        <f>VLOOKUP($F31,'Visu totale'!$D$3:$DT$129,BD$1,0)</f>
        <v>0</v>
      </c>
      <c r="BE31" s="13">
        <f>VLOOKUP($F31,'Visu totale'!$D$3:$DT$129,BE$1,0)</f>
        <v>0</v>
      </c>
      <c r="BF31" s="13">
        <f>VLOOKUP($F31,'Visu totale'!$D$3:$DT$129,BF$1,0)</f>
        <v>0</v>
      </c>
      <c r="BG31" s="13">
        <f>VLOOKUP($F31,'Visu totale'!$D$3:$DT$129,BG$1,0)</f>
        <v>0</v>
      </c>
      <c r="BH31" s="13">
        <f>VLOOKUP($F31,'Visu totale'!$D$3:$DT$129,BH$1,0)</f>
        <v>0</v>
      </c>
      <c r="BI31" s="13">
        <f>VLOOKUP($F31,'Visu totale'!$D$3:$DT$129,BI$1,0)</f>
        <v>0</v>
      </c>
      <c r="BJ31" s="13">
        <f>VLOOKUP($F31,'Visu totale'!$D$3:$DT$129,BJ$1,0)</f>
        <v>0</v>
      </c>
      <c r="BK31" s="13">
        <f>VLOOKUP($F31,'Visu totale'!$D$3:$DT$129,BK$1,0)</f>
        <v>0</v>
      </c>
      <c r="BL31" s="13">
        <f>VLOOKUP($F31,'Visu totale'!$D$3:$DT$129,BL$1,0)</f>
        <v>0</v>
      </c>
      <c r="BM31" s="13">
        <f>VLOOKUP($F31,'Visu totale'!$D$3:$DT$129,BM$1,0)</f>
        <v>0</v>
      </c>
      <c r="BN31" s="15">
        <f>VLOOKUP($F31,'Visu totale'!$D$3:$DT$129,BN$1,0)</f>
        <v>0</v>
      </c>
      <c r="BO31" s="14">
        <f>VLOOKUP($F31,'Visu totale'!$D$3:$DT$129,BO$1,0)</f>
        <v>0</v>
      </c>
      <c r="BP31" s="13">
        <f>VLOOKUP($F31,'Visu totale'!$D$3:$DT$129,BP$1,0)</f>
        <v>0</v>
      </c>
      <c r="BQ31" s="13">
        <f>VLOOKUP($F31,'Visu totale'!$D$3:$DT$129,BQ$1,0)</f>
        <v>0</v>
      </c>
      <c r="BR31" s="13">
        <f>VLOOKUP($F31,'Visu totale'!$D$3:$DT$129,BR$1,0)</f>
        <v>0</v>
      </c>
      <c r="BS31" s="13">
        <f>VLOOKUP($F31,'Visu totale'!$D$3:$DT$129,BS$1,0)</f>
        <v>0</v>
      </c>
      <c r="BT31" s="13">
        <f>VLOOKUP($F31,'Visu totale'!$D$3:$DT$129,BT$1,0)</f>
        <v>0</v>
      </c>
      <c r="BU31" s="13">
        <f>VLOOKUP($F31,'Visu totale'!$D$3:$DT$129,BU$1,0)</f>
        <v>0</v>
      </c>
      <c r="BV31" s="13">
        <f>VLOOKUP($F31,'Visu totale'!$D$3:$DT$129,BV$1,0)</f>
        <v>0</v>
      </c>
      <c r="BW31" s="13">
        <f>VLOOKUP($F31,'Visu totale'!$D$3:$DT$129,BW$1,0)</f>
        <v>0</v>
      </c>
      <c r="BX31" s="13">
        <f>VLOOKUP($F31,'Visu totale'!$D$3:$DT$129,BX$1,0)</f>
        <v>0</v>
      </c>
      <c r="BY31" s="13">
        <f>VLOOKUP($F31,'Visu totale'!$D$3:$DT$129,BY$1,0)</f>
        <v>0</v>
      </c>
      <c r="BZ31" s="15">
        <f>VLOOKUP($F31,'Visu totale'!$D$3:$DT$129,BZ$1,0)</f>
        <v>0</v>
      </c>
      <c r="CA31" s="14">
        <f>VLOOKUP($F31,'Visu totale'!$D$3:$DT$129,CA$1,0)</f>
        <v>0</v>
      </c>
      <c r="CB31" s="13">
        <f>VLOOKUP($F31,'Visu totale'!$D$3:$DT$129,CB$1,0)</f>
        <v>0</v>
      </c>
      <c r="CC31" s="13">
        <f>VLOOKUP($F31,'Visu totale'!$D$3:$DT$129,CC$1,0)</f>
        <v>0</v>
      </c>
      <c r="CD31" s="13">
        <f>VLOOKUP($F31,'Visu totale'!$D$3:$DT$129,CD$1,0)</f>
        <v>0</v>
      </c>
      <c r="CE31" s="13">
        <f>VLOOKUP($F31,'Visu totale'!$D$3:$DT$129,CE$1,0)</f>
        <v>0</v>
      </c>
      <c r="CF31" s="13">
        <f>VLOOKUP($F31,'Visu totale'!$D$3:$DT$129,CF$1,0)</f>
        <v>0</v>
      </c>
      <c r="CG31" s="13">
        <f>VLOOKUP($F31,'Visu totale'!$D$3:$DT$129,CG$1,0)</f>
        <v>0</v>
      </c>
      <c r="CH31" s="13">
        <f>VLOOKUP($F31,'Visu totale'!$D$3:$DT$129,CH$1,0)</f>
        <v>0</v>
      </c>
      <c r="CI31" s="13">
        <f>VLOOKUP($F31,'Visu totale'!$D$3:$DT$129,CI$1,0)</f>
        <v>0</v>
      </c>
      <c r="CJ31" s="13">
        <f>VLOOKUP($F31,'Visu totale'!$D$3:$DT$129,CJ$1,0)</f>
        <v>0</v>
      </c>
      <c r="CK31" s="13">
        <f>VLOOKUP($F31,'Visu totale'!$D$3:$DT$129,CK$1,0)</f>
        <v>0</v>
      </c>
      <c r="CL31" s="15">
        <f>VLOOKUP($F31,'Visu totale'!$D$3:$DT$129,CL$1,0)</f>
        <v>0</v>
      </c>
      <c r="CM31" s="14">
        <f>VLOOKUP($F31,'Visu totale'!$D$3:$DT$129,CM$1,0)</f>
        <v>0</v>
      </c>
      <c r="CN31" s="13">
        <f>VLOOKUP($F31,'Visu totale'!$D$3:$DT$129,CN$1,0)</f>
        <v>0</v>
      </c>
      <c r="CO31" s="13">
        <f>VLOOKUP($F31,'Visu totale'!$D$3:$DT$129,CO$1,0)</f>
        <v>0</v>
      </c>
      <c r="CP31" s="13">
        <f>VLOOKUP($F31,'Visu totale'!$D$3:$DT$129,CP$1,0)</f>
        <v>0</v>
      </c>
      <c r="CQ31" s="13">
        <f>VLOOKUP($F31,'Visu totale'!$D$3:$DT$129,CQ$1,0)</f>
        <v>0</v>
      </c>
      <c r="CR31" s="13">
        <f>VLOOKUP($F31,'Visu totale'!$D$3:$DT$129,CR$1,0)</f>
        <v>0</v>
      </c>
      <c r="CS31" s="13">
        <f>VLOOKUP($F31,'Visu totale'!$D$3:$DT$129,CS$1,0)</f>
        <v>0</v>
      </c>
      <c r="CT31" s="13">
        <f>VLOOKUP($F31,'Visu totale'!$D$3:$DT$129,CT$1,0)</f>
        <v>0</v>
      </c>
      <c r="CU31" s="13">
        <f>VLOOKUP($F31,'Visu totale'!$D$3:$DT$129,CU$1,0)</f>
        <v>0</v>
      </c>
      <c r="CV31" s="13">
        <f>VLOOKUP($F31,'Visu totale'!$D$3:$DT$129,CV$1,0)</f>
        <v>0</v>
      </c>
      <c r="CW31" s="13">
        <f>VLOOKUP($F31,'Visu totale'!$D$3:$DT$129,CW$1,0)</f>
        <v>0</v>
      </c>
      <c r="CX31" s="15">
        <f>VLOOKUP($F31,'Visu totale'!$D$3:$DT$129,CX$1,0)</f>
        <v>0</v>
      </c>
      <c r="CY31" s="14">
        <f>VLOOKUP($F31,'Visu totale'!$D$3:$DT$129,CY$1,0)</f>
        <v>0</v>
      </c>
      <c r="CZ31" s="13">
        <f>VLOOKUP($F31,'Visu totale'!$D$3:$DT$129,CZ$1,0)</f>
        <v>0</v>
      </c>
      <c r="DA31" s="13">
        <f>VLOOKUP($F31,'Visu totale'!$D$3:$DT$129,DA$1,0)</f>
        <v>0</v>
      </c>
      <c r="DB31" s="13">
        <f>VLOOKUP($F31,'Visu totale'!$D$3:$DT$129,DB$1,0)</f>
        <v>0</v>
      </c>
      <c r="DC31" s="13">
        <f>VLOOKUP($F31,'Visu totale'!$D$3:$DT$129,DC$1,0)</f>
        <v>0</v>
      </c>
      <c r="DD31" s="13">
        <f>VLOOKUP($F31,'Visu totale'!$D$3:$DT$129,DD$1,0)</f>
        <v>0</v>
      </c>
      <c r="DE31" s="13">
        <f>VLOOKUP($F31,'Visu totale'!$D$3:$DT$129,DE$1,0)</f>
        <v>0</v>
      </c>
      <c r="DF31" s="13">
        <f>VLOOKUP($F31,'Visu totale'!$D$3:$DT$129,DF$1,0)</f>
        <v>0</v>
      </c>
      <c r="DG31" s="13">
        <f>VLOOKUP($F31,'Visu totale'!$D$3:$DT$129,DG$1,0)</f>
        <v>0</v>
      </c>
      <c r="DH31" s="13">
        <f>VLOOKUP($F31,'Visu totale'!$D$3:$DT$129,DH$1,0)</f>
        <v>0</v>
      </c>
      <c r="DI31" s="13">
        <f>VLOOKUP($F31,'Visu totale'!$D$3:$DT$129,DI$1,0)</f>
        <v>0</v>
      </c>
      <c r="DJ31" s="15">
        <f>VLOOKUP($F31,'Visu totale'!$D$3:$DT$129,DJ$1,0)</f>
        <v>0</v>
      </c>
      <c r="DK31" s="14">
        <f>VLOOKUP($F31,'Visu totale'!$D$3:$DT$129,DK$1,0)</f>
        <v>0</v>
      </c>
      <c r="DL31" s="13">
        <f>VLOOKUP($F31,'Visu totale'!$D$3:$DT$129,DL$1,0)</f>
        <v>0</v>
      </c>
      <c r="DM31" s="13">
        <f>VLOOKUP($F31,'Visu totale'!$D$3:$DT$129,DM$1,0)</f>
        <v>0</v>
      </c>
      <c r="DN31" s="13">
        <f>VLOOKUP($F31,'Visu totale'!$D$3:$DT$129,DN$1,0)</f>
        <v>0</v>
      </c>
      <c r="DO31" s="13">
        <f>VLOOKUP($F31,'Visu totale'!$D$3:$DT$129,DO$1,0)</f>
        <v>0</v>
      </c>
      <c r="DP31" s="13">
        <f>VLOOKUP($F31,'Visu totale'!$D$3:$DT$129,DP$1,0)</f>
        <v>0</v>
      </c>
      <c r="DQ31" s="13">
        <f>VLOOKUP($F31,'Visu totale'!$D$3:$DT$129,DQ$1,0)</f>
        <v>0</v>
      </c>
      <c r="DR31" s="13">
        <f>VLOOKUP($F31,'Visu totale'!$D$3:$DT$129,DR$1,0)</f>
        <v>0</v>
      </c>
      <c r="DS31" s="13">
        <f>VLOOKUP($F31,'Visu totale'!$D$3:$DT$129,DS$1,0)</f>
        <v>0</v>
      </c>
      <c r="DT31" s="13">
        <f>VLOOKUP($F31,'Visu totale'!$D$3:$DT$129,DT$1,0)</f>
        <v>0</v>
      </c>
      <c r="DU31" s="13">
        <f>VLOOKUP($F31,'Visu totale'!$D$3:$DT$129,DU$1,0)</f>
        <v>0</v>
      </c>
      <c r="DV31" s="15">
        <f>VLOOKUP($F31,'Visu totale'!$D$3:$DT$129,DV$1,0)</f>
        <v>0</v>
      </c>
    </row>
    <row r="32" spans="1:126" s="12" customFormat="1" x14ac:dyDescent="0.25">
      <c r="A32" s="13"/>
      <c r="B32" s="13"/>
      <c r="C32" s="13"/>
      <c r="D32" s="13"/>
      <c r="E32" s="13"/>
      <c r="F32" s="17" t="s">
        <v>132</v>
      </c>
      <c r="G32" s="14">
        <f>VLOOKUP($F32,'Visu totale'!$D$3:$DT$129,G$1,0)</f>
        <v>0</v>
      </c>
      <c r="H32" s="13">
        <f>VLOOKUP($F32,'Visu totale'!$D$3:$DT$129,H$1,0)</f>
        <v>0</v>
      </c>
      <c r="I32" s="13">
        <f>VLOOKUP($F32,'Visu totale'!$D$3:$DT$129,I$1,0)</f>
        <v>0</v>
      </c>
      <c r="J32" s="13">
        <f>VLOOKUP($F32,'Visu totale'!$D$3:$DT$129,J$1,0)</f>
        <v>0</v>
      </c>
      <c r="K32" s="13">
        <f>VLOOKUP($F32,'Visu totale'!$D$3:$DT$129,K$1,0)</f>
        <v>0</v>
      </c>
      <c r="L32" s="13">
        <f>VLOOKUP($F32,'Visu totale'!$D$3:$DT$129,L$1,0)</f>
        <v>0</v>
      </c>
      <c r="M32" s="13">
        <f>VLOOKUP($F32,'Visu totale'!$D$3:$DT$129,M$1,0)</f>
        <v>0</v>
      </c>
      <c r="N32" s="13">
        <f>VLOOKUP($F32,'Visu totale'!$D$3:$DT$129,N$1,0)</f>
        <v>0</v>
      </c>
      <c r="O32" s="13">
        <f>VLOOKUP($F32,'Visu totale'!$D$3:$DT$129,O$1,0)</f>
        <v>0</v>
      </c>
      <c r="P32" s="13">
        <f>VLOOKUP($F32,'Visu totale'!$D$3:$DT$129,P$1,0)</f>
        <v>0</v>
      </c>
      <c r="Q32" s="13">
        <f>VLOOKUP($F32,'Visu totale'!$D$3:$DT$129,Q$1,0)</f>
        <v>0</v>
      </c>
      <c r="R32" s="15">
        <f>VLOOKUP($F32,'Visu totale'!$D$3:$DT$129,R$1,0)</f>
        <v>0</v>
      </c>
      <c r="S32" s="14">
        <f>VLOOKUP($F32,'Visu totale'!$D$3:$DT$129,S$1,0)</f>
        <v>0</v>
      </c>
      <c r="T32" s="13">
        <f>VLOOKUP($F32,'Visu totale'!$D$3:$DT$129,T$1,0)</f>
        <v>0</v>
      </c>
      <c r="U32" s="13">
        <f>VLOOKUP($F32,'Visu totale'!$D$3:$DT$129,U$1,0)</f>
        <v>0</v>
      </c>
      <c r="V32" s="13">
        <f>VLOOKUP($F32,'Visu totale'!$D$3:$DT$129,V$1,0)</f>
        <v>0</v>
      </c>
      <c r="W32" s="13">
        <f>VLOOKUP($F32,'Visu totale'!$D$3:$DT$129,W$1,0)</f>
        <v>0</v>
      </c>
      <c r="X32" s="13">
        <f>VLOOKUP($F32,'Visu totale'!$D$3:$DT$129,X$1,0)</f>
        <v>0</v>
      </c>
      <c r="Y32" s="13">
        <f>VLOOKUP($F32,'Visu totale'!$D$3:$DT$129,Y$1,0)</f>
        <v>0</v>
      </c>
      <c r="Z32" s="13">
        <f>VLOOKUP($F32,'Visu totale'!$D$3:$DT$129,Z$1,0)</f>
        <v>0</v>
      </c>
      <c r="AA32" s="13">
        <f>VLOOKUP($F32,'Visu totale'!$D$3:$DT$129,AA$1,0)</f>
        <v>0</v>
      </c>
      <c r="AB32" s="13">
        <f>VLOOKUP($F32,'Visu totale'!$D$3:$DT$129,AB$1,0)</f>
        <v>0</v>
      </c>
      <c r="AC32" s="13">
        <f>VLOOKUP($F32,'Visu totale'!$D$3:$DT$129,AC$1,0)</f>
        <v>0</v>
      </c>
      <c r="AD32" s="15">
        <f>VLOOKUP($F32,'Visu totale'!$D$3:$DT$129,AD$1,0)</f>
        <v>0</v>
      </c>
      <c r="AE32" s="14">
        <f>VLOOKUP($F32,'Visu totale'!$D$3:$DT$129,AE$1,0)</f>
        <v>0</v>
      </c>
      <c r="AF32" s="13">
        <f>VLOOKUP($F32,'Visu totale'!$D$3:$DT$129,AF$1,0)</f>
        <v>0</v>
      </c>
      <c r="AG32" s="13">
        <f>VLOOKUP($F32,'Visu totale'!$D$3:$DT$129,AG$1,0)</f>
        <v>0</v>
      </c>
      <c r="AH32" s="13">
        <f>VLOOKUP($F32,'Visu totale'!$D$3:$DT$129,AH$1,0)</f>
        <v>0</v>
      </c>
      <c r="AI32" s="13">
        <f>VLOOKUP($F32,'Visu totale'!$D$3:$DT$129,AI$1,0)</f>
        <v>0</v>
      </c>
      <c r="AJ32" s="13">
        <f>VLOOKUP($F32,'Visu totale'!$D$3:$DT$129,AJ$1,0)</f>
        <v>0</v>
      </c>
      <c r="AK32" s="13">
        <f>VLOOKUP($F32,'Visu totale'!$D$3:$DT$129,AK$1,0)</f>
        <v>0</v>
      </c>
      <c r="AL32" s="13">
        <f>VLOOKUP($F32,'Visu totale'!$D$3:$DT$129,AL$1,0)</f>
        <v>0</v>
      </c>
      <c r="AM32" s="13">
        <f>VLOOKUP($F32,'Visu totale'!$D$3:$DT$129,AM$1,0)</f>
        <v>0</v>
      </c>
      <c r="AN32" s="13">
        <f>VLOOKUP($F32,'Visu totale'!$D$3:$DT$129,AN$1,0)</f>
        <v>0</v>
      </c>
      <c r="AO32" s="13">
        <f>VLOOKUP($F32,'Visu totale'!$D$3:$DT$129,AO$1,0)</f>
        <v>0</v>
      </c>
      <c r="AP32" s="15">
        <f>VLOOKUP($F32,'Visu totale'!$D$3:$DT$129,AP$1,0)</f>
        <v>0</v>
      </c>
      <c r="AQ32" s="14">
        <f>VLOOKUP($F32,'Visu totale'!$D$3:$DT$129,AQ$1,0)</f>
        <v>0</v>
      </c>
      <c r="AR32" s="13">
        <f>VLOOKUP($F32,'Visu totale'!$D$3:$DT$129,AR$1,0)</f>
        <v>0</v>
      </c>
      <c r="AS32" s="13">
        <f>VLOOKUP($F32,'Visu totale'!$D$3:$DT$129,AS$1,0)</f>
        <v>0</v>
      </c>
      <c r="AT32" s="13">
        <f>VLOOKUP($F32,'Visu totale'!$D$3:$DT$129,AT$1,0)</f>
        <v>0</v>
      </c>
      <c r="AU32" s="13">
        <f>VLOOKUP($F32,'Visu totale'!$D$3:$DT$129,AU$1,0)</f>
        <v>0</v>
      </c>
      <c r="AV32" s="13">
        <f>VLOOKUP($F32,'Visu totale'!$D$3:$DT$129,AV$1,0)</f>
        <v>0</v>
      </c>
      <c r="AW32" s="13">
        <f>VLOOKUP($F32,'Visu totale'!$D$3:$DT$129,AW$1,0)</f>
        <v>0</v>
      </c>
      <c r="AX32" s="13">
        <f>VLOOKUP($F32,'Visu totale'!$D$3:$DT$129,AX$1,0)</f>
        <v>0</v>
      </c>
      <c r="AY32" s="13">
        <f>VLOOKUP($F32,'Visu totale'!$D$3:$DT$129,AY$1,0)</f>
        <v>0</v>
      </c>
      <c r="AZ32" s="13">
        <f>VLOOKUP($F32,'Visu totale'!$D$3:$DT$129,AZ$1,0)</f>
        <v>0</v>
      </c>
      <c r="BA32" s="13">
        <f>VLOOKUP($F32,'Visu totale'!$D$3:$DT$129,BA$1,0)</f>
        <v>0</v>
      </c>
      <c r="BB32" s="15">
        <f>VLOOKUP($F32,'Visu totale'!$D$3:$DT$129,BB$1,0)</f>
        <v>0</v>
      </c>
      <c r="BC32" s="14">
        <f>VLOOKUP($F32,'Visu totale'!$D$3:$DT$129,BC$1,0)</f>
        <v>0</v>
      </c>
      <c r="BD32" s="13">
        <f>VLOOKUP($F32,'Visu totale'!$D$3:$DT$129,BD$1,0)</f>
        <v>0</v>
      </c>
      <c r="BE32" s="13">
        <f>VLOOKUP($F32,'Visu totale'!$D$3:$DT$129,BE$1,0)</f>
        <v>0</v>
      </c>
      <c r="BF32" s="13">
        <f>VLOOKUP($F32,'Visu totale'!$D$3:$DT$129,BF$1,0)</f>
        <v>0</v>
      </c>
      <c r="BG32" s="13">
        <f>VLOOKUP($F32,'Visu totale'!$D$3:$DT$129,BG$1,0)</f>
        <v>0</v>
      </c>
      <c r="BH32" s="13">
        <f>VLOOKUP($F32,'Visu totale'!$D$3:$DT$129,BH$1,0)</f>
        <v>0</v>
      </c>
      <c r="BI32" s="13">
        <f>VLOOKUP($F32,'Visu totale'!$D$3:$DT$129,BI$1,0)</f>
        <v>0</v>
      </c>
      <c r="BJ32" s="13">
        <f>VLOOKUP($F32,'Visu totale'!$D$3:$DT$129,BJ$1,0)</f>
        <v>0</v>
      </c>
      <c r="BK32" s="13">
        <f>VLOOKUP($F32,'Visu totale'!$D$3:$DT$129,BK$1,0)</f>
        <v>0</v>
      </c>
      <c r="BL32" s="13">
        <f>VLOOKUP($F32,'Visu totale'!$D$3:$DT$129,BL$1,0)</f>
        <v>0</v>
      </c>
      <c r="BM32" s="13">
        <f>VLOOKUP($F32,'Visu totale'!$D$3:$DT$129,BM$1,0)</f>
        <v>0</v>
      </c>
      <c r="BN32" s="15">
        <f>VLOOKUP($F32,'Visu totale'!$D$3:$DT$129,BN$1,0)</f>
        <v>0</v>
      </c>
      <c r="BO32" s="14">
        <f>VLOOKUP($F32,'Visu totale'!$D$3:$DT$129,BO$1,0)</f>
        <v>0</v>
      </c>
      <c r="BP32" s="13">
        <f>VLOOKUP($F32,'Visu totale'!$D$3:$DT$129,BP$1,0)</f>
        <v>0</v>
      </c>
      <c r="BQ32" s="13">
        <f>VLOOKUP($F32,'Visu totale'!$D$3:$DT$129,BQ$1,0)</f>
        <v>0</v>
      </c>
      <c r="BR32" s="13">
        <f>VLOOKUP($F32,'Visu totale'!$D$3:$DT$129,BR$1,0)</f>
        <v>0</v>
      </c>
      <c r="BS32" s="13">
        <f>VLOOKUP($F32,'Visu totale'!$D$3:$DT$129,BS$1,0)</f>
        <v>0</v>
      </c>
      <c r="BT32" s="13">
        <f>VLOOKUP($F32,'Visu totale'!$D$3:$DT$129,BT$1,0)</f>
        <v>0</v>
      </c>
      <c r="BU32" s="13">
        <f>VLOOKUP($F32,'Visu totale'!$D$3:$DT$129,BU$1,0)</f>
        <v>0</v>
      </c>
      <c r="BV32" s="13">
        <f>VLOOKUP($F32,'Visu totale'!$D$3:$DT$129,BV$1,0)</f>
        <v>0</v>
      </c>
      <c r="BW32" s="13">
        <f>VLOOKUP($F32,'Visu totale'!$D$3:$DT$129,BW$1,0)</f>
        <v>0</v>
      </c>
      <c r="BX32" s="13">
        <f>VLOOKUP($F32,'Visu totale'!$D$3:$DT$129,BX$1,0)</f>
        <v>0</v>
      </c>
      <c r="BY32" s="13">
        <f>VLOOKUP($F32,'Visu totale'!$D$3:$DT$129,BY$1,0)</f>
        <v>0</v>
      </c>
      <c r="BZ32" s="15">
        <f>VLOOKUP($F32,'Visu totale'!$D$3:$DT$129,BZ$1,0)</f>
        <v>0</v>
      </c>
      <c r="CA32" s="14">
        <f>VLOOKUP($F32,'Visu totale'!$D$3:$DT$129,CA$1,0)</f>
        <v>0</v>
      </c>
      <c r="CB32" s="13">
        <f>VLOOKUP($F32,'Visu totale'!$D$3:$DT$129,CB$1,0)</f>
        <v>0</v>
      </c>
      <c r="CC32" s="13">
        <f>VLOOKUP($F32,'Visu totale'!$D$3:$DT$129,CC$1,0)</f>
        <v>0</v>
      </c>
      <c r="CD32" s="13">
        <f>VLOOKUP($F32,'Visu totale'!$D$3:$DT$129,CD$1,0)</f>
        <v>0</v>
      </c>
      <c r="CE32" s="13">
        <f>VLOOKUP($F32,'Visu totale'!$D$3:$DT$129,CE$1,0)</f>
        <v>0</v>
      </c>
      <c r="CF32" s="13">
        <f>VLOOKUP($F32,'Visu totale'!$D$3:$DT$129,CF$1,0)</f>
        <v>0</v>
      </c>
      <c r="CG32" s="13">
        <f>VLOOKUP($F32,'Visu totale'!$D$3:$DT$129,CG$1,0)</f>
        <v>0</v>
      </c>
      <c r="CH32" s="13">
        <f>VLOOKUP($F32,'Visu totale'!$D$3:$DT$129,CH$1,0)</f>
        <v>0</v>
      </c>
      <c r="CI32" s="13">
        <f>VLOOKUP($F32,'Visu totale'!$D$3:$DT$129,CI$1,0)</f>
        <v>0</v>
      </c>
      <c r="CJ32" s="13">
        <f>VLOOKUP($F32,'Visu totale'!$D$3:$DT$129,CJ$1,0)</f>
        <v>0</v>
      </c>
      <c r="CK32" s="13">
        <f>VLOOKUP($F32,'Visu totale'!$D$3:$DT$129,CK$1,0)</f>
        <v>0</v>
      </c>
      <c r="CL32" s="15">
        <f>VLOOKUP($F32,'Visu totale'!$D$3:$DT$129,CL$1,0)</f>
        <v>0</v>
      </c>
      <c r="CM32" s="14">
        <f>VLOOKUP($F32,'Visu totale'!$D$3:$DT$129,CM$1,0)</f>
        <v>0</v>
      </c>
      <c r="CN32" s="13">
        <f>VLOOKUP($F32,'Visu totale'!$D$3:$DT$129,CN$1,0)</f>
        <v>0</v>
      </c>
      <c r="CO32" s="13">
        <f>VLOOKUP($F32,'Visu totale'!$D$3:$DT$129,CO$1,0)</f>
        <v>0</v>
      </c>
      <c r="CP32" s="13">
        <f>VLOOKUP($F32,'Visu totale'!$D$3:$DT$129,CP$1,0)</f>
        <v>0</v>
      </c>
      <c r="CQ32" s="13">
        <f>VLOOKUP($F32,'Visu totale'!$D$3:$DT$129,CQ$1,0)</f>
        <v>0</v>
      </c>
      <c r="CR32" s="13">
        <f>VLOOKUP($F32,'Visu totale'!$D$3:$DT$129,CR$1,0)</f>
        <v>0</v>
      </c>
      <c r="CS32" s="13">
        <f>VLOOKUP($F32,'Visu totale'!$D$3:$DT$129,CS$1,0)</f>
        <v>0</v>
      </c>
      <c r="CT32" s="13">
        <f>VLOOKUP($F32,'Visu totale'!$D$3:$DT$129,CT$1,0)</f>
        <v>0</v>
      </c>
      <c r="CU32" s="13">
        <f>VLOOKUP($F32,'Visu totale'!$D$3:$DT$129,CU$1,0)</f>
        <v>0</v>
      </c>
      <c r="CV32" s="13">
        <f>VLOOKUP($F32,'Visu totale'!$D$3:$DT$129,CV$1,0)</f>
        <v>0</v>
      </c>
      <c r="CW32" s="13">
        <f>VLOOKUP($F32,'Visu totale'!$D$3:$DT$129,CW$1,0)</f>
        <v>0</v>
      </c>
      <c r="CX32" s="15">
        <f>VLOOKUP($F32,'Visu totale'!$D$3:$DT$129,CX$1,0)</f>
        <v>0</v>
      </c>
      <c r="CY32" s="14">
        <f>VLOOKUP($F32,'Visu totale'!$D$3:$DT$129,CY$1,0)</f>
        <v>0</v>
      </c>
      <c r="CZ32" s="13">
        <f>VLOOKUP($F32,'Visu totale'!$D$3:$DT$129,CZ$1,0)</f>
        <v>0</v>
      </c>
      <c r="DA32" s="13">
        <f>VLOOKUP($F32,'Visu totale'!$D$3:$DT$129,DA$1,0)</f>
        <v>0</v>
      </c>
      <c r="DB32" s="13">
        <f>VLOOKUP($F32,'Visu totale'!$D$3:$DT$129,DB$1,0)</f>
        <v>0</v>
      </c>
      <c r="DC32" s="13">
        <f>VLOOKUP($F32,'Visu totale'!$D$3:$DT$129,DC$1,0)</f>
        <v>0</v>
      </c>
      <c r="DD32" s="13">
        <f>VLOOKUP($F32,'Visu totale'!$D$3:$DT$129,DD$1,0)</f>
        <v>0</v>
      </c>
      <c r="DE32" s="13">
        <f>VLOOKUP($F32,'Visu totale'!$D$3:$DT$129,DE$1,0)</f>
        <v>0</v>
      </c>
      <c r="DF32" s="13">
        <f>VLOOKUP($F32,'Visu totale'!$D$3:$DT$129,DF$1,0)</f>
        <v>0</v>
      </c>
      <c r="DG32" s="13">
        <f>VLOOKUP($F32,'Visu totale'!$D$3:$DT$129,DG$1,0)</f>
        <v>0</v>
      </c>
      <c r="DH32" s="13">
        <f>VLOOKUP($F32,'Visu totale'!$D$3:$DT$129,DH$1,0)</f>
        <v>0</v>
      </c>
      <c r="DI32" s="13">
        <f>VLOOKUP($F32,'Visu totale'!$D$3:$DT$129,DI$1,0)</f>
        <v>0</v>
      </c>
      <c r="DJ32" s="15">
        <f>VLOOKUP($F32,'Visu totale'!$D$3:$DT$129,DJ$1,0)</f>
        <v>0</v>
      </c>
      <c r="DK32" s="14">
        <f>VLOOKUP($F32,'Visu totale'!$D$3:$DT$129,DK$1,0)</f>
        <v>0</v>
      </c>
      <c r="DL32" s="13">
        <f>VLOOKUP($F32,'Visu totale'!$D$3:$DT$129,DL$1,0)</f>
        <v>0</v>
      </c>
      <c r="DM32" s="13">
        <f>VLOOKUP($F32,'Visu totale'!$D$3:$DT$129,DM$1,0)</f>
        <v>0</v>
      </c>
      <c r="DN32" s="13">
        <f>VLOOKUP($F32,'Visu totale'!$D$3:$DT$129,DN$1,0)</f>
        <v>0</v>
      </c>
      <c r="DO32" s="13">
        <f>VLOOKUP($F32,'Visu totale'!$D$3:$DT$129,DO$1,0)</f>
        <v>0</v>
      </c>
      <c r="DP32" s="13">
        <f>VLOOKUP($F32,'Visu totale'!$D$3:$DT$129,DP$1,0)</f>
        <v>0</v>
      </c>
      <c r="DQ32" s="13">
        <f>VLOOKUP($F32,'Visu totale'!$D$3:$DT$129,DQ$1,0)</f>
        <v>0</v>
      </c>
      <c r="DR32" s="13">
        <f>VLOOKUP($F32,'Visu totale'!$D$3:$DT$129,DR$1,0)</f>
        <v>0</v>
      </c>
      <c r="DS32" s="13">
        <f>VLOOKUP($F32,'Visu totale'!$D$3:$DT$129,DS$1,0)</f>
        <v>0</v>
      </c>
      <c r="DT32" s="13">
        <f>VLOOKUP($F32,'Visu totale'!$D$3:$DT$129,DT$1,0)</f>
        <v>0</v>
      </c>
      <c r="DU32" s="13">
        <f>VLOOKUP($F32,'Visu totale'!$D$3:$DT$129,DU$1,0)</f>
        <v>0</v>
      </c>
      <c r="DV32" s="15">
        <f>VLOOKUP($F32,'Visu totale'!$D$3:$DT$129,DV$1,0)</f>
        <v>0</v>
      </c>
    </row>
    <row r="102" spans="6:6" x14ac:dyDescent="0.25">
      <c r="F102" t="s">
        <v>104</v>
      </c>
    </row>
    <row r="103" spans="6:6" x14ac:dyDescent="0.25">
      <c r="F103" t="s">
        <v>105</v>
      </c>
    </row>
    <row r="104" spans="6:6" x14ac:dyDescent="0.25">
      <c r="F104" t="s">
        <v>106</v>
      </c>
    </row>
    <row r="105" spans="6:6" x14ac:dyDescent="0.25">
      <c r="F105" t="s">
        <v>107</v>
      </c>
    </row>
    <row r="106" spans="6:6" x14ac:dyDescent="0.25">
      <c r="F106" t="s">
        <v>108</v>
      </c>
    </row>
    <row r="107" spans="6:6" x14ac:dyDescent="0.25">
      <c r="F107" t="s">
        <v>109</v>
      </c>
    </row>
    <row r="108" spans="6:6" x14ac:dyDescent="0.25">
      <c r="F108" t="s">
        <v>110</v>
      </c>
    </row>
    <row r="109" spans="6:6" x14ac:dyDescent="0.25">
      <c r="F109" t="s">
        <v>111</v>
      </c>
    </row>
    <row r="110" spans="6:6" x14ac:dyDescent="0.25">
      <c r="F110" t="s">
        <v>112</v>
      </c>
    </row>
    <row r="111" spans="6:6" x14ac:dyDescent="0.25">
      <c r="F111" t="s">
        <v>113</v>
      </c>
    </row>
    <row r="112" spans="6:6" x14ac:dyDescent="0.25">
      <c r="F112" t="s">
        <v>114</v>
      </c>
    </row>
    <row r="113" spans="6:6" x14ac:dyDescent="0.25">
      <c r="F113" t="s">
        <v>115</v>
      </c>
    </row>
    <row r="114" spans="6:6" x14ac:dyDescent="0.25">
      <c r="F114" t="s">
        <v>116</v>
      </c>
    </row>
    <row r="115" spans="6:6" x14ac:dyDescent="0.25">
      <c r="F115" t="s">
        <v>117</v>
      </c>
    </row>
    <row r="116" spans="6:6" x14ac:dyDescent="0.25">
      <c r="F116" t="s">
        <v>118</v>
      </c>
    </row>
    <row r="117" spans="6:6" x14ac:dyDescent="0.25">
      <c r="F117" t="s">
        <v>119</v>
      </c>
    </row>
    <row r="118" spans="6:6" x14ac:dyDescent="0.25">
      <c r="F118" t="s">
        <v>120</v>
      </c>
    </row>
    <row r="119" spans="6:6" x14ac:dyDescent="0.25">
      <c r="F119" t="s">
        <v>121</v>
      </c>
    </row>
    <row r="120" spans="6:6" x14ac:dyDescent="0.25">
      <c r="F120" t="s">
        <v>122</v>
      </c>
    </row>
    <row r="121" spans="6:6" x14ac:dyDescent="0.25">
      <c r="F121" t="s">
        <v>123</v>
      </c>
    </row>
    <row r="122" spans="6:6" x14ac:dyDescent="0.25">
      <c r="F122" t="s">
        <v>124</v>
      </c>
    </row>
    <row r="123" spans="6:6" x14ac:dyDescent="0.25">
      <c r="F123" t="s">
        <v>125</v>
      </c>
    </row>
    <row r="124" spans="6:6" x14ac:dyDescent="0.25">
      <c r="F124" t="s">
        <v>126</v>
      </c>
    </row>
    <row r="125" spans="6:6" x14ac:dyDescent="0.25">
      <c r="F125" t="s">
        <v>127</v>
      </c>
    </row>
    <row r="126" spans="6:6" x14ac:dyDescent="0.25">
      <c r="F126" t="s">
        <v>128</v>
      </c>
    </row>
    <row r="127" spans="6:6" x14ac:dyDescent="0.25">
      <c r="F127" t="s">
        <v>129</v>
      </c>
    </row>
    <row r="128" spans="6:6" x14ac:dyDescent="0.25">
      <c r="F128" t="s">
        <v>130</v>
      </c>
    </row>
    <row r="129" spans="6:6" x14ac:dyDescent="0.25">
      <c r="F129" t="s">
        <v>131</v>
      </c>
    </row>
    <row r="130" spans="6:6" x14ac:dyDescent="0.25">
      <c r="F130" t="s">
        <v>132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32">
    <cfRule type="beginsWith" dxfId="3" priority="1" operator="beginsWith" text="S">
      <formula>LEFT(G4,LEN("S"))="S"</formula>
    </cfRule>
    <cfRule type="cellIs" dxfId="2" priority="2" operator="equal">
      <formula>"x"</formula>
    </cfRule>
    <cfRule type="beginsWith" dxfId="1" priority="3" operator="beginsWith" text="V">
      <formula>LEFT(G4,LEN("V"))="V"</formula>
    </cfRule>
    <cfRule type="cellIs" dxfId="0" priority="4" operator="greaterThan">
      <formula>25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22</vt:i4>
      </vt:variant>
    </vt:vector>
  </HeadingPairs>
  <TitlesOfParts>
    <vt:vector size="30" baseType="lpstr">
      <vt:lpstr>Paramètres</vt:lpstr>
      <vt:lpstr>Rebouclage</vt:lpstr>
      <vt:lpstr>Visu totale</vt:lpstr>
      <vt:lpstr>M2N</vt:lpstr>
      <vt:lpstr>M2B</vt:lpstr>
      <vt:lpstr>M2C</vt:lpstr>
      <vt:lpstr>M2D</vt:lpstr>
      <vt:lpstr>M5F</vt:lpstr>
      <vt:lpstr>anneeFin</vt:lpstr>
      <vt:lpstr>anneeIni</vt:lpstr>
      <vt:lpstr>anneeInit</vt:lpstr>
      <vt:lpstr>avion1</vt:lpstr>
      <vt:lpstr>avion2</vt:lpstr>
      <vt:lpstr>avion3</vt:lpstr>
      <vt:lpstr>avion4</vt:lpstr>
      <vt:lpstr>avion5</vt:lpstr>
      <vt:lpstr>avion6</vt:lpstr>
      <vt:lpstr>avion7</vt:lpstr>
      <vt:lpstr>ecart</vt:lpstr>
      <vt:lpstr>ecart_2</vt:lpstr>
      <vt:lpstr>indicateur</vt:lpstr>
      <vt:lpstr>init</vt:lpstr>
      <vt:lpstr>moisFin</vt:lpstr>
      <vt:lpstr>moisIni</vt:lpstr>
      <vt:lpstr>moisInit</vt:lpstr>
      <vt:lpstr>parameters</vt:lpstr>
      <vt:lpstr>Pumois</vt:lpstr>
      <vt:lpstr>solution</vt:lpstr>
      <vt:lpstr>Vmax</vt:lpstr>
      <vt:lpstr>Vmois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2018-03-05T23:40:45Z</dcterms:modified>
</cp:coreProperties>
</file>